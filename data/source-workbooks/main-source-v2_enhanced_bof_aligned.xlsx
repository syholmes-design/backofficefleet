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63d75e2c8f191ae/Documents/GitHub/backofficefleet/bof-web/public/data/"/>
    </mc:Choice>
  </mc:AlternateContent>
  <xr:revisionPtr revIDLastSave="0" documentId="8_{CAF47BC2-AA14-4124-B362-CF78FB392BEA}" xr6:coauthVersionLast="47" xr6:coauthVersionMax="47" xr10:uidLastSave="{00000000-0000-0000-0000-000000000000}"/>
  <bookViews>
    <workbookView xWindow="1812" yWindow="1812" windowWidth="17280" windowHeight="8880" firstSheet="2" activeTab="6" xr2:uid="{00000000-000D-0000-FFFF-FFFF00000000}"/>
  </bookViews>
  <sheets>
    <sheet name="Driver Data" sheetId="1" r:id="rId1"/>
    <sheet name="Dispatch" sheetId="8" r:id="rId2"/>
    <sheet name="Payroll" sheetId="2" r:id="rId3"/>
    <sheet name="Payroll Summary" sheetId="3" r:id="rId4"/>
    <sheet name="Main Safety" sheetId="5" r:id="rId5"/>
    <sheet name="Safety_Events" sheetId="4" r:id="rId6"/>
    <sheet name="Asse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8" l="1"/>
  <c r="O13" i="8" s="1"/>
  <c r="N12" i="8"/>
  <c r="O12" i="8" s="1"/>
  <c r="N11" i="8"/>
  <c r="O11" i="8" s="1"/>
  <c r="N10" i="8"/>
  <c r="O10" i="8" s="1"/>
  <c r="N9" i="8"/>
  <c r="O9" i="8" s="1"/>
  <c r="N8" i="8"/>
  <c r="O8" i="8" s="1"/>
  <c r="N7" i="8"/>
  <c r="O7" i="8" s="1"/>
  <c r="N6" i="8"/>
  <c r="O6" i="8" s="1"/>
  <c r="N5" i="8"/>
  <c r="O5" i="8" s="1"/>
  <c r="N4" i="8"/>
  <c r="O4" i="8" s="1"/>
  <c r="N3" i="8"/>
  <c r="O3" i="8" s="1"/>
  <c r="N2" i="8"/>
  <c r="O2" i="8" s="1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G3" i="7"/>
  <c r="F3" i="7"/>
  <c r="G2" i="7"/>
  <c r="F2" i="7"/>
  <c r="B2" i="3"/>
  <c r="B3" i="3"/>
  <c r="B11" i="3"/>
  <c r="B12" i="3"/>
  <c r="B13" i="3"/>
  <c r="B15" i="3"/>
  <c r="B16" i="3"/>
  <c r="B17" i="3"/>
  <c r="B18" i="3"/>
  <c r="B20" i="3"/>
  <c r="F2" i="2"/>
  <c r="B4" i="3" s="1"/>
  <c r="G2" i="2"/>
  <c r="H2" i="2"/>
  <c r="I2" i="2"/>
  <c r="J2" i="2"/>
  <c r="K2" i="2"/>
  <c r="L2" i="2"/>
  <c r="P2" i="2"/>
  <c r="T2" i="2"/>
  <c r="V2" i="2" s="1"/>
  <c r="F3" i="2"/>
  <c r="G3" i="2"/>
  <c r="H3" i="2"/>
  <c r="I3" i="2"/>
  <c r="J3" i="2"/>
  <c r="K3" i="2"/>
  <c r="L3" i="2"/>
  <c r="P3" i="2"/>
  <c r="T3" i="2"/>
  <c r="V3" i="2" s="1"/>
  <c r="F4" i="2"/>
  <c r="I4" i="2" s="1"/>
  <c r="G4" i="2"/>
  <c r="H4" i="2"/>
  <c r="F5" i="2"/>
  <c r="P5" i="2" s="1"/>
  <c r="G5" i="2"/>
  <c r="H5" i="2"/>
  <c r="J5" i="2"/>
  <c r="K5" i="2"/>
  <c r="L5" i="2"/>
  <c r="F6" i="2"/>
  <c r="G6" i="2" s="1"/>
  <c r="I6" i="2"/>
  <c r="J6" i="2"/>
  <c r="K6" i="2"/>
  <c r="L6" i="2"/>
  <c r="P6" i="2"/>
  <c r="F7" i="2"/>
  <c r="G7" i="2" s="1"/>
  <c r="F8" i="2"/>
  <c r="K8" i="2" s="1"/>
  <c r="H8" i="2"/>
  <c r="I8" i="2"/>
  <c r="J8" i="2"/>
  <c r="F9" i="2"/>
  <c r="G9" i="2"/>
  <c r="H9" i="2"/>
  <c r="I9" i="2"/>
  <c r="J9" i="2"/>
  <c r="K9" i="2"/>
  <c r="L9" i="2"/>
  <c r="P9" i="2"/>
  <c r="T9" i="2"/>
  <c r="V9" i="2" s="1"/>
  <c r="F10" i="2"/>
  <c r="I10" i="2" s="1"/>
  <c r="G10" i="2"/>
  <c r="H10" i="2"/>
  <c r="K10" i="2"/>
  <c r="L10" i="2"/>
  <c r="P10" i="2"/>
  <c r="F11" i="2"/>
  <c r="I11" i="2" s="1"/>
  <c r="F12" i="2"/>
  <c r="P12" i="2" s="1"/>
  <c r="G12" i="2"/>
  <c r="H12" i="2"/>
  <c r="J12" i="2"/>
  <c r="K12" i="2"/>
  <c r="L12" i="2"/>
  <c r="F13" i="2"/>
  <c r="T13" i="2" s="1"/>
  <c r="Y13" i="2"/>
  <c r="R4" i="8" l="1"/>
  <c r="Q4" i="8"/>
  <c r="R6" i="8"/>
  <c r="Q6" i="8"/>
  <c r="R3" i="8"/>
  <c r="Q3" i="8"/>
  <c r="R5" i="8"/>
  <c r="Q5" i="8"/>
  <c r="R7" i="8"/>
  <c r="Q7" i="8"/>
  <c r="Q8" i="8"/>
  <c r="R8" i="8"/>
  <c r="R9" i="8"/>
  <c r="Q9" i="8"/>
  <c r="R11" i="8"/>
  <c r="Q11" i="8"/>
  <c r="R2" i="8"/>
  <c r="Q2" i="8"/>
  <c r="R10" i="8"/>
  <c r="Q10" i="8"/>
  <c r="R12" i="8"/>
  <c r="Q12" i="8"/>
  <c r="R13" i="8"/>
  <c r="Q13" i="8"/>
  <c r="T10" i="2"/>
  <c r="V10" i="2" s="1"/>
  <c r="I12" i="2"/>
  <c r="G8" i="2"/>
  <c r="B5" i="3" s="1"/>
  <c r="I5" i="2"/>
  <c r="T5" i="2" s="1"/>
  <c r="V5" i="2" s="1"/>
  <c r="G11" i="2"/>
  <c r="V13" i="2"/>
  <c r="T11" i="2"/>
  <c r="V11" i="2" s="1"/>
  <c r="J10" i="2"/>
  <c r="L7" i="2"/>
  <c r="H6" i="2"/>
  <c r="B6" i="3" s="1"/>
  <c r="P11" i="2"/>
  <c r="K7" i="2"/>
  <c r="P4" i="2"/>
  <c r="L11" i="2"/>
  <c r="J7" i="2"/>
  <c r="B8" i="3" s="1"/>
  <c r="L4" i="2"/>
  <c r="B10" i="3" s="1"/>
  <c r="K11" i="2"/>
  <c r="P8" i="2"/>
  <c r="I7" i="2"/>
  <c r="K4" i="2"/>
  <c r="B9" i="3" s="1"/>
  <c r="H11" i="2"/>
  <c r="P7" i="2"/>
  <c r="T12" i="2"/>
  <c r="V12" i="2" s="1"/>
  <c r="J11" i="2"/>
  <c r="L8" i="2"/>
  <c r="T8" i="2" s="1"/>
  <c r="V8" i="2" s="1"/>
  <c r="H7" i="2"/>
  <c r="T7" i="2" s="1"/>
  <c r="V7" i="2" s="1"/>
  <c r="J4" i="2"/>
  <c r="B14" i="3" l="1"/>
  <c r="B7" i="3"/>
  <c r="T4" i="2"/>
  <c r="V4" i="2" s="1"/>
  <c r="T6" i="2"/>
  <c r="V6" i="2" s="1"/>
  <c r="B19" i="3" l="1"/>
</calcChain>
</file>

<file path=xl/sharedStrings.xml><?xml version="1.0" encoding="utf-8"?>
<sst xmlns="http://schemas.openxmlformats.org/spreadsheetml/2006/main" count="8823" uniqueCount="1423">
  <si>
    <t>Driver ID</t>
  </si>
  <si>
    <t>Full Name</t>
  </si>
  <si>
    <t>Full Address</t>
  </si>
  <si>
    <t>Phone</t>
  </si>
  <si>
    <t>SSN (Masked)</t>
  </si>
  <si>
    <t>Bank Name</t>
  </si>
  <si>
    <t>Routing Number</t>
  </si>
  <si>
    <t>Account Number</t>
  </si>
  <si>
    <t>Document Type</t>
  </si>
  <si>
    <t>Status</t>
  </si>
  <si>
    <t>Document Number</t>
  </si>
  <si>
    <t>CDL Expiration</t>
  </si>
  <si>
    <t>Med Card Expiration</t>
  </si>
  <si>
    <t>MVR Expiration</t>
  </si>
  <si>
    <t>Incident Details</t>
  </si>
  <si>
    <t>Hair Color</t>
  </si>
  <si>
    <t>Eye Color</t>
  </si>
  <si>
    <t>Height</t>
  </si>
  <si>
    <t>Weight</t>
  </si>
  <si>
    <t>Gender</t>
  </si>
  <si>
    <t>DOB</t>
  </si>
  <si>
    <t>Driver Photo</t>
  </si>
  <si>
    <t>Ethnicity</t>
  </si>
  <si>
    <t>Email</t>
  </si>
  <si>
    <t>Street Address</t>
  </si>
  <si>
    <t>City</t>
  </si>
  <si>
    <t>State</t>
  </si>
  <si>
    <t>ZIP</t>
  </si>
  <si>
    <t>State of Residence</t>
  </si>
  <si>
    <t>License Class</t>
  </si>
  <si>
    <t>CDL Issue Date</t>
  </si>
  <si>
    <t>CDL Endorsements</t>
  </si>
  <si>
    <t>CDL Restrictions</t>
  </si>
  <si>
    <t>Medical Issue Date</t>
  </si>
  <si>
    <t>Medical Certificate Number</t>
  </si>
  <si>
    <t>Medical Examiner Name</t>
  </si>
  <si>
    <t>Medical Examiner Registry Number</t>
  </si>
  <si>
    <t>Medical Restrictions</t>
  </si>
  <si>
    <t>Medical Status</t>
  </si>
  <si>
    <t>MVR Review Date</t>
  </si>
  <si>
    <t>Violation Points</t>
  </si>
  <si>
    <t>Accidents on Record</t>
  </si>
  <si>
    <t>MVR Restrictions</t>
  </si>
  <si>
    <t>MVR Status</t>
  </si>
  <si>
    <t>Hire Date</t>
  </si>
  <si>
    <t>Work Authorization Status</t>
  </si>
  <si>
    <t>I9 Document 1</t>
  </si>
  <si>
    <t>I9 Document 2</t>
  </si>
  <si>
    <t>I9 Document 3</t>
  </si>
  <si>
    <t>I9 Completion Date</t>
  </si>
  <si>
    <t>Employer Representative</t>
  </si>
  <si>
    <t>I9 Status</t>
  </si>
  <si>
    <t>Business Name</t>
  </si>
  <si>
    <t>Tax Classification</t>
  </si>
  <si>
    <t>TIN Type</t>
  </si>
  <si>
    <t>TIN</t>
  </si>
  <si>
    <t>Exemption Codes</t>
  </si>
  <si>
    <t>W9 Submission Date</t>
  </si>
  <si>
    <t>W9 Status</t>
  </si>
  <si>
    <t>Account Type</t>
  </si>
  <si>
    <t>Payment Preference</t>
  </si>
  <si>
    <t>Bank Info Submission Date</t>
  </si>
  <si>
    <t>Bank Info Status</t>
  </si>
  <si>
    <t>Road Test Date</t>
  </si>
  <si>
    <t>Examiner Name</t>
  </si>
  <si>
    <t>Vehicle Type</t>
  </si>
  <si>
    <t>Trailer Type</t>
  </si>
  <si>
    <t>Road Test Location</t>
  </si>
  <si>
    <t>Pre-Trip Inspection Score</t>
  </si>
  <si>
    <t>Vehicle Control Score</t>
  </si>
  <si>
    <t>Backing Score</t>
  </si>
  <si>
    <t>Turning Score</t>
  </si>
  <si>
    <t>Braking Score</t>
  </si>
  <si>
    <t>Mirror Use Score</t>
  </si>
  <si>
    <t>Coupling Score</t>
  </si>
  <si>
    <t>Defensive Driving Score</t>
  </si>
  <si>
    <t>Overall Safety Score</t>
  </si>
  <si>
    <t>Road Test Result</t>
  </si>
  <si>
    <t>Restrictions or Recommendations</t>
  </si>
  <si>
    <t>Road Test Status</t>
  </si>
  <si>
    <t>Drug and Alcohol Status</t>
  </si>
  <si>
    <t>Clearinghouse Status</t>
  </si>
  <si>
    <t>Compliance Review Date</t>
  </si>
  <si>
    <t>Next Review Date</t>
  </si>
  <si>
    <t>Open Deficiencies</t>
  </si>
  <si>
    <t>Compliance Status</t>
  </si>
  <si>
    <t>Notes</t>
  </si>
  <si>
    <t>First Name</t>
  </si>
  <si>
    <t>Last Name</t>
  </si>
  <si>
    <t>5876 Driver License Number</t>
  </si>
  <si>
    <t>5876 License Issuing State</t>
  </si>
  <si>
    <t>5876 CLP/CDL Applicant/Holder</t>
  </si>
  <si>
    <t>5876 Driver Signature Name</t>
  </si>
  <si>
    <t>5876 Driver Signature Date</t>
  </si>
  <si>
    <t>5876 Certificate Expiration Date</t>
  </si>
  <si>
    <t>5876 Medical Examiner Telephone</t>
  </si>
  <si>
    <t>5876 Medical Examiner Signature Name</t>
  </si>
  <si>
    <t>5876 Date Certificate Signed</t>
  </si>
  <si>
    <t>5876 Medical Examiner License Number</t>
  </si>
  <si>
    <t>5876 National Registry Number</t>
  </si>
  <si>
    <t>5876 Practitioner Type</t>
  </si>
  <si>
    <t>5876 Issuing State/Province</t>
  </si>
  <si>
    <t>5876 Certification Basis</t>
  </si>
  <si>
    <t>5876 State Variance Details</t>
  </si>
  <si>
    <t>5876 Waiver/Exemption</t>
  </si>
  <si>
    <t>5876 SPE Certificate</t>
  </si>
  <si>
    <t>5876 Exempt Intracity Zone</t>
  </si>
  <si>
    <t>5876 Grandfathered from State Requirements</t>
  </si>
  <si>
    <t>5876 Wearing Corrective Lenses</t>
  </si>
  <si>
    <t>5876 Wearing Hearing Aid</t>
  </si>
  <si>
    <t>Emergency Contact Name</t>
  </si>
  <si>
    <t>Emergency Contact Relation</t>
  </si>
  <si>
    <t>Emergency Contact Phone</t>
  </si>
  <si>
    <t>5875 High Blood Pressure</t>
  </si>
  <si>
    <t>5875 Diabetes</t>
  </si>
  <si>
    <t>5875 Sleep Apnea</t>
  </si>
  <si>
    <t>5875 Heart Disease</t>
  </si>
  <si>
    <t>5875 Surgeries</t>
  </si>
  <si>
    <t>5875 Vision Score Right</t>
  </si>
  <si>
    <t>5875 Vision Score Left</t>
  </si>
  <si>
    <t>5875 Hearing Score</t>
  </si>
  <si>
    <t>5875 Blood Pressure Sys</t>
  </si>
  <si>
    <t>5875 Blood Pressure Dia</t>
  </si>
  <si>
    <t>5875 Pulse</t>
  </si>
  <si>
    <t>5875 Urinalysis</t>
  </si>
  <si>
    <t>Clearinghouse Consent Date</t>
  </si>
  <si>
    <t>Drug Test Result Date</t>
  </si>
  <si>
    <t>Drug Test Result</t>
  </si>
  <si>
    <t>Safety Policy Ack Date</t>
  </si>
  <si>
    <t>Safety Policy Name</t>
  </si>
  <si>
    <t>DQF Status</t>
  </si>
  <si>
    <t>DQF Audit Date</t>
  </si>
  <si>
    <t>DRV-001</t>
  </si>
  <si>
    <t>DRV-002</t>
  </si>
  <si>
    <t>DRV-003</t>
  </si>
  <si>
    <t>DRV-004</t>
  </si>
  <si>
    <t>DRV-005</t>
  </si>
  <si>
    <t>DRV-006</t>
  </si>
  <si>
    <t>DRV-007</t>
  </si>
  <si>
    <t>DRV-008</t>
  </si>
  <si>
    <t>DRV-009</t>
  </si>
  <si>
    <t>DRV-010</t>
  </si>
  <si>
    <t>DRV-011</t>
  </si>
  <si>
    <t>DRV-012</t>
  </si>
  <si>
    <t>John Carter</t>
  </si>
  <si>
    <t>Maria Lopez</t>
  </si>
  <si>
    <t>Alex Kim</t>
  </si>
  <si>
    <t>Priya Patel</t>
  </si>
  <si>
    <t>Kenji Tanaka</t>
  </si>
  <si>
    <t>Marcus Chen</t>
  </si>
  <si>
    <t>Sofia Gomez</t>
  </si>
  <si>
    <t>Liam Smith</t>
  </si>
  <si>
    <t>Emma Brown</t>
  </si>
  <si>
    <t>Noah Wilson</t>
  </si>
  <si>
    <t>Olivia Lee</t>
  </si>
  <si>
    <t>Robert Johnson</t>
  </si>
  <si>
    <t>220 Demo Street, Cleveland, OH 44113</t>
  </si>
  <si>
    <t>770 Demo Street, Chicago, IL 60611</t>
  </si>
  <si>
    <t>960 Demo Street, Atlanta, GA 30308</t>
  </si>
  <si>
    <t>520 Demo Street, Cleveland, OH 44114</t>
  </si>
  <si>
    <t>150 Demo Street, Columbus, OH 43215</t>
  </si>
  <si>
    <t>810 Demo Street, Dallas, TX 75202</t>
  </si>
  <si>
    <t>1020 Demo Street, Cleveland, OH 44115</t>
  </si>
  <si>
    <t>530 Demo Street, Toledo, OH 43604</t>
  </si>
  <si>
    <t>630 Demo Street, Columbus, OH 43215</t>
  </si>
  <si>
    <t>130 Demo Street, Chicago, IL 60603</t>
  </si>
  <si>
    <t>900 Demo Street, Atlanta, GA 30308</t>
  </si>
  <si>
    <t>920 Demo Street, Chicago, IL 60605</t>
  </si>
  <si>
    <t>206-555-0102</t>
  </si>
  <si>
    <t>707-555-0100</t>
  </si>
  <si>
    <t>675-555-0100</t>
  </si>
  <si>
    <t>359-555-0100</t>
  </si>
  <si>
    <t>871-555-0100</t>
  </si>
  <si>
    <t>283-555-0100</t>
  </si>
  <si>
    <t>896-555-0100</t>
  </si>
  <si>
    <t>820-555-0100</t>
  </si>
  <si>
    <t>206-555-0103</t>
  </si>
  <si>
    <t>582-555-0100</t>
  </si>
  <si>
    <t>337-555-0100</t>
  </si>
  <si>
    <t>618-555-0101</t>
  </si>
  <si>
    <t>***-**-0123</t>
  </si>
  <si>
    <t>***-**-0105</t>
  </si>
  <si>
    <t>***-**-0116</t>
  </si>
  <si>
    <t>***-**-0119</t>
  </si>
  <si>
    <t>***-**-0102</t>
  </si>
  <si>
    <t>***-**-0101</t>
  </si>
  <si>
    <t>***-**-0109</t>
  </si>
  <si>
    <t>***-**-0108</t>
  </si>
  <si>
    <t>***-**-0124</t>
  </si>
  <si>
    <t>***-**-0112</t>
  </si>
  <si>
    <t>***-**-0111</t>
  </si>
  <si>
    <t>***-**-0114</t>
  </si>
  <si>
    <t>Huntington</t>
  </si>
  <si>
    <t>Chase</t>
  </si>
  <si>
    <t>Bank of America</t>
  </si>
  <si>
    <t>PNC</t>
  </si>
  <si>
    <t>Wells Fargo</t>
  </si>
  <si>
    <t>CDL Summary</t>
  </si>
  <si>
    <t>Medical Certification</t>
  </si>
  <si>
    <t>MVR Background Report</t>
  </si>
  <si>
    <t>Driver Application</t>
  </si>
  <si>
    <t>Road Test Certificate</t>
  </si>
  <si>
    <t>Incident/Accident Report</t>
  </si>
  <si>
    <t>Direct Deposit Form</t>
  </si>
  <si>
    <t>summary</t>
  </si>
  <si>
    <t>VALID</t>
  </si>
  <si>
    <t>OH0000075</t>
  </si>
  <si>
    <t>OH0000092</t>
  </si>
  <si>
    <t>OH0000111</t>
  </si>
  <si>
    <t>OH0000127</t>
  </si>
  <si>
    <t>OH0000137</t>
  </si>
  <si>
    <t>OH0000138</t>
  </si>
  <si>
    <t>OH0000124</t>
  </si>
  <si>
    <t>IL0000041</t>
  </si>
  <si>
    <t>IL0000068</t>
  </si>
  <si>
    <t>IL0000056</t>
  </si>
  <si>
    <t>IL0000065</t>
  </si>
  <si>
    <t>IL0000067</t>
  </si>
  <si>
    <t>IL0000058</t>
  </si>
  <si>
    <t>IL0000061</t>
  </si>
  <si>
    <t>GA0000013</t>
  </si>
  <si>
    <t>GA0000006</t>
  </si>
  <si>
    <t>GA0000011</t>
  </si>
  <si>
    <t>GA0000005</t>
  </si>
  <si>
    <t>GA0000004</t>
  </si>
  <si>
    <t>GA0000027</t>
  </si>
  <si>
    <t>GA0000002</t>
  </si>
  <si>
    <t>OH0000130</t>
  </si>
  <si>
    <t>OH0000099</t>
  </si>
  <si>
    <t>OH0000123</t>
  </si>
  <si>
    <t>OH0000149</t>
  </si>
  <si>
    <t>OH0000072</t>
  </si>
  <si>
    <t>OH0000074</t>
  </si>
  <si>
    <t>OH0000095</t>
  </si>
  <si>
    <t>OH0000084</t>
  </si>
  <si>
    <t>OH0000093</t>
  </si>
  <si>
    <t>OH0000119</t>
  </si>
  <si>
    <t>OH0000102</t>
  </si>
  <si>
    <t>OH0000125</t>
  </si>
  <si>
    <t>OH0000082</t>
  </si>
  <si>
    <t>OH0000126</t>
  </si>
  <si>
    <t>TX0000158</t>
  </si>
  <si>
    <t>TX0000165</t>
  </si>
  <si>
    <t>TX0000155</t>
  </si>
  <si>
    <t>TX0000166</t>
  </si>
  <si>
    <t>TX0000156</t>
  </si>
  <si>
    <t>TX0000167</t>
  </si>
  <si>
    <t>TX0000157</t>
  </si>
  <si>
    <t>OH0000112</t>
  </si>
  <si>
    <t>OH0000103</t>
  </si>
  <si>
    <t>OH0000101</t>
  </si>
  <si>
    <t>OH0000129</t>
  </si>
  <si>
    <t>OH0000120</t>
  </si>
  <si>
    <t>OH0000121</t>
  </si>
  <si>
    <t>OH0000073</t>
  </si>
  <si>
    <t>OH0000141</t>
  </si>
  <si>
    <t>OH0000139</t>
  </si>
  <si>
    <t>OH0000091</t>
  </si>
  <si>
    <t>OH0000128</t>
  </si>
  <si>
    <t>OH0000094</t>
  </si>
  <si>
    <t>OH0000098</t>
  </si>
  <si>
    <t>OH0000150</t>
  </si>
  <si>
    <t>OH0000104</t>
  </si>
  <si>
    <t>OH0000083</t>
  </si>
  <si>
    <t>OH0000100</t>
  </si>
  <si>
    <t>OH0000148</t>
  </si>
  <si>
    <t>OH0000122</t>
  </si>
  <si>
    <t>OH0000096</t>
  </si>
  <si>
    <t>OH0000140</t>
  </si>
  <si>
    <t>IL0000049</t>
  </si>
  <si>
    <t>IL0000037</t>
  </si>
  <si>
    <t>IL0000060</t>
  </si>
  <si>
    <t>IL0000059</t>
  </si>
  <si>
    <t>IL0000064</t>
  </si>
  <si>
    <t>IL0000063</t>
  </si>
  <si>
    <t>IL0000038</t>
  </si>
  <si>
    <t>GA0000020</t>
  </si>
  <si>
    <t>GA0000007</t>
  </si>
  <si>
    <t>GA0000009</t>
  </si>
  <si>
    <t>GA0000010</t>
  </si>
  <si>
    <t>GA0000012</t>
  </si>
  <si>
    <t>GA0000008</t>
  </si>
  <si>
    <t>GA0000003</t>
  </si>
  <si>
    <t>IL0000030</t>
  </si>
  <si>
    <t>IL0000062</t>
  </si>
  <si>
    <t>IL0000040</t>
  </si>
  <si>
    <t>IL0000057</t>
  </si>
  <si>
    <t>IL0000066</t>
  </si>
  <si>
    <t>IL0000048</t>
  </si>
  <si>
    <t>IL0000039</t>
  </si>
  <si>
    <t>Load L-501: Seal mismatch detected. Pickup: SEAL-83921 Delivery: SEAL-83920.</t>
  </si>
  <si>
    <t>No major incidents recorded in last 90 days.</t>
  </si>
  <si>
    <t>Load L-504: Seal mismatch detected. Pickup: SEAL-61044 Delivery: SEAL-61043.</t>
  </si>
  <si>
    <t>Load L-507: Seal mismatch detected. Pickup: SEAL-73005 Delivery: SEAL-73099.</t>
  </si>
  <si>
    <t>Load L-512: Seal broken upon arrival. Theft suspected.</t>
  </si>
  <si>
    <t>Black</t>
  </si>
  <si>
    <t>Brown</t>
  </si>
  <si>
    <t>Bald</t>
  </si>
  <si>
    <t>Blonde</t>
  </si>
  <si>
    <t>Green</t>
  </si>
  <si>
    <t>Hazel</t>
  </si>
  <si>
    <t>Blue</t>
  </si>
  <si>
    <t>5'-10"</t>
  </si>
  <si>
    <t>5'-3"</t>
  </si>
  <si>
    <t>6'-2"</t>
  </si>
  <si>
    <t>5'-7"</t>
  </si>
  <si>
    <t>6'-1"</t>
  </si>
  <si>
    <t>5'-4"</t>
  </si>
  <si>
    <t>6'-3"</t>
  </si>
  <si>
    <t>5'-5"</t>
  </si>
  <si>
    <t>M</t>
  </si>
  <si>
    <t>F</t>
  </si>
  <si>
    <t>DRV-001.png</t>
  </si>
  <si>
    <t>DRV-002.png</t>
  </si>
  <si>
    <t>DRV-003.png</t>
  </si>
  <si>
    <t>DRV-004.png</t>
  </si>
  <si>
    <t>DRV-005.png</t>
  </si>
  <si>
    <t>DRV-006.png</t>
  </si>
  <si>
    <t>DRV-007.png</t>
  </si>
  <si>
    <t>DRV-008.png</t>
  </si>
  <si>
    <t>DRV-009.png</t>
  </si>
  <si>
    <t>DRV-010.png</t>
  </si>
  <si>
    <t>DRV-011.png</t>
  </si>
  <si>
    <t>DRV-012.png</t>
  </si>
  <si>
    <t>Caucasian</t>
  </si>
  <si>
    <t>Hispanic</t>
  </si>
  <si>
    <t>Asian</t>
  </si>
  <si>
    <t>South Asian</t>
  </si>
  <si>
    <t>jcarter@example.com</t>
  </si>
  <si>
    <t>marialopez@example.com</t>
  </si>
  <si>
    <t>alexkim@example.com</t>
  </si>
  <si>
    <t>priyapatel@example.com</t>
  </si>
  <si>
    <t>ktanaka@example.com</t>
  </si>
  <si>
    <t>mchen@example.com</t>
  </si>
  <si>
    <t>sofiagomez@example.com</t>
  </si>
  <si>
    <t>liamsmith@example.com</t>
  </si>
  <si>
    <t>emmabrown@example.com</t>
  </si>
  <si>
    <t>nwilson@example.com</t>
  </si>
  <si>
    <t>olee@example.com</t>
  </si>
  <si>
    <t>robertjohnson@example.com</t>
  </si>
  <si>
    <t>220 Demo Street</t>
  </si>
  <si>
    <t>770 Demo Street</t>
  </si>
  <si>
    <t>960 Demo Street</t>
  </si>
  <si>
    <t>520 Demo Street</t>
  </si>
  <si>
    <t>150 Demo Street</t>
  </si>
  <si>
    <t>810 Demo Street</t>
  </si>
  <si>
    <t>1020 Demo Street</t>
  </si>
  <si>
    <t>530 Demo Street</t>
  </si>
  <si>
    <t>630 Demo Street</t>
  </si>
  <si>
    <t>130 Demo Street</t>
  </si>
  <si>
    <t>900 Demo Street</t>
  </si>
  <si>
    <t>920 Demo Street</t>
  </si>
  <si>
    <t>Cleveland</t>
  </si>
  <si>
    <t>Chicago</t>
  </si>
  <si>
    <t>Atlanta</t>
  </si>
  <si>
    <t>Columbus</t>
  </si>
  <si>
    <t>Dallas</t>
  </si>
  <si>
    <t>Toledo</t>
  </si>
  <si>
    <t>OH</t>
  </si>
  <si>
    <t>IL</t>
  </si>
  <si>
    <t>GA</t>
  </si>
  <si>
    <t>TX</t>
  </si>
  <si>
    <t>Class A</t>
  </si>
  <si>
    <t>Class B</t>
  </si>
  <si>
    <t>N,T</t>
  </si>
  <si>
    <t>N</t>
  </si>
  <si>
    <t>H,N</t>
  </si>
  <si>
    <t>T</t>
  </si>
  <si>
    <t>H,N,T</t>
  </si>
  <si>
    <t>P</t>
  </si>
  <si>
    <t>Corrective lenses</t>
  </si>
  <si>
    <t>Automatic transmission only</t>
  </si>
  <si>
    <t>Air brake restriction</t>
  </si>
  <si>
    <t>MC-0010108</t>
  </si>
  <si>
    <t>MC-0020104</t>
  </si>
  <si>
    <t>MC-0030104</t>
  </si>
  <si>
    <t>MC-0040812</t>
  </si>
  <si>
    <t>MC-0051018</t>
  </si>
  <si>
    <t>MC-0060208</t>
  </si>
  <si>
    <t>MC-0071214</t>
  </si>
  <si>
    <t>MC-0080823</t>
  </si>
  <si>
    <t>MC-0091016</t>
  </si>
  <si>
    <t>MC-0100911</t>
  </si>
  <si>
    <t>MC-0110314</t>
  </si>
  <si>
    <t>MC-0120411</t>
  </si>
  <si>
    <t>Dr. Patricia Owens</t>
  </si>
  <si>
    <t>Dr. Kevin Marshall</t>
  </si>
  <si>
    <t>Dr. Lisa Bennett</t>
  </si>
  <si>
    <t>Dr. Ramon Ortiz</t>
  </si>
  <si>
    <t>Dr. Helen Price</t>
  </si>
  <si>
    <t>Dr. Monica Steele</t>
  </si>
  <si>
    <t>Dr. James Carter</t>
  </si>
  <si>
    <t>Dr. Alicia Brooks</t>
  </si>
  <si>
    <t>Dr. David Yang</t>
  </si>
  <si>
    <t>Dr. Shannon Cole</t>
  </si>
  <si>
    <t>Dr. Melissa Tran</t>
  </si>
  <si>
    <t>Dr. Victor Reed</t>
  </si>
  <si>
    <t>ME100001</t>
  </si>
  <si>
    <t>ME100002</t>
  </si>
  <si>
    <t>ME100003</t>
  </si>
  <si>
    <t>ME100004</t>
  </si>
  <si>
    <t>ME100005</t>
  </si>
  <si>
    <t>ME100006</t>
  </si>
  <si>
    <t>ME100007</t>
  </si>
  <si>
    <t>ME100008</t>
  </si>
  <si>
    <t>ME100009</t>
  </si>
  <si>
    <t>ME100010</t>
  </si>
  <si>
    <t>ME100011</t>
  </si>
  <si>
    <t>ME100012</t>
  </si>
  <si>
    <t>Qualified</t>
  </si>
  <si>
    <t>Clear</t>
  </si>
  <si>
    <t>Reviewed - Clear to Drive</t>
  </si>
  <si>
    <t>Authorized to Work</t>
  </si>
  <si>
    <t>U.S. Passport</t>
  </si>
  <si>
    <t>BOF Onboarding Team</t>
  </si>
  <si>
    <t>Complete</t>
  </si>
  <si>
    <t>Individual/Sole Proprietor</t>
  </si>
  <si>
    <t>SSN</t>
  </si>
  <si>
    <t>Received</t>
  </si>
  <si>
    <t>Checking</t>
  </si>
  <si>
    <t>Savings</t>
  </si>
  <si>
    <t>Direct Deposit</t>
  </si>
  <si>
    <t>Verified</t>
  </si>
  <si>
    <t>A. Reynolds</t>
  </si>
  <si>
    <t>D. Foster</t>
  </si>
  <si>
    <t>M. Chen</t>
  </si>
  <si>
    <t>S. Howard</t>
  </si>
  <si>
    <t>T. Warren</t>
  </si>
  <si>
    <t>R. Delgado</t>
  </si>
  <si>
    <t>N. Brooks</t>
  </si>
  <si>
    <t>L. Harper</t>
  </si>
  <si>
    <t>J. Alvarez</t>
  </si>
  <si>
    <t>P. Mitchell</t>
  </si>
  <si>
    <t>C. Nguyen</t>
  </si>
  <si>
    <t>E. Barnes</t>
  </si>
  <si>
    <t>Sleeper tractor</t>
  </si>
  <si>
    <t>Day cab tractor</t>
  </si>
  <si>
    <t>Box truck</t>
  </si>
  <si>
    <t>Straight truck</t>
  </si>
  <si>
    <t>53 ft dry van</t>
  </si>
  <si>
    <t>53 ft reefer</t>
  </si>
  <si>
    <t>Tanker</t>
  </si>
  <si>
    <t>26 ft box</t>
  </si>
  <si>
    <t>Flatbed</t>
  </si>
  <si>
    <t>Cleveland, OH</t>
  </si>
  <si>
    <t>Chicago, IL</t>
  </si>
  <si>
    <t>Atlanta, GA</t>
  </si>
  <si>
    <t>Columbus, OH</t>
  </si>
  <si>
    <t>Dallas, TX</t>
  </si>
  <si>
    <t>Toledo, OH</t>
  </si>
  <si>
    <t>Pass</t>
  </si>
  <si>
    <t>HazMat loads only after refresher every 12 months</t>
  </si>
  <si>
    <t>Automatic transmission assigned</t>
  </si>
  <si>
    <t>Maintain following distance</t>
  </si>
  <si>
    <t>Air brake restriction applies</t>
  </si>
  <si>
    <t>Straight truck route only</t>
  </si>
  <si>
    <t>Passed</t>
  </si>
  <si>
    <t>Enrolled</t>
  </si>
  <si>
    <t>Query Completed</t>
  </si>
  <si>
    <t>Compliant</t>
  </si>
  <si>
    <t>John</t>
  </si>
  <si>
    <t>Maria</t>
  </si>
  <si>
    <t>Alex</t>
  </si>
  <si>
    <t>Priya</t>
  </si>
  <si>
    <t>Kenji</t>
  </si>
  <si>
    <t>Marcus</t>
  </si>
  <si>
    <t>Sofia</t>
  </si>
  <si>
    <t>Liam</t>
  </si>
  <si>
    <t>Emma</t>
  </si>
  <si>
    <t>Noah</t>
  </si>
  <si>
    <t>Olivia</t>
  </si>
  <si>
    <t>Robert</t>
  </si>
  <si>
    <t>Carter</t>
  </si>
  <si>
    <t>Lopez</t>
  </si>
  <si>
    <t>Kim</t>
  </si>
  <si>
    <t>Patel</t>
  </si>
  <si>
    <t>Tanaka</t>
  </si>
  <si>
    <t>Chen</t>
  </si>
  <si>
    <t>Gomez</t>
  </si>
  <si>
    <t>Smith</t>
  </si>
  <si>
    <t>Wilson</t>
  </si>
  <si>
    <t>Lee</t>
  </si>
  <si>
    <t>Johnson</t>
  </si>
  <si>
    <t>OH0000076</t>
  </si>
  <si>
    <t>OH0000077</t>
  </si>
  <si>
    <t>OH0000078</t>
  </si>
  <si>
    <t>OH0000079</t>
  </si>
  <si>
    <t>OH0000080</t>
  </si>
  <si>
    <t>OH0000081</t>
  </si>
  <si>
    <t>IL0000042</t>
  </si>
  <si>
    <t>IL0000043</t>
  </si>
  <si>
    <t>IL0000044</t>
  </si>
  <si>
    <t>IL0000045</t>
  </si>
  <si>
    <t>IL0000046</t>
  </si>
  <si>
    <t>IL0000047</t>
  </si>
  <si>
    <t>GA0000014</t>
  </si>
  <si>
    <t>GA0000015</t>
  </si>
  <si>
    <t>GA0000016</t>
  </si>
  <si>
    <t>GA0000017</t>
  </si>
  <si>
    <t>GA0000018</t>
  </si>
  <si>
    <t>GA0000019</t>
  </si>
  <si>
    <t>OH0000131</t>
  </si>
  <si>
    <t>OH0000132</t>
  </si>
  <si>
    <t>OH0000133</t>
  </si>
  <si>
    <t>OH0000134</t>
  </si>
  <si>
    <t>OH0000135</t>
  </si>
  <si>
    <t>OH0000136</t>
  </si>
  <si>
    <t>OH0000085</t>
  </si>
  <si>
    <t>OH0000086</t>
  </si>
  <si>
    <t>OH0000087</t>
  </si>
  <si>
    <t>OH0000088</t>
  </si>
  <si>
    <t>OH0000089</t>
  </si>
  <si>
    <t>OH0000090</t>
  </si>
  <si>
    <t>TX0000159</t>
  </si>
  <si>
    <t>TX0000160</t>
  </si>
  <si>
    <t>TX0000161</t>
  </si>
  <si>
    <t>TX0000162</t>
  </si>
  <si>
    <t>TX0000163</t>
  </si>
  <si>
    <t>TX0000164</t>
  </si>
  <si>
    <t>OH0000113</t>
  </si>
  <si>
    <t>OH0000114</t>
  </si>
  <si>
    <t>OH0000115</t>
  </si>
  <si>
    <t>OH0000116</t>
  </si>
  <si>
    <t>OH0000117</t>
  </si>
  <si>
    <t>OH0000118</t>
  </si>
  <si>
    <t>OH0000142</t>
  </si>
  <si>
    <t>OH0000143</t>
  </si>
  <si>
    <t>OH0000144</t>
  </si>
  <si>
    <t>OH0000145</t>
  </si>
  <si>
    <t>OH0000146</t>
  </si>
  <si>
    <t>OH0000147</t>
  </si>
  <si>
    <t>OH0000105</t>
  </si>
  <si>
    <t>OH0000106</t>
  </si>
  <si>
    <t>OH0000107</t>
  </si>
  <si>
    <t>OH0000108</t>
  </si>
  <si>
    <t>OH0000109</t>
  </si>
  <si>
    <t>OH0000110</t>
  </si>
  <si>
    <t>IL0000050</t>
  </si>
  <si>
    <t>IL0000051</t>
  </si>
  <si>
    <t>IL0000052</t>
  </si>
  <si>
    <t>IL0000053</t>
  </si>
  <si>
    <t>IL0000054</t>
  </si>
  <si>
    <t>IL0000055</t>
  </si>
  <si>
    <t>GA0000021</t>
  </si>
  <si>
    <t>GA0000022</t>
  </si>
  <si>
    <t>GA0000023</t>
  </si>
  <si>
    <t>GA0000024</t>
  </si>
  <si>
    <t>GA0000025</t>
  </si>
  <si>
    <t>GA0000026</t>
  </si>
  <si>
    <t>IL0000031</t>
  </si>
  <si>
    <t>IL0000032</t>
  </si>
  <si>
    <t>IL0000033</t>
  </si>
  <si>
    <t>IL0000034</t>
  </si>
  <si>
    <t>IL0000035</t>
  </si>
  <si>
    <t>IL0000036</t>
  </si>
  <si>
    <t>CDL Holder</t>
  </si>
  <si>
    <t>(614) 555-0107</t>
  </si>
  <si>
    <t>(312) 555-0101</t>
  </si>
  <si>
    <t>(404) 555-0107</t>
  </si>
  <si>
    <t>(614) 555-0111</t>
  </si>
  <si>
    <t>(614) 555-0106</t>
  </si>
  <si>
    <t>(512) 555-0100</t>
  </si>
  <si>
    <t>(614) 555-0105</t>
  </si>
  <si>
    <t>(614) 555-0114</t>
  </si>
  <si>
    <t>(614) 555-0113</t>
  </si>
  <si>
    <t>(312) 555-0109</t>
  </si>
  <si>
    <t>(404) 555-0100</t>
  </si>
  <si>
    <t>(312) 555-0103</t>
  </si>
  <si>
    <t>OH-ME-970443</t>
  </si>
  <si>
    <t>IL-ME-425674</t>
  </si>
  <si>
    <t>GA-ME-142937</t>
  </si>
  <si>
    <t>OH-ME-293591</t>
  </si>
  <si>
    <t>OH-ME-401933</t>
  </si>
  <si>
    <t>TX-ME-991196</t>
  </si>
  <si>
    <t>OH-ME-801071</t>
  </si>
  <si>
    <t>OH-ME-134036</t>
  </si>
  <si>
    <t>OH-ME-556547</t>
  </si>
  <si>
    <t>IL-ME-366300</t>
  </si>
  <si>
    <t>GA-ME-601747</t>
  </si>
  <si>
    <t>IL-ME-120233</t>
  </si>
  <si>
    <t>Chiropractor</t>
  </si>
  <si>
    <t>MD</t>
  </si>
  <si>
    <t>Advanced Practice Nurse</t>
  </si>
  <si>
    <t>Physician Assistant</t>
  </si>
  <si>
    <t>DO</t>
  </si>
  <si>
    <t>Federal Motor Carrier Safety Regulations</t>
  </si>
  <si>
    <t>Federal Motor Carrier Safety Regulations with applicable State variances</t>
  </si>
  <si>
    <t>No</t>
  </si>
  <si>
    <t>Yes</t>
  </si>
  <si>
    <t>Sarah Carter</t>
  </si>
  <si>
    <t>Jane Doe</t>
  </si>
  <si>
    <t>Spouse</t>
  </si>
  <si>
    <t>Sister</t>
  </si>
  <si>
    <t>206-555-0199</t>
  </si>
  <si>
    <t>555-555-5555</t>
  </si>
  <si>
    <t>Yes - Appendectomy (2005)</t>
  </si>
  <si>
    <t>20/20</t>
  </si>
  <si>
    <t>118</t>
  </si>
  <si>
    <t>78</t>
  </si>
  <si>
    <t>72</t>
  </si>
  <si>
    <t>Normal</t>
  </si>
  <si>
    <t>Negative</t>
  </si>
  <si>
    <t>BOF Fleet Safety &amp; Compliance Policy 2024</t>
  </si>
  <si>
    <t>DRV-001    900-00-0123</t>
  </si>
  <si>
    <t>DRV-002    900-00-0105</t>
  </si>
  <si>
    <t>DRV-003    900-00-0116</t>
  </si>
  <si>
    <t>DRV-004    900-00-0119</t>
  </si>
  <si>
    <t>DRV-005    900-00-0102</t>
  </si>
  <si>
    <t>DRV-006    900-00-0101</t>
  </si>
  <si>
    <t>DRV-007    900-00-0109</t>
  </si>
  <si>
    <t>DRV-008    900-00-0108</t>
  </si>
  <si>
    <t>DRV-009    900-00-0124</t>
  </si>
  <si>
    <t>DRV-010    900-00-0112</t>
  </si>
  <si>
    <t>DRV-011    900-00-0111</t>
  </si>
  <si>
    <t>DRV-012    900-00-0114</t>
  </si>
  <si>
    <t>John T. Carter</t>
  </si>
  <si>
    <t>Maria E. Lopez</t>
  </si>
  <si>
    <t>Alex J. Kim</t>
  </si>
  <si>
    <t>Priya A. Patel</t>
  </si>
  <si>
    <t>Kenji H. Tanaka</t>
  </si>
  <si>
    <t>Marcus W. Chen</t>
  </si>
  <si>
    <t>Sofia I. Gomez</t>
  </si>
  <si>
    <t>Liam P. Smith</t>
  </si>
  <si>
    <t>Emma C. Brown</t>
  </si>
  <si>
    <t>Noah R. Wilson</t>
  </si>
  <si>
    <t>Olivia M. Lee</t>
  </si>
  <si>
    <t>Robert D. Johnson</t>
  </si>
  <si>
    <t>N/A</t>
  </si>
  <si>
    <t>Paid</t>
  </si>
  <si>
    <t>R. Johnson</t>
  </si>
  <si>
    <t>DVR-012</t>
  </si>
  <si>
    <t>O. Lee</t>
  </si>
  <si>
    <t>DVR-011</t>
  </si>
  <si>
    <t>N. Wilson</t>
  </si>
  <si>
    <t>DVR-010</t>
  </si>
  <si>
    <t>E. Brown</t>
  </si>
  <si>
    <t>DVR-009</t>
  </si>
  <si>
    <t>Load Verification</t>
  </si>
  <si>
    <t>Pending</t>
  </si>
  <si>
    <t>L. Smith</t>
  </si>
  <si>
    <t>DVR-008</t>
  </si>
  <si>
    <t>S. Gomez</t>
  </si>
  <si>
    <t>DVR-007</t>
  </si>
  <si>
    <t>DVR-006</t>
  </si>
  <si>
    <t>K. Tanaka</t>
  </si>
  <si>
    <t>DVR-005</t>
  </si>
  <si>
    <t>Awaiting Receipts</t>
  </si>
  <si>
    <t>P. Patel</t>
  </si>
  <si>
    <t>DVR-004</t>
  </si>
  <si>
    <t>A. Kim</t>
  </si>
  <si>
    <t>DVR-003</t>
  </si>
  <si>
    <t>M. Lopez</t>
  </si>
  <si>
    <t>DVR-002</t>
  </si>
  <si>
    <t>J. Carter</t>
  </si>
  <si>
    <t>DVR-001</t>
  </si>
  <si>
    <t>401(k) Rate</t>
  </si>
  <si>
    <t>Pending Reason</t>
  </si>
  <si>
    <t>Net Pay</t>
  </si>
  <si>
    <t>Fuel Reimb.</t>
  </si>
  <si>
    <t>Total Deductions</t>
  </si>
  <si>
    <t>Life Insurance Above 50k</t>
  </si>
  <si>
    <t>Health Insurance Premiums</t>
  </si>
  <si>
    <t>HSA/FSA Health Deduction</t>
  </si>
  <si>
    <t>401(k) Contribution</t>
  </si>
  <si>
    <t>Credit Union Savings Club</t>
  </si>
  <si>
    <t>Insurance Premiums</t>
  </si>
  <si>
    <t>Family Support</t>
  </si>
  <si>
    <t>FM Leave</t>
  </si>
  <si>
    <t>SDI</t>
  </si>
  <si>
    <t>State Withholding</t>
  </si>
  <si>
    <t>Federal Withholding</t>
  </si>
  <si>
    <t>OASDI</t>
  </si>
  <si>
    <t>FICA</t>
  </si>
  <si>
    <t>Gross Pay</t>
  </si>
  <si>
    <t>Safety Bonus</t>
  </si>
  <si>
    <t>Backhaul Pay</t>
  </si>
  <si>
    <t>Base Earnings</t>
  </si>
  <si>
    <t>Name</t>
  </si>
  <si>
    <t>Driver</t>
  </si>
  <si>
    <t>Total Net Pay</t>
  </si>
  <si>
    <t>Total Fuel Reimb.</t>
  </si>
  <si>
    <t>Total Life Insurance Above 50k</t>
  </si>
  <si>
    <t>Total Health Insurance Premiums</t>
  </si>
  <si>
    <t>Total HSA/FSA Health Deduction</t>
  </si>
  <si>
    <t>Total 401(k) Contribution</t>
  </si>
  <si>
    <t>Total Credit Union Savings Club</t>
  </si>
  <si>
    <t>Total Insurance Premiums</t>
  </si>
  <si>
    <t>Total Family Support</t>
  </si>
  <si>
    <t>Total FM Leave</t>
  </si>
  <si>
    <t>Total SDI</t>
  </si>
  <si>
    <t>Total State Withholding</t>
  </si>
  <si>
    <t>Total Federal Withholding</t>
  </si>
  <si>
    <t>Total OASDI</t>
  </si>
  <si>
    <t>Total FICA</t>
  </si>
  <si>
    <t>Total Gross Pay</t>
  </si>
  <si>
    <t>Total Backhaul Pay</t>
  </si>
  <si>
    <t>Total Base Earnings</t>
  </si>
  <si>
    <t>Total</t>
  </si>
  <si>
    <t>Metric</t>
  </si>
  <si>
    <t>Event ID</t>
  </si>
  <si>
    <t>Driver Name</t>
  </si>
  <si>
    <t>Event Type</t>
  </si>
  <si>
    <t>Severity</t>
  </si>
  <si>
    <t>Timestamp</t>
  </si>
  <si>
    <t>Unit</t>
  </si>
  <si>
    <t>Location</t>
  </si>
  <si>
    <t>Details</t>
  </si>
  <si>
    <t>Driver Photo URL</t>
  </si>
  <si>
    <t>Export Status</t>
  </si>
  <si>
    <t>Event Photo URL</t>
  </si>
  <si>
    <t>Insurance Claim ID</t>
  </si>
  <si>
    <t>Claim Status</t>
  </si>
  <si>
    <t>Claim Type</t>
  </si>
  <si>
    <t>Date of Loss</t>
  </si>
  <si>
    <t>Claim Amount</t>
  </si>
  <si>
    <t>Deductible Amount</t>
  </si>
  <si>
    <t>Adjuster Name</t>
  </si>
  <si>
    <t>Insurer Name</t>
  </si>
  <si>
    <t>Policy Number</t>
  </si>
  <si>
    <t>Claim Notes</t>
  </si>
  <si>
    <t>RFID Related?</t>
  </si>
  <si>
    <t>Linked Load ID</t>
  </si>
  <si>
    <t>Linked Driver Document</t>
  </si>
  <si>
    <t>Claim Exposure Band</t>
  </si>
  <si>
    <t>Insurance Claim Needed?</t>
  </si>
  <si>
    <t>EVT-001</t>
  </si>
  <si>
    <t>HOS Violation</t>
  </si>
  <si>
    <t>CRITICAL</t>
  </si>
  <si>
    <t>OPEN</t>
  </si>
  <si>
    <t>T-110</t>
  </si>
  <si>
    <t>I-40 near Nashville, TN</t>
  </si>
  <si>
    <t>Exceeded 11-hour driving limit</t>
  </si>
  <si>
    <t>/drivers/DRV-010.jpg</t>
  </si>
  <si>
    <t>READY</t>
  </si>
  <si>
    <t>/images/safety/EVT-001.jpg</t>
  </si>
  <si>
    <t>CLM-001-4872</t>
  </si>
  <si>
    <t>Property Damage</t>
  </si>
  <si>
    <t>Brandon Yu</t>
  </si>
  <si>
    <t>Progressive Commercial</t>
  </si>
  <si>
    <t>POL-272634</t>
  </si>
  <si>
    <t>Initial notice filed; reserve established</t>
  </si>
  <si>
    <t>NO</t>
  </si>
  <si>
    <t>L-501</t>
  </si>
  <si>
    <t>CDL</t>
  </si>
  <si>
    <t>HIGH</t>
  </si>
  <si>
    <t>YES</t>
  </si>
  <si>
    <t>EVT-002</t>
  </si>
  <si>
    <t>Harsh Braking</t>
  </si>
  <si>
    <t>WARNING</t>
  </si>
  <si>
    <t>T-111</t>
  </si>
  <si>
    <t>Mile Marker 212</t>
  </si>
  <si>
    <t>Sudden hard stop detected</t>
  </si>
  <si>
    <t>/drivers/DRV-006.jpg</t>
  </si>
  <si>
    <t>/images/safety/EVT-002.jpg</t>
  </si>
  <si>
    <t>CLM-002-7396</t>
  </si>
  <si>
    <t>UNDER_REVIEW</t>
  </si>
  <si>
    <t>Renee Collins</t>
  </si>
  <si>
    <t>Nationwide E&amp;S</t>
  </si>
  <si>
    <t>POL-262316</t>
  </si>
  <si>
    <t>Photos received; adjuster assigned</t>
  </si>
  <si>
    <t>L-502</t>
  </si>
  <si>
    <t>DQ File</t>
  </si>
  <si>
    <t>EVT-003</t>
  </si>
  <si>
    <t>Speeding</t>
  </si>
  <si>
    <t>T-108</t>
  </si>
  <si>
    <t>Memphis, TN</t>
  </si>
  <si>
    <t>78 MPH in 55 MPH zone</t>
  </si>
  <si>
    <t>/drivers/DRV-004.jpg</t>
  </si>
  <si>
    <t>/images/safety/EVT-003.jpg</t>
  </si>
  <si>
    <t>CLM-003-5861</t>
  </si>
  <si>
    <t>Auto Liability</t>
  </si>
  <si>
    <t>Kelly Moore</t>
  </si>
  <si>
    <t>Great West Casualty</t>
  </si>
  <si>
    <t>POL-159942</t>
  </si>
  <si>
    <t>Awaiting repair estimate and driver statement</t>
  </si>
  <si>
    <t>L-503</t>
  </si>
  <si>
    <t>MCSA-5876</t>
  </si>
  <si>
    <t>EVT-004</t>
  </si>
  <si>
    <t>Geofence Exit</t>
  </si>
  <si>
    <t>REVIEWED</t>
  </si>
  <si>
    <t>T-101</t>
  </si>
  <si>
    <t>Cleveland Yard</t>
  </si>
  <si>
    <t>Exited designated yard area</t>
  </si>
  <si>
    <t>/drivers/DRV-002.jpg</t>
  </si>
  <si>
    <t>/images/safety/EVT-004.jpg</t>
  </si>
  <si>
    <t>L-504</t>
  </si>
  <si>
    <t>MVR</t>
  </si>
  <si>
    <t>NONE</t>
  </si>
  <si>
    <t>O. Lee      |  0  |  0.98   | 04/04/2026  |  Pass     |  0    | 🟡Standard|   75</t>
  </si>
  <si>
    <t>N. Wilson   |  0  |  1.00   | 04/04/2026  |  Pass     |  0    | 🟢 Elite |  125</t>
  </si>
  <si>
    <t>E. Brown    |  0  |  0.96   | 03/04/2026  |  Pass     |  0    | 🟡Standard|   75</t>
  </si>
  <si>
    <t>L. Smith    |  2  |  0.85   | 01/04/2026  |  Fail     |1200   | 🔴At Risk|   25</t>
  </si>
  <si>
    <t>S. Gomez    |  0  |  1.00   | 04/04/2026  |  Pass     |  0    | 🟢 Elite |  125</t>
  </si>
  <si>
    <t>M. Chen     |  0  |  1.00   | 04/04/2026  |  Pass     |  0    | 🟢 Elite |  125</t>
  </si>
  <si>
    <t>K. Tanaka   |  0  |  0.99   | 04/04/2026  |  Pass     |  0    | 🟡Standard|   75</t>
  </si>
  <si>
    <t>P. Patel    |  1  |  0.92   | 02/04/2026  |  Fail     | 250   | 🔴At Risk|   25</t>
  </si>
  <si>
    <t>A. Kim      |  0  |  1.00   | 04/04/2026  |  Pass     |  0    | 🟢 Elite |  125</t>
  </si>
  <si>
    <t>M. Lopez    |  0  |  0.98   | 03/04/2026  |  Pass     |  0    | 🟡Standard|   75</t>
  </si>
  <si>
    <t>J. Carter   |  0  |  1.00   | 04/04/2026  |  Pass     |  0    | 🟢 Elite |  125</t>
  </si>
  <si>
    <t>Driver      | OOS | HOS     | Maint Photo | Tire Insp | Cargo | Tier     | Bonus</t>
  </si>
  <si>
    <t>=== DRIVER SAFETY METRICS TABLE ===</t>
  </si>
  <si>
    <t>Prevents costly road calls/tows.</t>
  </si>
  <si>
    <t>Passed Tire/Pre-trip Insp.</t>
  </si>
  <si>
    <t>Asset Care</t>
  </si>
  <si>
    <t>Protects the company's CSA score.</t>
  </si>
  <si>
    <t>0 Critical Events (Netradyne)</t>
  </si>
  <si>
    <t>Elite Safety</t>
  </si>
  <si>
    <t>Speeds up Accounts Receivable (A/R).</t>
  </si>
  <si>
    <t>100% Photo Uploads</t>
  </si>
  <si>
    <t>Admin Excellence</t>
  </si>
  <si>
    <t>Lowers insurance premiums.</t>
  </si>
  <si>
    <t>0 OOS Violations</t>
  </si>
  <si>
    <t>Clean Inspection</t>
  </si>
  <si>
    <t>Why it matters to the Fleet Owner</t>
  </si>
  <si>
    <t>Value</t>
  </si>
  <si>
    <t>Requirement</t>
  </si>
  <si>
    <t>Bonus Component</t>
  </si>
  <si>
    <t>Asset or driver negligence.</t>
  </si>
  <si>
    <t>"Tarping failure or roof leak during rainstorm."</t>
  </si>
  <si>
    <t>Water Damage</t>
  </si>
  <si>
    <t>C-WET</t>
  </si>
  <si>
    <t>Potential theft; full load rejection.</t>
  </si>
  <si>
    <t>"Trailer seal broken at delivery without authorization."</t>
  </si>
  <si>
    <t>Seal Breach</t>
  </si>
  <si>
    <t>C-SEAL</t>
  </si>
  <si>
    <t>Mechanical issue; check asset maintenance.</t>
  </si>
  <si>
    <t>"Temperature went out of range (+/- 5 degrees) for 4 hours."</t>
  </si>
  <si>
    <t>Reefer Failure</t>
  </si>
  <si>
    <t>C-TEMP</t>
  </si>
  <si>
    <t>Driver at fault; hold safety bonus.</t>
  </si>
  <si>
    <t>"Improper securement caused pallets to tip during transit."</t>
  </si>
  <si>
    <t>Load Shift</t>
  </si>
  <si>
    <t>C-SHFT</t>
  </si>
  <si>
    <t>Financial Impact</t>
  </si>
  <si>
    <t>Detail</t>
  </si>
  <si>
    <t>Explanation</t>
  </si>
  <si>
    <t>Code</t>
  </si>
  <si>
    <t>Cargo Damage</t>
  </si>
  <si>
    <t>None</t>
  </si>
  <si>
    <t>Low</t>
  </si>
  <si>
    <t>24-hr Reset &amp; Safety Review</t>
  </si>
  <si>
    <t>High</t>
  </si>
  <si>
    <t>L-405 (HOS)</t>
  </si>
  <si>
    <t>Immediate Repair &amp; Photo</t>
  </si>
  <si>
    <t>Med</t>
  </si>
  <si>
    <t>B-102 (Tires)</t>
  </si>
  <si>
    <t>Action Required</t>
  </si>
  <si>
    <t>Reason Code</t>
  </si>
  <si>
    <t>OOS Violations</t>
  </si>
  <si>
    <t>Standard</t>
  </si>
  <si>
    <t>Elite</t>
  </si>
  <si>
    <t xml:space="preserve">Noah Wilson </t>
  </si>
  <si>
    <t xml:space="preserve">Emma Brown </t>
  </si>
  <si>
    <t>At Risk</t>
  </si>
  <si>
    <t>Fail</t>
  </si>
  <si>
    <t>Performance Tier</t>
  </si>
  <si>
    <t>Safety Bonus Earned</t>
  </si>
  <si>
    <t>Tire/Asset Insp.</t>
  </si>
  <si>
    <t>Maintenance Photos</t>
  </si>
  <si>
    <t>HOS Compliance</t>
  </si>
  <si>
    <t>Asset ID</t>
  </si>
  <si>
    <t>Assigned Driver ID</t>
  </si>
  <si>
    <t>Assigned Driver Name</t>
  </si>
  <si>
    <t>Last Service Date</t>
  </si>
  <si>
    <t>Next Service Date</t>
  </si>
  <si>
    <t>Status Indicator</t>
  </si>
  <si>
    <t>Service Status</t>
  </si>
  <si>
    <t>Export Ready</t>
  </si>
  <si>
    <t>T-102</t>
  </si>
  <si>
    <t>T-103</t>
  </si>
  <si>
    <t>T-104</t>
  </si>
  <si>
    <t>T-105</t>
  </si>
  <si>
    <t>T-106</t>
  </si>
  <si>
    <t>T-107</t>
  </si>
  <si>
    <t>T-109</t>
  </si>
  <si>
    <t>T-112</t>
  </si>
  <si>
    <t>T-113</t>
  </si>
  <si>
    <t>T-114</t>
  </si>
  <si>
    <t>T-115</t>
  </si>
  <si>
    <t>T-116</t>
  </si>
  <si>
    <t>T-117</t>
  </si>
  <si>
    <t>T-118</t>
  </si>
  <si>
    <t>T-119</t>
  </si>
  <si>
    <t>T-120</t>
  </si>
  <si>
    <t>T-121</t>
  </si>
  <si>
    <t>T-122</t>
  </si>
  <si>
    <t>T-123</t>
  </si>
  <si>
    <t>T-124</t>
  </si>
  <si>
    <t>T-125</t>
  </si>
  <si>
    <t>Load ID</t>
  </si>
  <si>
    <t>Revenue</t>
  </si>
  <si>
    <t>Driver Signature?</t>
  </si>
  <si>
    <t>Load Status</t>
  </si>
  <si>
    <t>Reason for Pending Status</t>
  </si>
  <si>
    <t>Seal Number (Pickup)</t>
  </si>
  <si>
    <t>Seal Photo (Pickup)</t>
  </si>
  <si>
    <t>Seal Number (Delivery)</t>
  </si>
  <si>
    <t>Seal Photo (Delivery)</t>
  </si>
  <si>
    <t>Seal Status</t>
  </si>
  <si>
    <t>Exception Flag</t>
  </si>
  <si>
    <t>Override Reason</t>
  </si>
  <si>
    <t>Audit Log</t>
  </si>
  <si>
    <t>Compliance Lock</t>
  </si>
  <si>
    <t>Seal Issue Type</t>
  </si>
  <si>
    <t>Photo Required?</t>
  </si>
  <si>
    <t>Review Status</t>
  </si>
  <si>
    <t>Legacy Driver ID</t>
  </si>
  <si>
    <t>Revenue Status</t>
  </si>
  <si>
    <t>Export Load Status</t>
  </si>
  <si>
    <t>Rate Confirmation URL</t>
  </si>
  <si>
    <t>BOL URL</t>
  </si>
  <si>
    <t>Pickup Seal Photo URL</t>
  </si>
  <si>
    <t>Delivery Seal Photo URL</t>
  </si>
  <si>
    <t>POD Image URL</t>
  </si>
  <si>
    <t>Pickup Image URL</t>
  </si>
  <si>
    <t>Delivery Image URL</t>
  </si>
  <si>
    <t>Lumper Image URL</t>
  </si>
  <si>
    <t>Dispatcher Name</t>
  </si>
  <si>
    <t>Broker Name</t>
  </si>
  <si>
    <t>Broker MC Number</t>
  </si>
  <si>
    <t>Shipper Name</t>
  </si>
  <si>
    <t>Pickup Address</t>
  </si>
  <si>
    <t>Pickup City</t>
  </si>
  <si>
    <t>Pickup State</t>
  </si>
  <si>
    <t>Pickup Appointment</t>
  </si>
  <si>
    <t>Consignee Name</t>
  </si>
  <si>
    <t>Delivery Address</t>
  </si>
  <si>
    <t>Delivery City</t>
  </si>
  <si>
    <t>Delivery State</t>
  </si>
  <si>
    <t>Delivery Appointment</t>
  </si>
  <si>
    <t>Commodity</t>
  </si>
  <si>
    <t>Weight (lbs)</t>
  </si>
  <si>
    <t>Pallet Count</t>
  </si>
  <si>
    <t>Piece Count</t>
  </si>
  <si>
    <t>Trailer Number</t>
  </si>
  <si>
    <t>Rate Confirmation Number</t>
  </si>
  <si>
    <t>BOL Number</t>
  </si>
  <si>
    <t>POD Received?</t>
  </si>
  <si>
    <t>POD Received Timestamp</t>
  </si>
  <si>
    <t>Lumper Amount</t>
  </si>
  <si>
    <t>RFID Tag ID</t>
  </si>
  <si>
    <t>RFID Pickup Read Time</t>
  </si>
  <si>
    <t>RFID Delivery Read Time</t>
  </si>
  <si>
    <t>RFID Reader Location</t>
  </si>
  <si>
    <t>RFID Scan Status</t>
  </si>
  <si>
    <t>RFID Exception</t>
  </si>
  <si>
    <t>Origin</t>
  </si>
  <si>
    <t>Destination</t>
  </si>
  <si>
    <t>Pickup Date</t>
  </si>
  <si>
    <t>Delivery Date</t>
  </si>
  <si>
    <t>Pickup Time Window</t>
  </si>
  <si>
    <t>Delivery Time Window</t>
  </si>
  <si>
    <t>Total Pay</t>
  </si>
  <si>
    <t>Linehaul Rate</t>
  </si>
  <si>
    <t>Fuel Surcharge</t>
  </si>
  <si>
    <t>Detention Pay</t>
  </si>
  <si>
    <t>Accessorial Pay</t>
  </si>
  <si>
    <t>Miles</t>
  </si>
  <si>
    <t>Broker Load Number</t>
  </si>
  <si>
    <t>Customer PO Number</t>
  </si>
  <si>
    <t>POD Status</t>
  </si>
  <si>
    <t>POD URL</t>
  </si>
  <si>
    <t>POD Signed By</t>
  </si>
  <si>
    <t>BOL Status</t>
  </si>
  <si>
    <t>BOL Generated Date</t>
  </si>
  <si>
    <t>Rate Confirmation Status</t>
  </si>
  <si>
    <t>Rate Confirmation Date</t>
  </si>
  <si>
    <t>RFID Trailer Tag ID</t>
  </si>
  <si>
    <t>RFID Cargo Tag ID</t>
  </si>
  <si>
    <t>RFID Last Scan Time</t>
  </si>
  <si>
    <t>RFID Last Scan Location</t>
  </si>
  <si>
    <t>Insurance Required?</t>
  </si>
  <si>
    <t>Claim Reserve Amount</t>
  </si>
  <si>
    <t>Estimated Claim Exposure</t>
  </si>
  <si>
    <t>Insurance Coverage Type</t>
  </si>
  <si>
    <t>Incident Report Linked?</t>
  </si>
  <si>
    <t>Proof Bundle Complete?</t>
  </si>
  <si>
    <t>Total Revenue</t>
  </si>
  <si>
    <t>Driver Pay</t>
  </si>
  <si>
    <t>Settlement Hold?</t>
  </si>
  <si>
    <t>Settlement Hold Reason</t>
  </si>
  <si>
    <t>Proof Status</t>
  </si>
  <si>
    <t>Origin State</t>
  </si>
  <si>
    <t>Destination State</t>
  </si>
  <si>
    <t>DELIVERED</t>
  </si>
  <si>
    <t>SEAL-83921</t>
  </si>
  <si>
    <t>pickup_photo_01.jpg</t>
  </si>
  <si>
    <t>SEAL-83920</t>
  </si>
  <si>
    <t>delivery_photo_01.jpg</t>
  </si>
  <si>
    <t>SEAL_MISMATCH</t>
  </si>
  <si>
    <t>Driver 1</t>
  </si>
  <si>
    <t>/documents/loads/L-501_RC.pdf</t>
  </si>
  <si>
    <t>/documents/loads/L-501_BOL.pdf</t>
  </si>
  <si>
    <t>/documents/loads/L-501_PICKUP_SEAL.jpg</t>
  </si>
  <si>
    <t>/documents/loads/L-501_DELIVERY_SEAL.jpg</t>
  </si>
  <si>
    <t>/drivers/DRV-001.jpg</t>
  </si>
  <si>
    <t>/images/pod/L-501_POD.jpg</t>
  </si>
  <si>
    <t>/images/pickup/L-501_PICKUP.jpg</t>
  </si>
  <si>
    <t>/images/delivery/L-501_DELIVERY.jpg</t>
  </si>
  <si>
    <t>/images/lumper/L-501_LUMPER.jpg</t>
  </si>
  <si>
    <t>Tina Brooks</t>
  </si>
  <si>
    <t>BlueLine Logistics</t>
  </si>
  <si>
    <t>MC-782104</t>
  </si>
  <si>
    <t>Peachtree Foods</t>
  </si>
  <si>
    <t>1450 Industrial Pkwy</t>
  </si>
  <si>
    <t>Desert Valley Grocers</t>
  </si>
  <si>
    <t>504 Mesa Park</t>
  </si>
  <si>
    <t>Phoenix</t>
  </si>
  <si>
    <t>AZ</t>
  </si>
  <si>
    <t>Frozen foods</t>
  </si>
  <si>
    <t>TRL-2854</t>
  </si>
  <si>
    <t>RC-501-204</t>
  </si>
  <si>
    <t>BOL-501-9935</t>
  </si>
  <si>
    <t>RFID-501-65302</t>
  </si>
  <si>
    <t>Atlanta Yard Gate 1</t>
  </si>
  <si>
    <t>VERIFIED</t>
  </si>
  <si>
    <t/>
  </si>
  <si>
    <t>NO_CLAIM</t>
  </si>
  <si>
    <t>POL-660002</t>
  </si>
  <si>
    <t>Acme Distribution - Cleveland, OH</t>
  </si>
  <si>
    <t>Metro Fulfillment - Dallas, TX</t>
  </si>
  <si>
    <t>10:00-13:00</t>
  </si>
  <si>
    <t>09:00-13:00</t>
  </si>
  <si>
    <t>BLN-100500</t>
  </si>
  <si>
    <t>PO-84000</t>
  </si>
  <si>
    <t>RECEIVED</t>
  </si>
  <si>
    <t>Warehouse Clerk</t>
  </si>
  <si>
    <t>UPLOADED</t>
  </si>
  <si>
    <t>TRAIL-2002</t>
  </si>
  <si>
    <t>CARGO-5002</t>
  </si>
  <si>
    <t>Dock Door 3</t>
  </si>
  <si>
    <t>No active claim</t>
  </si>
  <si>
    <t>Motor Truck Cargo</t>
  </si>
  <si>
    <t>COMPLETE</t>
  </si>
  <si>
    <t>IN_TRANSIT</t>
  </si>
  <si>
    <t>SEAL-55219</t>
  </si>
  <si>
    <t>pickup_photo_02.jpg</t>
  </si>
  <si>
    <t>delivery_photo_02.jpg</t>
  </si>
  <si>
    <t>CLOSED</t>
  </si>
  <si>
    <t>Driver 2</t>
  </si>
  <si>
    <t>PENDING</t>
  </si>
  <si>
    <t>/documents/loads/L-502_RC.pdf</t>
  </si>
  <si>
    <t>/documents/loads/L-502_BOL.pdf</t>
  </si>
  <si>
    <t>/documents/loads/L-502_PICKUP_SEAL.jpg</t>
  </si>
  <si>
    <t>/documents/loads/L-502_DELIVERY_SEAL.jpg</t>
  </si>
  <si>
    <t>/images/pod/L-502_POD.jpg</t>
  </si>
  <si>
    <t>/images/pickup/L-502_PICKUP.jpg</t>
  </si>
  <si>
    <t>/images/delivery/L-502_DELIVERY.jpg</t>
  </si>
  <si>
    <t>/images/lumper/L-502_LUMPER.jpg</t>
  </si>
  <si>
    <t>Jamal Reeves</t>
  </si>
  <si>
    <t>Summit Freight</t>
  </si>
  <si>
    <t>MC-641255</t>
  </si>
  <si>
    <t>Lakeside Plastics</t>
  </si>
  <si>
    <t>880 Harbor Dr</t>
  </si>
  <si>
    <t>Great Lakes Foods</t>
  </si>
  <si>
    <t>109 Shoreline Dr</t>
  </si>
  <si>
    <t>Detroit</t>
  </si>
  <si>
    <t>MI</t>
  </si>
  <si>
    <t>Dry groceries</t>
  </si>
  <si>
    <t>TRL-2559</t>
  </si>
  <si>
    <t>RC-502-703</t>
  </si>
  <si>
    <t>BOL-502-5557</t>
  </si>
  <si>
    <t>RFID-502-30926</t>
  </si>
  <si>
    <t>Cleveland Yard Gate 3</t>
  </si>
  <si>
    <t>PENDING_DELIVERY</t>
  </si>
  <si>
    <t>POL-660003</t>
  </si>
  <si>
    <t>Midwest Foods - Chicago, IL</t>
  </si>
  <si>
    <t>South Hub DC - Memphis, TN</t>
  </si>
  <si>
    <t>08:00-11:00</t>
  </si>
  <si>
    <t>10:00-14:00</t>
  </si>
  <si>
    <t>BLN-100501</t>
  </si>
  <si>
    <t>PO-84001</t>
  </si>
  <si>
    <t>Receiver</t>
  </si>
  <si>
    <t>TRAIL-2003</t>
  </si>
  <si>
    <t>CARGO-5003</t>
  </si>
  <si>
    <t>Yard Gate A</t>
  </si>
  <si>
    <t>SEAL-77102</t>
  </si>
  <si>
    <t>pickup_photo_03.jpg</t>
  </si>
  <si>
    <t>MISSING_DELIVERY_SEAL</t>
  </si>
  <si>
    <t>Driver 3</t>
  </si>
  <si>
    <t>/documents/loads/L-503_RC.pdf</t>
  </si>
  <si>
    <t>/documents/loads/L-503_BOL.pdf</t>
  </si>
  <si>
    <t>/documents/loads/L-503_PICKUP_SEAL.jpg</t>
  </si>
  <si>
    <t>/documents/loads/L-503_DELIVERY_SEAL.jpg</t>
  </si>
  <si>
    <t>/drivers/DRV-003.jpg</t>
  </si>
  <si>
    <t>/images/pod/L-503_POD.jpg</t>
  </si>
  <si>
    <t>/images/pickup/L-503_PICKUP.jpg</t>
  </si>
  <si>
    <t>/images/delivery/L-503_DELIVERY.jpg</t>
  </si>
  <si>
    <t>/images/lumper/L-503_LUMPER.jpg</t>
  </si>
  <si>
    <t>Morgan Patel</t>
  </si>
  <si>
    <t>IronRoute Transport</t>
  </si>
  <si>
    <t>MC-518903</t>
  </si>
  <si>
    <t>Midwest Paper Co.</t>
  </si>
  <si>
    <t>2210 Mill Rd</t>
  </si>
  <si>
    <t>Capital Retail Hub</t>
  </si>
  <si>
    <t>755 Market Loop</t>
  </si>
  <si>
    <t>Indianapolis</t>
  </si>
  <si>
    <t>IN</t>
  </si>
  <si>
    <t>Plastic resins</t>
  </si>
  <si>
    <t>TRL-2452</t>
  </si>
  <si>
    <t>RC-503-718</t>
  </si>
  <si>
    <t>BOL-503-5333</t>
  </si>
  <si>
    <t>RFID-503-80284</t>
  </si>
  <si>
    <t>Columbus Yard Gate 4</t>
  </si>
  <si>
    <t>MISREAD_AT_GATE</t>
  </si>
  <si>
    <t>CLM-2026004</t>
  </si>
  <si>
    <t>FILED</t>
  </si>
  <si>
    <t>Seal Tampering</t>
  </si>
  <si>
    <t>Jordan Patel</t>
  </si>
  <si>
    <t>Travelers</t>
  </si>
  <si>
    <t>POL-660004</t>
  </si>
  <si>
    <t>BlueLine Retail - Indianapolis, IN</t>
  </si>
  <si>
    <t>Lakeside Grocery - Atlanta, GA</t>
  </si>
  <si>
    <t>09:00-12:00</t>
  </si>
  <si>
    <t>11:00-15:00</t>
  </si>
  <si>
    <t>BLN-100502</t>
  </si>
  <si>
    <t>PO-84002</t>
  </si>
  <si>
    <t>Dock Supervisor</t>
  </si>
  <si>
    <t>MISSING</t>
  </si>
  <si>
    <t>TRAIL-2004</t>
  </si>
  <si>
    <t>CARGO-5004</t>
  </si>
  <si>
    <t>Warehouse South</t>
  </si>
  <si>
    <t>General Liability</t>
  </si>
  <si>
    <t>Missing proof bundle</t>
  </si>
  <si>
    <t>INCOMPLETE</t>
  </si>
  <si>
    <t>Awaiting POD</t>
  </si>
  <si>
    <t>SEAL-61044</t>
  </si>
  <si>
    <t>pickup_photo_04.jpg</t>
  </si>
  <si>
    <t>SEAL-61043</t>
  </si>
  <si>
    <t>delivery_photo_04.jpg</t>
  </si>
  <si>
    <t>Dock supervisor approved</t>
  </si>
  <si>
    <t>Driver 4</t>
  </si>
  <si>
    <t>/documents/loads/L-504_RC.pdf</t>
  </si>
  <si>
    <t>/documents/loads/L-504_BOL.pdf</t>
  </si>
  <si>
    <t>/documents/loads/L-504_PICKUP_SEAL.jpg</t>
  </si>
  <si>
    <t>/documents/loads/L-504_DELIVERY_SEAL.jpg</t>
  </si>
  <si>
    <t>/images/pod/L-504_POD.jpg</t>
  </si>
  <si>
    <t>/images/pickup/L-504_PICKUP.jpg</t>
  </si>
  <si>
    <t>/images/delivery/L-504_DELIVERY.jpg</t>
  </si>
  <si>
    <t>/images/lumper/L-504_LUMPER.jpg</t>
  </si>
  <si>
    <t>Avery Collins</t>
  </si>
  <si>
    <t>NorthStar 3PL</t>
  </si>
  <si>
    <t>MC-774221</t>
  </si>
  <si>
    <t>Sunbelt Beverages</t>
  </si>
  <si>
    <t>9900 Commerce Blvd</t>
  </si>
  <si>
    <t>Charlotte</t>
  </si>
  <si>
    <t>NC</t>
  </si>
  <si>
    <t>Bayport Imports</t>
  </si>
  <si>
    <t>330 Dockside Ln</t>
  </si>
  <si>
    <t>Savannah</t>
  </si>
  <si>
    <t>Building materials</t>
  </si>
  <si>
    <t>TRL-2396</t>
  </si>
  <si>
    <t>RC-504-181</t>
  </si>
  <si>
    <t>BOL-504-4814</t>
  </si>
  <si>
    <t>RFID-504-59823</t>
  </si>
  <si>
    <t>Charlotte Yard Gate 4</t>
  </si>
  <si>
    <t>MISREAD</t>
  </si>
  <si>
    <t>CLM-504-4432</t>
  </si>
  <si>
    <t>SETTLED</t>
  </si>
  <si>
    <t>Shortage</t>
  </si>
  <si>
    <t>Travelers Inland Marine</t>
  </si>
  <si>
    <t>POL-660086</t>
  </si>
  <si>
    <t>NorthStar Paper - Dallas, TX</t>
  </si>
  <si>
    <t>Cleveland Receiver - St. Louis, MO</t>
  </si>
  <si>
    <t>BLN-100503</t>
  </si>
  <si>
    <t>PO-84003</t>
  </si>
  <si>
    <t>Inventory Lead</t>
  </si>
  <si>
    <t>TRAIL-2005</t>
  </si>
  <si>
    <t>CARGO-5005</t>
  </si>
  <si>
    <t>Crossdock Bay 2</t>
  </si>
  <si>
    <t>Shortage under review</t>
  </si>
  <si>
    <t>L-505</t>
  </si>
  <si>
    <t>SEAL-44018</t>
  </si>
  <si>
    <t>pickup_photo_05.jpg</t>
  </si>
  <si>
    <t>delivery_photo_05.jpg</t>
  </si>
  <si>
    <t>Driver 5</t>
  </si>
  <si>
    <t>/documents/loads/L-505_RC.pdf</t>
  </si>
  <si>
    <t>/documents/loads/L-505_BOL.pdf</t>
  </si>
  <si>
    <t>/documents/loads/L-505_PICKUP_SEAL.jpg</t>
  </si>
  <si>
    <t>/documents/loads/L-505_DELIVERY_SEAL.jpg</t>
  </si>
  <si>
    <t>/drivers/DRV-005.jpg</t>
  </si>
  <si>
    <t>/images/pod/L-505_POD.jpg</t>
  </si>
  <si>
    <t>/images/pickup/L-505_PICKUP.jpg</t>
  </si>
  <si>
    <t>/images/delivery/L-505_DELIVERY.jpg</t>
  </si>
  <si>
    <t>/images/lumper/L-505_LUMPER.jpg</t>
  </si>
  <si>
    <t>Nina Harris</t>
  </si>
  <si>
    <t>Pioneer Brokerage</t>
  </si>
  <si>
    <t>MC-699114</t>
  </si>
  <si>
    <t>Frontier Retail DC</t>
  </si>
  <si>
    <t>5600 Warehouse Way</t>
  </si>
  <si>
    <t>Metro Supply Chain</t>
  </si>
  <si>
    <t>120 Junction Rd</t>
  </si>
  <si>
    <t>Paper products</t>
  </si>
  <si>
    <t>TRL-2432</t>
  </si>
  <si>
    <t>RC-505-963</t>
  </si>
  <si>
    <t>BOL-505-1916</t>
  </si>
  <si>
    <t>RFID-505-51347</t>
  </si>
  <si>
    <t>Dallas Yard Gate 1</t>
  </si>
  <si>
    <t>CLM-2026006</t>
  </si>
  <si>
    <t>RESOLVED</t>
  </si>
  <si>
    <t>Alex Rivera</t>
  </si>
  <si>
    <t>Zurich</t>
  </si>
  <si>
    <t>POL-660006</t>
  </si>
  <si>
    <t>Rapid Parts - Memphis, TN</t>
  </si>
  <si>
    <t>Delta Retail DC - Nashville, TN</t>
  </si>
  <si>
    <t>BLN-100504</t>
  </si>
  <si>
    <t>PO-84004</t>
  </si>
  <si>
    <t>TRAIL-2006</t>
  </si>
  <si>
    <t>CARGO-5006</t>
  </si>
  <si>
    <t>Receiver Gate 1</t>
  </si>
  <si>
    <t>Cargo shift photos attached</t>
  </si>
  <si>
    <t>L-506</t>
  </si>
  <si>
    <t>SEAL-99871</t>
  </si>
  <si>
    <t>pickup_photo_06.jpg</t>
  </si>
  <si>
    <t>Driver 6</t>
  </si>
  <si>
    <t>/documents/loads/L-506_RC.pdf</t>
  </si>
  <si>
    <t>/documents/loads/L-506_BOL.pdf</t>
  </si>
  <si>
    <t>/documents/loads/L-506_PICKUP_SEAL.jpg</t>
  </si>
  <si>
    <t>/documents/loads/L-506_DELIVERY_SEAL.jpg</t>
  </si>
  <si>
    <t>/images/pod/L-506_POD.jpg</t>
  </si>
  <si>
    <t>/images/pickup/L-506_PICKUP.jpg</t>
  </si>
  <si>
    <t>/images/delivery/L-506_DELIVERY.jpg</t>
  </si>
  <si>
    <t>/images/lumper/L-506_LUMPER.jpg</t>
  </si>
  <si>
    <t>Ozark Building Supply</t>
  </si>
  <si>
    <t>710 Quarry Rd</t>
  </si>
  <si>
    <t>Springfield</t>
  </si>
  <si>
    <t>MO</t>
  </si>
  <si>
    <t>River City Distribution</t>
  </si>
  <si>
    <t>2100 Depot Ave</t>
  </si>
  <si>
    <t>Nashville</t>
  </si>
  <si>
    <t>TN</t>
  </si>
  <si>
    <t>Consumer packaged goods</t>
  </si>
  <si>
    <t>TRL-2371</t>
  </si>
  <si>
    <t>RC-506-242</t>
  </si>
  <si>
    <t>BOL-506-5040</t>
  </si>
  <si>
    <t>RFID-506-80644</t>
  </si>
  <si>
    <t>Springfield Yard Gate 4</t>
  </si>
  <si>
    <t>NO_FINAL_SCAN</t>
  </si>
  <si>
    <t>CLM-506-3266</t>
  </si>
  <si>
    <t>Late Delivery</t>
  </si>
  <si>
    <t>POL-757924</t>
  </si>
  <si>
    <t>Prime Consumer - Atlanta, GA</t>
  </si>
  <si>
    <t>Union Crossdock - Cleveland, OH</t>
  </si>
  <si>
    <t>BLN-100505</t>
  </si>
  <si>
    <t>PO-84005</t>
  </si>
  <si>
    <t>TRAIL-2007</t>
  </si>
  <si>
    <t>CARGO-5007</t>
  </si>
  <si>
    <t>Minor dock scrape</t>
  </si>
  <si>
    <t>L-507</t>
  </si>
  <si>
    <t>SEAL-73005</t>
  </si>
  <si>
    <t>pickup_photo_07.jpg</t>
  </si>
  <si>
    <t>SEAL-73099</t>
  </si>
  <si>
    <t>delivery_photo_07.jpg</t>
  </si>
  <si>
    <t>Driver 7</t>
  </si>
  <si>
    <t>/documents/loads/L-507_RC.pdf</t>
  </si>
  <si>
    <t>/documents/loads/L-507_BOL.pdf</t>
  </si>
  <si>
    <t>/documents/loads/L-507_PICKUP_SEAL.jpg</t>
  </si>
  <si>
    <t>/documents/loads/L-507_DELIVERY_SEAL.jpg</t>
  </si>
  <si>
    <t>/drivers/DRV-007.jpg</t>
  </si>
  <si>
    <t>/images/pod/L-507_POD.jpg</t>
  </si>
  <si>
    <t>/images/pickup/L-507_PICKUP.jpg</t>
  </si>
  <si>
    <t>/images/delivery/L-507_DELIVERY.jpg</t>
  </si>
  <si>
    <t>/images/lumper/L-507_LUMPER.jpg</t>
  </si>
  <si>
    <t>Prairie Grain Co.</t>
  </si>
  <si>
    <t>443 County Line Rd</t>
  </si>
  <si>
    <t>Omaha</t>
  </si>
  <si>
    <t>NE</t>
  </si>
  <si>
    <t>Keystone Wholesale</t>
  </si>
  <si>
    <t>88 Liberty St</t>
  </si>
  <si>
    <t>Pittsburgh</t>
  </si>
  <si>
    <t>PA</t>
  </si>
  <si>
    <t>Beverages</t>
  </si>
  <si>
    <t>TRL-2579</t>
  </si>
  <si>
    <t>RC-507-641</t>
  </si>
  <si>
    <t>BOL-507-5119</t>
  </si>
  <si>
    <t>RFID-507-11504</t>
  </si>
  <si>
    <t>Omaha Yard Gate 3</t>
  </si>
  <si>
    <t>POL-660008</t>
  </si>
  <si>
    <t>Acme Distribution - St. Louis, MO</t>
  </si>
  <si>
    <t>Metro Fulfillment - Chicago, IL</t>
  </si>
  <si>
    <t>BLN-100506</t>
  </si>
  <si>
    <t>PO-84006</t>
  </si>
  <si>
    <t>TRAIL-2008</t>
  </si>
  <si>
    <t>CARGO-5008</t>
  </si>
  <si>
    <t>L-508</t>
  </si>
  <si>
    <t>SEAL-18542</t>
  </si>
  <si>
    <t>pickup_photo_08.jpg</t>
  </si>
  <si>
    <t>delivery_photo_08.jpg</t>
  </si>
  <si>
    <t>Driver 8</t>
  </si>
  <si>
    <t>/documents/loads/L-508_RC.pdf</t>
  </si>
  <si>
    <t>/documents/loads/L-508_BOL.pdf</t>
  </si>
  <si>
    <t>/documents/loads/L-508_PICKUP_SEAL.jpg</t>
  </si>
  <si>
    <t>/documents/loads/L-508_DELIVERY_SEAL.jpg</t>
  </si>
  <si>
    <t>/drivers/DRV-008.jpg</t>
  </si>
  <si>
    <t>/images/pod/L-508_POD.jpg</t>
  </si>
  <si>
    <t>/images/pickup/L-508_PICKUP.jpg</t>
  </si>
  <si>
    <t>/images/delivery/L-508_DELIVERY.jpg</t>
  </si>
  <si>
    <t>/images/lumper/L-508_LUMPER.jpg</t>
  </si>
  <si>
    <t>Auto parts</t>
  </si>
  <si>
    <t>TRL-2208</t>
  </si>
  <si>
    <t>RC-508-991</t>
  </si>
  <si>
    <t>BOL-508-5889</t>
  </si>
  <si>
    <t>RFID-508-89818</t>
  </si>
  <si>
    <t>Atlanta Yard Gate 3</t>
  </si>
  <si>
    <t>DUPLICATE_SCAN</t>
  </si>
  <si>
    <t>CLM-508-9689</t>
  </si>
  <si>
    <t>Alicia Gomez</t>
  </si>
  <si>
    <t>POL-351083</t>
  </si>
  <si>
    <t>Midwest Foods - Nashville, TN</t>
  </si>
  <si>
    <t>South Hub DC - Indianapolis, IN</t>
  </si>
  <si>
    <t>BLN-100507</t>
  </si>
  <si>
    <t>PO-84007</t>
  </si>
  <si>
    <t>TRAIL-2009</t>
  </si>
  <si>
    <t>CARGO-5009</t>
  </si>
  <si>
    <t>L-509</t>
  </si>
  <si>
    <t>Customer hold</t>
  </si>
  <si>
    <t>SEAL-26790</t>
  </si>
  <si>
    <t>pickup_photo_09.jpg</t>
  </si>
  <si>
    <t>SEAL-26791</t>
  </si>
  <si>
    <t>delivery_photo_09.jpg</t>
  </si>
  <si>
    <t>Carrier note logged</t>
  </si>
  <si>
    <t>Driver 9</t>
  </si>
  <si>
    <t>/documents/loads/L-509_RC.pdf</t>
  </si>
  <si>
    <t>/documents/loads/L-509_BOL.pdf</t>
  </si>
  <si>
    <t>/documents/loads/L-509_PICKUP_SEAL.jpg</t>
  </si>
  <si>
    <t>/documents/loads/L-509_DELIVERY_SEAL.jpg</t>
  </si>
  <si>
    <t>/drivers/DRV-009.jpg</t>
  </si>
  <si>
    <t>/images/pod/L-509_POD.jpg</t>
  </si>
  <si>
    <t>/images/pickup/L-509_PICKUP.jpg</t>
  </si>
  <si>
    <t>/images/delivery/L-509_DELIVERY.jpg</t>
  </si>
  <si>
    <t>/images/lumper/L-509_LUMPER.jpg</t>
  </si>
  <si>
    <t>TRL-2170</t>
  </si>
  <si>
    <t>RC-509-878</t>
  </si>
  <si>
    <t>BOL-509-9727</t>
  </si>
  <si>
    <t>RFID-509-26828</t>
  </si>
  <si>
    <t>Cleveland Yard Gate 2</t>
  </si>
  <si>
    <t>Nationwide</t>
  </si>
  <si>
    <t>POL-660010</t>
  </si>
  <si>
    <t>BlueLine Retail - Cleveland, OH</t>
  </si>
  <si>
    <t>Lakeside Grocery - Dallas, TX</t>
  </si>
  <si>
    <t>BLN-100508</t>
  </si>
  <si>
    <t>PO-84008</t>
  </si>
  <si>
    <t>TRAIL-2010</t>
  </si>
  <si>
    <t>CARGO-5010</t>
  </si>
  <si>
    <t>L-510</t>
  </si>
  <si>
    <t>SEAL-48113</t>
  </si>
  <si>
    <t>pickup_photo_10.jpg</t>
  </si>
  <si>
    <t>Driver 10</t>
  </si>
  <si>
    <t>/documents/loads/L-510_RC.pdf</t>
  </si>
  <si>
    <t>/documents/loads/L-510_BOL.pdf</t>
  </si>
  <si>
    <t>/documents/loads/L-510_PICKUP_SEAL.jpg</t>
  </si>
  <si>
    <t>/documents/loads/L-510_DELIVERY_SEAL.jpg</t>
  </si>
  <si>
    <t>/images/pod/L-510_POD.jpg</t>
  </si>
  <si>
    <t>/images/pickup/L-510_PICKUP.jpg</t>
  </si>
  <si>
    <t>/images/delivery/L-510_DELIVERY.jpg</t>
  </si>
  <si>
    <t>/images/lumper/L-510_LUMPER.jpg</t>
  </si>
  <si>
    <t>TRL-2629</t>
  </si>
  <si>
    <t>RC-510-562</t>
  </si>
  <si>
    <t>BOL-510-2982</t>
  </si>
  <si>
    <t>RFID-510-18392</t>
  </si>
  <si>
    <t>Columbus Yard Gate 2</t>
  </si>
  <si>
    <t>CLM-510-1964</t>
  </si>
  <si>
    <t>POL-392004</t>
  </si>
  <si>
    <t>NorthStar Paper - Chicago, IL</t>
  </si>
  <si>
    <t>Cleveland Receiver - Memphis, TN</t>
  </si>
  <si>
    <t>BLN-100509</t>
  </si>
  <si>
    <t>PO-84009</t>
  </si>
  <si>
    <t>TRAIL-2011</t>
  </si>
  <si>
    <t>CARGO-5011</t>
  </si>
  <si>
    <t>L-511</t>
  </si>
  <si>
    <t>SEAL-91420</t>
  </si>
  <si>
    <t>pickup_photo_11.jpg</t>
  </si>
  <si>
    <t>delivery_photo_11.jpg</t>
  </si>
  <si>
    <t>Driver 11</t>
  </si>
  <si>
    <t>/documents/loads/L-511_RC.pdf</t>
  </si>
  <si>
    <t>/documents/loads/L-511_BOL.pdf</t>
  </si>
  <si>
    <t>/documents/loads/L-511_PICKUP_SEAL.jpg</t>
  </si>
  <si>
    <t>/documents/loads/L-511_DELIVERY_SEAL.jpg</t>
  </si>
  <si>
    <t>/drivers/DRV-011.jpg</t>
  </si>
  <si>
    <t>/images/pod/L-511_POD.jpg</t>
  </si>
  <si>
    <t>/images/pickup/L-511_PICKUP.jpg</t>
  </si>
  <si>
    <t>/images/delivery/L-511_DELIVERY.jpg</t>
  </si>
  <si>
    <t>/images/lumper/L-511_LUMPER.jpg</t>
  </si>
  <si>
    <t>TRL-2584</t>
  </si>
  <si>
    <t>RC-511-926</t>
  </si>
  <si>
    <t>BOL-511-7669</t>
  </si>
  <si>
    <t>RFID-511-22363</t>
  </si>
  <si>
    <t>POL-660012</t>
  </si>
  <si>
    <t>Rapid Parts - Indianapolis, IN</t>
  </si>
  <si>
    <t>Delta Retail DC - Atlanta, GA</t>
  </si>
  <si>
    <t>BLN-100510</t>
  </si>
  <si>
    <t>PO-84010</t>
  </si>
  <si>
    <t>TRAIL-2012</t>
  </si>
  <si>
    <t>CARGO-5012</t>
  </si>
  <si>
    <t>L-512</t>
  </si>
  <si>
    <t>SEAL-35864</t>
  </si>
  <si>
    <t>pickup_photo_12.jpg</t>
  </si>
  <si>
    <t>SEAL-35860</t>
  </si>
  <si>
    <t>delivery_photo_12.jpg</t>
  </si>
  <si>
    <t>Driver 12</t>
  </si>
  <si>
    <t>/documents/loads/L-512_RC.pdf</t>
  </si>
  <si>
    <t>/documents/loads/L-512_BOL.pdf</t>
  </si>
  <si>
    <t>/documents/loads/L-512_PICKUP_SEAL.jpg</t>
  </si>
  <si>
    <t>/documents/loads/L-512_DELIVERY_SEAL.jpg</t>
  </si>
  <si>
    <t>/drivers/DRV-012.jpg</t>
  </si>
  <si>
    <t>/images/pod/L-512_POD.jpg</t>
  </si>
  <si>
    <t>/images/pickup/L-512_PICKUP.jpg</t>
  </si>
  <si>
    <t>/images/delivery/L-512_DELIVERY.jpg</t>
  </si>
  <si>
    <t>/images/lumper/L-512_LUMPER.jpg</t>
  </si>
  <si>
    <t>TRL-2211</t>
  </si>
  <si>
    <t>RC-512-354</t>
  </si>
  <si>
    <t>BOL-512-4139</t>
  </si>
  <si>
    <t>RFID-512-68800</t>
  </si>
  <si>
    <t>Dallas Yard Gate 2</t>
  </si>
  <si>
    <t>CLM-512-2235</t>
  </si>
  <si>
    <t>POL-890170</t>
  </si>
  <si>
    <t>Prime Consumer - Dallas, TX</t>
  </si>
  <si>
    <t>Union Crossdock - St. Louis, MO</t>
  </si>
  <si>
    <t>BLN-100511</t>
  </si>
  <si>
    <t>PO-84011</t>
  </si>
  <si>
    <t>TRAIL-2013</t>
  </si>
  <si>
    <t>CARGO-5013</t>
  </si>
  <si>
    <t>Seal mismatch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</si>
</sst>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164" formatCode="yyyy\-mm\-dd\ hh:mm:ss"/>
    <numFmt numFmtId="165" formatCode="&quot;$&quot;#,##0.00"/>
    <numFmt numFmtId="166" formatCode="&quot;$&quot;#,##0.00_-"/>
    <numFmt numFmtId="167" formatCode="m/d/yyyy\ h:mm\ AM/PM"/>
    <numFmt numFmtId="168" formatCode="mm/dd/yyyy"/>
    <numFmt numFmtId="169" formatCode="\$#,##0.00"/>
    <numFmt numFmtId="170" formatCode="mm/dd/yyyy\ hh:mm\ AM/PM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Arial"/>
    </font>
    <font>
      <sz val="10"/>
      <color rgb="FF000000"/>
      <name val="Aptos Narrow"/>
      <family val="2"/>
    </font>
    <font>
      <sz val="11"/>
      <color theme="1"/>
      <name val="Aptos Narrow"/>
    </font>
    <font>
      <b/>
      <sz val="11"/>
      <color rgb="FFFFFFFF"/>
      <name val="Aptos Narrow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1D5DB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vertical="center"/>
    </xf>
    <xf numFmtId="165" fontId="0" fillId="0" borderId="0" xfId="0" applyNumberFormat="1"/>
    <xf numFmtId="165" fontId="3" fillId="0" borderId="0" xfId="0" applyNumberFormat="1" applyFont="1"/>
    <xf numFmtId="165" fontId="4" fillId="0" borderId="0" xfId="0" applyNumberFormat="1" applyFont="1"/>
    <xf numFmtId="166" fontId="3" fillId="0" borderId="0" xfId="0" applyNumberFormat="1" applyFont="1"/>
    <xf numFmtId="6" fontId="5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6" fontId="0" fillId="0" borderId="0" xfId="0" applyNumberFormat="1"/>
    <xf numFmtId="0" fontId="8" fillId="2" borderId="2" xfId="1" applyFont="1" applyFill="1" applyBorder="1" applyAlignment="1">
      <alignment horizontal="center" vertical="center"/>
    </xf>
    <xf numFmtId="0" fontId="7" fillId="0" borderId="0" xfId="1"/>
    <xf numFmtId="167" fontId="7" fillId="0" borderId="0" xfId="1" applyNumberFormat="1"/>
    <xf numFmtId="168" fontId="7" fillId="0" borderId="0" xfId="1" applyNumberFormat="1"/>
    <xf numFmtId="169" fontId="7" fillId="0" borderId="0" xfId="1" applyNumberFormat="1"/>
    <xf numFmtId="0" fontId="0" fillId="0" borderId="0" xfId="0" applyAlignment="1">
      <alignment horizontal="left" vertical="center" wrapText="1" readingOrder="1"/>
    </xf>
    <xf numFmtId="6" fontId="0" fillId="0" borderId="0" xfId="0" applyNumberFormat="1" applyAlignment="1">
      <alignment horizontal="center" vertical="center" wrapText="1" readingOrder="1"/>
    </xf>
    <xf numFmtId="0" fontId="1" fillId="0" borderId="0" xfId="0" applyFont="1" applyAlignment="1">
      <alignment horizontal="left" vertical="center" wrapText="1" readingOrder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 readingOrder="1"/>
    </xf>
    <xf numFmtId="0" fontId="9" fillId="0" borderId="0" xfId="0" applyFont="1"/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 readingOrder="1"/>
    </xf>
    <xf numFmtId="9" fontId="0" fillId="0" borderId="0" xfId="0" applyNumberFormat="1" applyAlignment="1">
      <alignment horizontal="center" vertical="center" wrapText="1" readingOrder="1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14" fontId="7" fillId="0" borderId="0" xfId="1" applyNumberFormat="1"/>
    <xf numFmtId="170" fontId="7" fillId="0" borderId="0" xfId="1" applyNumberFormat="1"/>
    <xf numFmtId="1" fontId="7" fillId="0" borderId="0" xfId="1" applyNumberForma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DD3F1D97-47AF-4E63-8D61-7D58EADF7651}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62E0D7-9E9F-498E-A145-7FFFE4B69154}" name="DispatchCleanTable" displayName="DispatchCleanTable" ref="A1:U13">
  <autoFilter ref="A1:U13" xr:uid="{00000000-0009-0000-0100-000007000000}"/>
  <tableColumns count="21">
    <tableColumn id="1" xr3:uid="{48358C14-371E-4683-A901-557F7B696C91}" name="Load ID"/>
    <tableColumn id="2" xr3:uid="{A70E79E0-C5C0-4B4D-B45F-4A2108EEE82E}" name="Driver ID"/>
    <tableColumn id="3" xr3:uid="{575F3D25-E6FB-471F-953E-496C0ACBD9B8}" name="Driver Name"/>
    <tableColumn id="4" xr3:uid="{26089EF2-311A-4715-8B21-2A1858672F37}" name="Asset ID"/>
    <tableColumn id="5" xr3:uid="{DA38CBF0-9914-40D8-8C85-00B9744571EC}" name="Revenue"/>
    <tableColumn id="6" xr3:uid="{B5FCBDD6-FB86-469C-BEF4-33DC8DA0C54C}" name="Backhaul Pay"/>
    <tableColumn id="7" xr3:uid="{28B7E3E4-D3F9-44B3-92F6-CAA2603E0C9B}" name="Driver Signature?"/>
    <tableColumn id="8" xr3:uid="{F8CA7DA5-60A7-4BC2-8072-094F728BDD85}" name="Load Status"/>
    <tableColumn id="9" xr3:uid="{47D6EA65-72F5-40B7-9987-66F5C2D17A2D}" name="Reason for Pending Status"/>
    <tableColumn id="10" xr3:uid="{EB1B78AE-C7A6-4A38-B758-462F5D088FB8}" name="Seal Number (Pickup)"/>
    <tableColumn id="11" xr3:uid="{DA28B572-6DBC-49B6-BC56-C1DD5A4345DE}" name="Seal Photo (Pickup)"/>
    <tableColumn id="12" xr3:uid="{7ED40343-C3C5-41A0-AE11-28D884C7CAFA}" name="Seal Number (Delivery)"/>
    <tableColumn id="13" xr3:uid="{4350B870-3E81-4B1A-B2CE-4AFD8DD4EB9E}" name="Seal Photo (Delivery)"/>
    <tableColumn id="14" xr3:uid="{BFF5FF1E-6236-42B0-9ECE-1F59C260E9A0}" name="Seal Status">
      <calculatedColumnFormula>IF(L2="","PENDING",IF(L2&lt;&gt;J2,"MISMATCH","VERIFIED"))</calculatedColumnFormula>
    </tableColumn>
    <tableColumn id="15" xr3:uid="{01CA436C-C412-4378-89E9-73ED157B4E05}" name="Exception Flag">
      <calculatedColumnFormula>IF(N2="MISMATCH","SEAL_MISMATCH",IF(OR(K2="",M2=""),"PHOTO_MISSING",""))</calculatedColumnFormula>
    </tableColumn>
    <tableColumn id="16" xr3:uid="{E2997E62-A9AE-4734-A395-23E42AD59CA2}" name="Override Reason"/>
    <tableColumn id="17" xr3:uid="{09769300-A9CC-48E4-956C-6FECC7718EEC}" name="Audit Log">
      <calculatedColumnFormula>IF(O2="","",_xludf.CONCAT("Pickup:",J2," | Delivery:",L2," | Override:",IF(P2="","NONE",P2)))</calculatedColumnFormula>
    </tableColumn>
    <tableColumn id="18" xr3:uid="{35952C13-C9CE-490D-9ADB-F2C492A3D855}" name="Compliance Lock">
      <calculatedColumnFormula>IF(O2="","CLEAR",IF(P2="","LOCKED","OVERRIDDEN"))</calculatedColumnFormula>
    </tableColumn>
    <tableColumn id="19" xr3:uid="{50EC5919-DE63-43E3-B265-876A5B101036}" name="Seal Issue Type"/>
    <tableColumn id="20" xr3:uid="{84369B00-2F2A-4FC2-829E-8D39918B21B5}" name="Photo Required?"/>
    <tableColumn id="21" xr3:uid="{6788787D-3E30-4534-9901-397458BAB910}" name="Review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95B228-CF6C-49E0-B744-2FBC684F2B2F}" name="SafetyEventsTable" displayName="SafetyEventsTable" ref="A1:J5">
  <autoFilter ref="A1:J5" xr:uid="{00000000-0009-0000-0100-00000B000000}"/>
  <tableColumns count="10">
    <tableColumn id="1" xr3:uid="{04623E09-616F-41BE-9222-B384BB293504}" name="Event ID"/>
    <tableColumn id="2" xr3:uid="{10AD3C68-C967-4E14-B9B4-E9B49B1CC5ED}" name="Driver ID"/>
    <tableColumn id="3" xr3:uid="{0BB229C2-407B-45BD-8D75-12F945E54252}" name="Driver Name"/>
    <tableColumn id="4" xr3:uid="{FEDF2ACC-B998-4273-A964-E2EADAB308B7}" name="Event Type"/>
    <tableColumn id="5" xr3:uid="{38C65976-3147-4A21-B504-CF9CC87B9269}" name="Severity"/>
    <tableColumn id="6" xr3:uid="{43145044-7E1C-487B-B857-F944C0E76375}" name="Status"/>
    <tableColumn id="7" xr3:uid="{DF772A66-C2D7-40CE-B95D-CA252ED441B6}" name="Timestamp"/>
    <tableColumn id="8" xr3:uid="{442AFEE6-B641-4674-8E42-ED61E1A621AB}" name="Unit"/>
    <tableColumn id="9" xr3:uid="{1A1F57E7-1AD2-43B1-B486-7ACB808198DC}" name="Location"/>
    <tableColumn id="10" xr3:uid="{88FC9C78-8A84-44E2-B639-AC1BC850854B}" name="Detai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F7E50F-DB23-419B-BE46-D97702338B68}" name="AssetsCleanTable" displayName="AssetsCleanTable" ref="A1:F26">
  <autoFilter ref="A1:F26" xr:uid="{00000000-0009-0000-0100-000005000000}"/>
  <tableColumns count="6">
    <tableColumn id="1" xr3:uid="{B8FC3571-541F-4556-B005-C964DDCB2587}" name="Asset ID"/>
    <tableColumn id="2" xr3:uid="{B408EB86-0C12-46AE-88E5-6953B9E5767D}" name="Assigned Driver ID"/>
    <tableColumn id="3" xr3:uid="{913F9287-259B-4985-987B-BC2841406911}" name="Assigned Driver Name"/>
    <tableColumn id="4" xr3:uid="{EE41EAD5-0CD6-4D49-A547-F023F51789D3}" name="Last Service Date"/>
    <tableColumn id="5" xr3:uid="{988BBBBB-0F97-4909-B6D7-E86BC6158997}" name="Next Service Date"/>
    <tableColumn id="6" xr3:uid="{044CD612-CF88-4FC9-8EC4-BF6E4B2F6493}" name="Status Indicator">
      <calculatedColumnFormula>IF(E2&lt;TODAY(),"EXPIRED",IF(E2&lt;=TODAY()+30,"DUE_SOON","OK"))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98"/>
  <sheetViews>
    <sheetView topLeftCell="DP1" workbookViewId="0">
      <selection activeCell="I91" sqref="I91"/>
    </sheetView>
  </sheetViews>
  <sheetFormatPr defaultRowHeight="14.4"/>
  <sheetData>
    <row r="1" spans="1:1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</row>
    <row r="2" spans="1:132">
      <c r="A2" t="s">
        <v>132</v>
      </c>
      <c r="B2" t="s">
        <v>144</v>
      </c>
      <c r="C2" t="s">
        <v>156</v>
      </c>
      <c r="D2" t="s">
        <v>168</v>
      </c>
      <c r="E2" t="s">
        <v>180</v>
      </c>
      <c r="F2" t="s">
        <v>192</v>
      </c>
      <c r="G2">
        <v>000000104</v>
      </c>
      <c r="H2">
        <v>999900202</v>
      </c>
      <c r="I2" t="s">
        <v>197</v>
      </c>
      <c r="J2" t="s">
        <v>205</v>
      </c>
      <c r="K2" t="s">
        <v>206</v>
      </c>
      <c r="L2" s="2">
        <v>46621</v>
      </c>
      <c r="M2" s="2">
        <v>46272</v>
      </c>
      <c r="N2" s="2">
        <v>46310</v>
      </c>
      <c r="P2" t="s">
        <v>295</v>
      </c>
      <c r="Q2" t="s">
        <v>299</v>
      </c>
      <c r="R2" t="s">
        <v>302</v>
      </c>
      <c r="S2">
        <v>180</v>
      </c>
      <c r="T2" t="s">
        <v>310</v>
      </c>
      <c r="U2" s="2">
        <v>25934</v>
      </c>
      <c r="V2" t="s">
        <v>312</v>
      </c>
      <c r="W2" t="s">
        <v>324</v>
      </c>
      <c r="X2" t="s">
        <v>328</v>
      </c>
      <c r="Y2" t="s">
        <v>340</v>
      </c>
      <c r="Z2" t="s">
        <v>352</v>
      </c>
      <c r="AA2" t="s">
        <v>358</v>
      </c>
      <c r="AB2">
        <v>44113</v>
      </c>
      <c r="AC2" t="s">
        <v>358</v>
      </c>
      <c r="AD2" t="s">
        <v>362</v>
      </c>
      <c r="AE2" s="2">
        <v>44799</v>
      </c>
      <c r="AF2" t="s">
        <v>364</v>
      </c>
      <c r="AH2" s="2">
        <v>45364</v>
      </c>
      <c r="AI2" t="s">
        <v>373</v>
      </c>
      <c r="AJ2" t="s">
        <v>385</v>
      </c>
      <c r="AK2" t="s">
        <v>397</v>
      </c>
      <c r="AM2" t="s">
        <v>409</v>
      </c>
      <c r="AN2" s="2">
        <v>46050</v>
      </c>
      <c r="AO2">
        <v>0</v>
      </c>
      <c r="AP2">
        <v>0</v>
      </c>
      <c r="AR2" t="s">
        <v>410</v>
      </c>
      <c r="AS2" s="2">
        <v>45392</v>
      </c>
      <c r="AT2" t="s">
        <v>412</v>
      </c>
      <c r="AU2" t="s">
        <v>413</v>
      </c>
      <c r="AX2" s="2">
        <v>45392</v>
      </c>
      <c r="AY2" t="s">
        <v>414</v>
      </c>
      <c r="AZ2" t="s">
        <v>415</v>
      </c>
      <c r="BB2" t="s">
        <v>416</v>
      </c>
      <c r="BC2" t="s">
        <v>417</v>
      </c>
      <c r="BD2" t="s">
        <v>180</v>
      </c>
      <c r="BF2" s="2">
        <v>45392</v>
      </c>
      <c r="BG2" t="s">
        <v>418</v>
      </c>
      <c r="BH2" t="s">
        <v>419</v>
      </c>
      <c r="BI2" t="s">
        <v>421</v>
      </c>
      <c r="BJ2" s="2">
        <v>45392</v>
      </c>
      <c r="BK2" t="s">
        <v>422</v>
      </c>
      <c r="BL2" s="2">
        <v>45385</v>
      </c>
      <c r="BM2" t="s">
        <v>423</v>
      </c>
      <c r="BN2" t="s">
        <v>435</v>
      </c>
      <c r="BO2" t="s">
        <v>439</v>
      </c>
      <c r="BP2" t="s">
        <v>444</v>
      </c>
      <c r="BQ2">
        <v>5</v>
      </c>
      <c r="BR2">
        <v>5</v>
      </c>
      <c r="BS2">
        <v>4</v>
      </c>
      <c r="BT2">
        <v>5</v>
      </c>
      <c r="BU2">
        <v>5</v>
      </c>
      <c r="BV2">
        <v>5</v>
      </c>
      <c r="BW2">
        <v>4</v>
      </c>
      <c r="BX2">
        <v>5</v>
      </c>
      <c r="BY2">
        <v>5</v>
      </c>
      <c r="BZ2" t="s">
        <v>450</v>
      </c>
      <c r="CB2" t="s">
        <v>456</v>
      </c>
      <c r="CC2" t="s">
        <v>457</v>
      </c>
      <c r="CD2" t="s">
        <v>458</v>
      </c>
      <c r="CE2" s="2">
        <v>46037</v>
      </c>
      <c r="CF2" s="2">
        <v>46218</v>
      </c>
      <c r="CH2" t="s">
        <v>459</v>
      </c>
      <c r="CJ2" t="s">
        <v>460</v>
      </c>
      <c r="CK2" t="s">
        <v>472</v>
      </c>
      <c r="CL2" t="s">
        <v>206</v>
      </c>
      <c r="CM2" t="s">
        <v>358</v>
      </c>
      <c r="CN2" t="s">
        <v>555</v>
      </c>
      <c r="CO2" t="s">
        <v>144</v>
      </c>
      <c r="CP2" s="2">
        <v>45364</v>
      </c>
      <c r="CQ2" s="2">
        <v>46094</v>
      </c>
      <c r="CR2" t="s">
        <v>556</v>
      </c>
      <c r="CS2" t="s">
        <v>385</v>
      </c>
      <c r="CT2" s="2">
        <v>45364</v>
      </c>
      <c r="CU2" t="s">
        <v>568</v>
      </c>
      <c r="CV2" t="s">
        <v>397</v>
      </c>
      <c r="CW2" t="s">
        <v>580</v>
      </c>
      <c r="CX2" t="s">
        <v>358</v>
      </c>
      <c r="CY2" t="s">
        <v>585</v>
      </c>
      <c r="DA2" t="s">
        <v>587</v>
      </c>
      <c r="DB2" t="s">
        <v>587</v>
      </c>
      <c r="DC2" t="s">
        <v>587</v>
      </c>
      <c r="DD2" t="s">
        <v>587</v>
      </c>
      <c r="DE2" t="s">
        <v>587</v>
      </c>
      <c r="DF2" t="s">
        <v>587</v>
      </c>
      <c r="DG2" t="s">
        <v>589</v>
      </c>
      <c r="DH2" t="s">
        <v>591</v>
      </c>
      <c r="DI2" t="s">
        <v>593</v>
      </c>
      <c r="DJ2" t="s">
        <v>587</v>
      </c>
      <c r="DK2" t="s">
        <v>587</v>
      </c>
      <c r="DL2" t="s">
        <v>587</v>
      </c>
      <c r="DM2" t="s">
        <v>587</v>
      </c>
      <c r="DN2" t="s">
        <v>595</v>
      </c>
      <c r="DO2" t="s">
        <v>596</v>
      </c>
      <c r="DP2" t="s">
        <v>596</v>
      </c>
      <c r="DQ2" t="s">
        <v>450</v>
      </c>
      <c r="DR2" t="s">
        <v>597</v>
      </c>
      <c r="DS2" t="s">
        <v>598</v>
      </c>
      <c r="DT2" t="s">
        <v>599</v>
      </c>
      <c r="DU2" t="s">
        <v>600</v>
      </c>
      <c r="DV2" s="2">
        <v>45392</v>
      </c>
      <c r="DW2" s="2">
        <v>45394</v>
      </c>
      <c r="DX2" t="s">
        <v>601</v>
      </c>
      <c r="DY2" s="2">
        <v>45397</v>
      </c>
      <c r="DZ2" t="s">
        <v>602</v>
      </c>
      <c r="EA2" t="s">
        <v>415</v>
      </c>
      <c r="EB2" s="2">
        <v>45413</v>
      </c>
    </row>
    <row r="3" spans="1:132">
      <c r="A3" t="s">
        <v>132</v>
      </c>
      <c r="B3" t="s">
        <v>144</v>
      </c>
      <c r="C3" t="s">
        <v>156</v>
      </c>
      <c r="D3" t="s">
        <v>168</v>
      </c>
      <c r="E3" t="s">
        <v>180</v>
      </c>
      <c r="F3" t="s">
        <v>192</v>
      </c>
      <c r="G3">
        <v>000000104</v>
      </c>
      <c r="H3">
        <v>999900202</v>
      </c>
      <c r="I3" t="s">
        <v>198</v>
      </c>
      <c r="J3" t="s">
        <v>205</v>
      </c>
      <c r="K3" t="s">
        <v>207</v>
      </c>
      <c r="L3" s="2">
        <v>46621</v>
      </c>
      <c r="M3" s="2">
        <v>46273</v>
      </c>
      <c r="N3" s="2">
        <v>46311</v>
      </c>
      <c r="P3" t="s">
        <v>295</v>
      </c>
      <c r="Q3" t="s">
        <v>299</v>
      </c>
      <c r="R3" t="s">
        <v>302</v>
      </c>
      <c r="S3">
        <v>180</v>
      </c>
      <c r="T3" t="s">
        <v>310</v>
      </c>
      <c r="U3" s="2">
        <v>25934</v>
      </c>
      <c r="V3" t="s">
        <v>312</v>
      </c>
      <c r="W3" t="s">
        <v>324</v>
      </c>
      <c r="X3" t="s">
        <v>328</v>
      </c>
      <c r="Y3" t="s">
        <v>340</v>
      </c>
      <c r="Z3" t="s">
        <v>352</v>
      </c>
      <c r="AA3" t="s">
        <v>358</v>
      </c>
      <c r="AB3">
        <v>44113</v>
      </c>
      <c r="AC3" t="s">
        <v>358</v>
      </c>
      <c r="AD3" t="s">
        <v>362</v>
      </c>
      <c r="AE3" s="2">
        <v>44799</v>
      </c>
      <c r="AF3" t="s">
        <v>364</v>
      </c>
      <c r="AH3" s="2">
        <v>45364</v>
      </c>
      <c r="AI3" t="s">
        <v>373</v>
      </c>
      <c r="AJ3" t="s">
        <v>385</v>
      </c>
      <c r="AK3" t="s">
        <v>397</v>
      </c>
      <c r="AM3" t="s">
        <v>409</v>
      </c>
      <c r="AN3" s="2">
        <v>46050</v>
      </c>
      <c r="AO3">
        <v>0</v>
      </c>
      <c r="AP3">
        <v>0</v>
      </c>
      <c r="AR3" t="s">
        <v>410</v>
      </c>
      <c r="AS3" s="2">
        <v>45392</v>
      </c>
      <c r="AT3" t="s">
        <v>412</v>
      </c>
      <c r="AU3" t="s">
        <v>413</v>
      </c>
      <c r="AX3" s="2">
        <v>45392</v>
      </c>
      <c r="AY3" t="s">
        <v>414</v>
      </c>
      <c r="AZ3" t="s">
        <v>415</v>
      </c>
      <c r="BB3" t="s">
        <v>416</v>
      </c>
      <c r="BC3" t="s">
        <v>417</v>
      </c>
      <c r="BD3" t="s">
        <v>180</v>
      </c>
      <c r="BF3" s="2">
        <v>45392</v>
      </c>
      <c r="BG3" t="s">
        <v>418</v>
      </c>
      <c r="BH3" t="s">
        <v>419</v>
      </c>
      <c r="BI3" t="s">
        <v>421</v>
      </c>
      <c r="BJ3" s="2">
        <v>45392</v>
      </c>
      <c r="BK3" t="s">
        <v>422</v>
      </c>
      <c r="BL3" s="2">
        <v>45385</v>
      </c>
      <c r="BM3" t="s">
        <v>423</v>
      </c>
      <c r="BN3" t="s">
        <v>435</v>
      </c>
      <c r="BO3" t="s">
        <v>439</v>
      </c>
      <c r="BP3" t="s">
        <v>444</v>
      </c>
      <c r="BQ3">
        <v>5</v>
      </c>
      <c r="BR3">
        <v>5</v>
      </c>
      <c r="BS3">
        <v>4</v>
      </c>
      <c r="BT3">
        <v>5</v>
      </c>
      <c r="BU3">
        <v>5</v>
      </c>
      <c r="BV3">
        <v>5</v>
      </c>
      <c r="BW3">
        <v>4</v>
      </c>
      <c r="BX3">
        <v>5</v>
      </c>
      <c r="BY3">
        <v>5</v>
      </c>
      <c r="BZ3" t="s">
        <v>450</v>
      </c>
      <c r="CB3" t="s">
        <v>456</v>
      </c>
      <c r="CC3" t="s">
        <v>457</v>
      </c>
      <c r="CD3" t="s">
        <v>458</v>
      </c>
      <c r="CE3" s="2">
        <v>46037</v>
      </c>
      <c r="CF3" s="2">
        <v>46218</v>
      </c>
      <c r="CH3" t="s">
        <v>459</v>
      </c>
      <c r="CJ3" t="s">
        <v>460</v>
      </c>
      <c r="CK3" t="s">
        <v>472</v>
      </c>
      <c r="CL3" t="s">
        <v>483</v>
      </c>
      <c r="CM3" t="s">
        <v>358</v>
      </c>
      <c r="CN3" t="s">
        <v>555</v>
      </c>
      <c r="CO3" t="s">
        <v>144</v>
      </c>
      <c r="CP3" s="2">
        <v>45364</v>
      </c>
      <c r="CQ3" s="2">
        <v>46094</v>
      </c>
      <c r="CR3" t="s">
        <v>556</v>
      </c>
      <c r="CS3" t="s">
        <v>385</v>
      </c>
      <c r="CT3" s="2">
        <v>45364</v>
      </c>
      <c r="CU3" t="s">
        <v>568</v>
      </c>
      <c r="CV3" t="s">
        <v>397</v>
      </c>
      <c r="CW3" t="s">
        <v>580</v>
      </c>
      <c r="CX3" t="s">
        <v>358</v>
      </c>
      <c r="CY3" t="s">
        <v>585</v>
      </c>
      <c r="DA3" t="s">
        <v>587</v>
      </c>
      <c r="DB3" t="s">
        <v>587</v>
      </c>
      <c r="DC3" t="s">
        <v>587</v>
      </c>
      <c r="DD3" t="s">
        <v>587</v>
      </c>
      <c r="DE3" t="s">
        <v>587</v>
      </c>
      <c r="DF3" t="s">
        <v>587</v>
      </c>
      <c r="DG3" t="s">
        <v>589</v>
      </c>
      <c r="DH3" t="s">
        <v>591</v>
      </c>
      <c r="DI3" t="s">
        <v>593</v>
      </c>
      <c r="DJ3" t="s">
        <v>587</v>
      </c>
      <c r="DK3" t="s">
        <v>587</v>
      </c>
      <c r="DL3" t="s">
        <v>587</v>
      </c>
      <c r="DM3" t="s">
        <v>587</v>
      </c>
      <c r="DN3" t="s">
        <v>595</v>
      </c>
      <c r="DO3" t="s">
        <v>596</v>
      </c>
      <c r="DP3" t="s">
        <v>596</v>
      </c>
      <c r="DQ3" t="s">
        <v>450</v>
      </c>
      <c r="DR3" t="s">
        <v>597</v>
      </c>
      <c r="DS3" t="s">
        <v>598</v>
      </c>
      <c r="DT3" t="s">
        <v>599</v>
      </c>
      <c r="DU3" t="s">
        <v>600</v>
      </c>
      <c r="DV3" s="2">
        <v>45392</v>
      </c>
      <c r="DW3" s="2">
        <v>45394</v>
      </c>
      <c r="DX3" t="s">
        <v>601</v>
      </c>
      <c r="DY3" s="2">
        <v>45397</v>
      </c>
      <c r="DZ3" t="s">
        <v>602</v>
      </c>
      <c r="EA3" t="s">
        <v>415</v>
      </c>
      <c r="EB3" s="2">
        <v>45413</v>
      </c>
    </row>
    <row r="4" spans="1:132">
      <c r="A4" t="s">
        <v>132</v>
      </c>
      <c r="B4" t="s">
        <v>144</v>
      </c>
      <c r="C4" t="s">
        <v>156</v>
      </c>
      <c r="D4" t="s">
        <v>168</v>
      </c>
      <c r="E4" t="s">
        <v>180</v>
      </c>
      <c r="F4" t="s">
        <v>192</v>
      </c>
      <c r="G4">
        <v>000000104</v>
      </c>
      <c r="H4">
        <v>999900202</v>
      </c>
      <c r="I4" t="s">
        <v>199</v>
      </c>
      <c r="J4" t="s">
        <v>205</v>
      </c>
      <c r="K4" t="s">
        <v>208</v>
      </c>
      <c r="L4" s="2">
        <v>46621</v>
      </c>
      <c r="M4" s="2">
        <v>46274</v>
      </c>
      <c r="N4" s="2">
        <v>46312</v>
      </c>
      <c r="P4" t="s">
        <v>295</v>
      </c>
      <c r="Q4" t="s">
        <v>299</v>
      </c>
      <c r="R4" t="s">
        <v>302</v>
      </c>
      <c r="S4">
        <v>180</v>
      </c>
      <c r="T4" t="s">
        <v>310</v>
      </c>
      <c r="U4" s="2">
        <v>25934</v>
      </c>
      <c r="V4" t="s">
        <v>312</v>
      </c>
      <c r="W4" t="s">
        <v>324</v>
      </c>
      <c r="X4" t="s">
        <v>328</v>
      </c>
      <c r="Y4" t="s">
        <v>340</v>
      </c>
      <c r="Z4" t="s">
        <v>352</v>
      </c>
      <c r="AA4" t="s">
        <v>358</v>
      </c>
      <c r="AB4">
        <v>44113</v>
      </c>
      <c r="AC4" t="s">
        <v>358</v>
      </c>
      <c r="AD4" t="s">
        <v>362</v>
      </c>
      <c r="AE4" s="2">
        <v>44799</v>
      </c>
      <c r="AF4" t="s">
        <v>364</v>
      </c>
      <c r="AH4" s="2">
        <v>45364</v>
      </c>
      <c r="AI4" t="s">
        <v>373</v>
      </c>
      <c r="AJ4" t="s">
        <v>385</v>
      </c>
      <c r="AK4" t="s">
        <v>397</v>
      </c>
      <c r="AM4" t="s">
        <v>409</v>
      </c>
      <c r="AN4" s="2">
        <v>46050</v>
      </c>
      <c r="AO4">
        <v>0</v>
      </c>
      <c r="AP4">
        <v>0</v>
      </c>
      <c r="AR4" t="s">
        <v>410</v>
      </c>
      <c r="AS4" s="2">
        <v>45392</v>
      </c>
      <c r="AT4" t="s">
        <v>412</v>
      </c>
      <c r="AU4" t="s">
        <v>413</v>
      </c>
      <c r="AX4" s="2">
        <v>45392</v>
      </c>
      <c r="AY4" t="s">
        <v>414</v>
      </c>
      <c r="AZ4" t="s">
        <v>415</v>
      </c>
      <c r="BB4" t="s">
        <v>416</v>
      </c>
      <c r="BC4" t="s">
        <v>417</v>
      </c>
      <c r="BD4" t="s">
        <v>180</v>
      </c>
      <c r="BF4" s="2">
        <v>45392</v>
      </c>
      <c r="BG4" t="s">
        <v>418</v>
      </c>
      <c r="BH4" t="s">
        <v>419</v>
      </c>
      <c r="BI4" t="s">
        <v>421</v>
      </c>
      <c r="BJ4" s="2">
        <v>45392</v>
      </c>
      <c r="BK4" t="s">
        <v>422</v>
      </c>
      <c r="BL4" s="2">
        <v>45385</v>
      </c>
      <c r="BM4" t="s">
        <v>423</v>
      </c>
      <c r="BN4" t="s">
        <v>435</v>
      </c>
      <c r="BO4" t="s">
        <v>439</v>
      </c>
      <c r="BP4" t="s">
        <v>444</v>
      </c>
      <c r="BQ4">
        <v>5</v>
      </c>
      <c r="BR4">
        <v>5</v>
      </c>
      <c r="BS4">
        <v>4</v>
      </c>
      <c r="BT4">
        <v>5</v>
      </c>
      <c r="BU4">
        <v>5</v>
      </c>
      <c r="BV4">
        <v>5</v>
      </c>
      <c r="BW4">
        <v>4</v>
      </c>
      <c r="BX4">
        <v>5</v>
      </c>
      <c r="BY4">
        <v>5</v>
      </c>
      <c r="BZ4" t="s">
        <v>450</v>
      </c>
      <c r="CB4" t="s">
        <v>456</v>
      </c>
      <c r="CC4" t="s">
        <v>457</v>
      </c>
      <c r="CD4" t="s">
        <v>458</v>
      </c>
      <c r="CE4" s="2">
        <v>46037</v>
      </c>
      <c r="CF4" s="2">
        <v>46218</v>
      </c>
      <c r="CH4" t="s">
        <v>459</v>
      </c>
      <c r="CJ4" t="s">
        <v>460</v>
      </c>
      <c r="CK4" t="s">
        <v>472</v>
      </c>
      <c r="CL4" t="s">
        <v>484</v>
      </c>
      <c r="CM4" t="s">
        <v>358</v>
      </c>
      <c r="CN4" t="s">
        <v>555</v>
      </c>
      <c r="CO4" t="s">
        <v>144</v>
      </c>
      <c r="CP4" s="2">
        <v>45364</v>
      </c>
      <c r="CQ4" s="2">
        <v>46094</v>
      </c>
      <c r="CR4" t="s">
        <v>556</v>
      </c>
      <c r="CS4" t="s">
        <v>385</v>
      </c>
      <c r="CT4" s="2">
        <v>45364</v>
      </c>
      <c r="CU4" t="s">
        <v>568</v>
      </c>
      <c r="CV4" t="s">
        <v>397</v>
      </c>
      <c r="CW4" t="s">
        <v>580</v>
      </c>
      <c r="CX4" t="s">
        <v>358</v>
      </c>
      <c r="CY4" t="s">
        <v>585</v>
      </c>
      <c r="DA4" t="s">
        <v>587</v>
      </c>
      <c r="DB4" t="s">
        <v>587</v>
      </c>
      <c r="DC4" t="s">
        <v>587</v>
      </c>
      <c r="DD4" t="s">
        <v>587</v>
      </c>
      <c r="DE4" t="s">
        <v>587</v>
      </c>
      <c r="DF4" t="s">
        <v>587</v>
      </c>
      <c r="DG4" t="s">
        <v>589</v>
      </c>
      <c r="DH4" t="s">
        <v>591</v>
      </c>
      <c r="DI4" t="s">
        <v>593</v>
      </c>
      <c r="DJ4" t="s">
        <v>587</v>
      </c>
      <c r="DK4" t="s">
        <v>587</v>
      </c>
      <c r="DL4" t="s">
        <v>587</v>
      </c>
      <c r="DM4" t="s">
        <v>587</v>
      </c>
      <c r="DN4" t="s">
        <v>595</v>
      </c>
      <c r="DO4" t="s">
        <v>596</v>
      </c>
      <c r="DP4" t="s">
        <v>596</v>
      </c>
      <c r="DQ4" t="s">
        <v>450</v>
      </c>
      <c r="DR4" t="s">
        <v>597</v>
      </c>
      <c r="DS4" t="s">
        <v>598</v>
      </c>
      <c r="DT4" t="s">
        <v>599</v>
      </c>
      <c r="DU4" t="s">
        <v>600</v>
      </c>
      <c r="DV4" s="2">
        <v>45392</v>
      </c>
      <c r="DW4" s="2">
        <v>45394</v>
      </c>
      <c r="DX4" t="s">
        <v>601</v>
      </c>
      <c r="DY4" s="2">
        <v>45397</v>
      </c>
      <c r="DZ4" t="s">
        <v>602</v>
      </c>
      <c r="EA4" t="s">
        <v>415</v>
      </c>
      <c r="EB4" s="2">
        <v>45413</v>
      </c>
    </row>
    <row r="5" spans="1:132">
      <c r="A5" t="s">
        <v>132</v>
      </c>
      <c r="B5" t="s">
        <v>144</v>
      </c>
      <c r="C5" t="s">
        <v>156</v>
      </c>
      <c r="D5" t="s">
        <v>168</v>
      </c>
      <c r="E5" t="s">
        <v>180</v>
      </c>
      <c r="F5" t="s">
        <v>192</v>
      </c>
      <c r="G5">
        <v>000000104</v>
      </c>
      <c r="H5">
        <v>999900202</v>
      </c>
      <c r="I5" t="s">
        <v>200</v>
      </c>
      <c r="J5" t="s">
        <v>205</v>
      </c>
      <c r="K5" t="s">
        <v>209</v>
      </c>
      <c r="L5" s="2">
        <v>46621</v>
      </c>
      <c r="M5" s="2">
        <v>46275</v>
      </c>
      <c r="N5" s="2">
        <v>46313</v>
      </c>
      <c r="P5" t="s">
        <v>295</v>
      </c>
      <c r="Q5" t="s">
        <v>299</v>
      </c>
      <c r="R5" t="s">
        <v>302</v>
      </c>
      <c r="S5">
        <v>180</v>
      </c>
      <c r="T5" t="s">
        <v>310</v>
      </c>
      <c r="U5" s="2">
        <v>25934</v>
      </c>
      <c r="V5" t="s">
        <v>312</v>
      </c>
      <c r="W5" t="s">
        <v>324</v>
      </c>
      <c r="X5" t="s">
        <v>328</v>
      </c>
      <c r="Y5" t="s">
        <v>340</v>
      </c>
      <c r="Z5" t="s">
        <v>352</v>
      </c>
      <c r="AA5" t="s">
        <v>358</v>
      </c>
      <c r="AB5">
        <v>44113</v>
      </c>
      <c r="AC5" t="s">
        <v>358</v>
      </c>
      <c r="AD5" t="s">
        <v>362</v>
      </c>
      <c r="AE5" s="2">
        <v>44799</v>
      </c>
      <c r="AF5" t="s">
        <v>364</v>
      </c>
      <c r="AH5" s="2">
        <v>45364</v>
      </c>
      <c r="AI5" t="s">
        <v>373</v>
      </c>
      <c r="AJ5" t="s">
        <v>385</v>
      </c>
      <c r="AK5" t="s">
        <v>397</v>
      </c>
      <c r="AM5" t="s">
        <v>409</v>
      </c>
      <c r="AN5" s="2">
        <v>46050</v>
      </c>
      <c r="AO5">
        <v>0</v>
      </c>
      <c r="AP5">
        <v>0</v>
      </c>
      <c r="AR5" t="s">
        <v>410</v>
      </c>
      <c r="AS5" s="2">
        <v>45392</v>
      </c>
      <c r="AT5" t="s">
        <v>412</v>
      </c>
      <c r="AU5" t="s">
        <v>413</v>
      </c>
      <c r="AX5" s="2">
        <v>45392</v>
      </c>
      <c r="AY5" t="s">
        <v>414</v>
      </c>
      <c r="AZ5" t="s">
        <v>415</v>
      </c>
      <c r="BB5" t="s">
        <v>416</v>
      </c>
      <c r="BC5" t="s">
        <v>417</v>
      </c>
      <c r="BD5" t="s">
        <v>180</v>
      </c>
      <c r="BF5" s="2">
        <v>45392</v>
      </c>
      <c r="BG5" t="s">
        <v>418</v>
      </c>
      <c r="BH5" t="s">
        <v>419</v>
      </c>
      <c r="BI5" t="s">
        <v>421</v>
      </c>
      <c r="BJ5" s="2">
        <v>45392</v>
      </c>
      <c r="BK5" t="s">
        <v>422</v>
      </c>
      <c r="BL5" s="2">
        <v>45385</v>
      </c>
      <c r="BM5" t="s">
        <v>423</v>
      </c>
      <c r="BN5" t="s">
        <v>435</v>
      </c>
      <c r="BO5" t="s">
        <v>439</v>
      </c>
      <c r="BP5" t="s">
        <v>444</v>
      </c>
      <c r="BQ5">
        <v>5</v>
      </c>
      <c r="BR5">
        <v>5</v>
      </c>
      <c r="BS5">
        <v>4</v>
      </c>
      <c r="BT5">
        <v>5</v>
      </c>
      <c r="BU5">
        <v>5</v>
      </c>
      <c r="BV5">
        <v>5</v>
      </c>
      <c r="BW5">
        <v>4</v>
      </c>
      <c r="BX5">
        <v>5</v>
      </c>
      <c r="BY5">
        <v>5</v>
      </c>
      <c r="BZ5" t="s">
        <v>450</v>
      </c>
      <c r="CB5" t="s">
        <v>456</v>
      </c>
      <c r="CC5" t="s">
        <v>457</v>
      </c>
      <c r="CD5" t="s">
        <v>458</v>
      </c>
      <c r="CE5" s="2">
        <v>46037</v>
      </c>
      <c r="CF5" s="2">
        <v>46218</v>
      </c>
      <c r="CH5" t="s">
        <v>459</v>
      </c>
      <c r="CJ5" t="s">
        <v>460</v>
      </c>
      <c r="CK5" t="s">
        <v>472</v>
      </c>
      <c r="CL5" t="s">
        <v>485</v>
      </c>
      <c r="CM5" t="s">
        <v>358</v>
      </c>
      <c r="CN5" t="s">
        <v>555</v>
      </c>
      <c r="CO5" t="s">
        <v>144</v>
      </c>
      <c r="CP5" s="2">
        <v>45364</v>
      </c>
      <c r="CQ5" s="2">
        <v>46094</v>
      </c>
      <c r="CR5" t="s">
        <v>556</v>
      </c>
      <c r="CS5" t="s">
        <v>385</v>
      </c>
      <c r="CT5" s="2">
        <v>45364</v>
      </c>
      <c r="CU5" t="s">
        <v>568</v>
      </c>
      <c r="CV5" t="s">
        <v>397</v>
      </c>
      <c r="CW5" t="s">
        <v>580</v>
      </c>
      <c r="CX5" t="s">
        <v>358</v>
      </c>
      <c r="CY5" t="s">
        <v>585</v>
      </c>
      <c r="DA5" t="s">
        <v>587</v>
      </c>
      <c r="DB5" t="s">
        <v>587</v>
      </c>
      <c r="DC5" t="s">
        <v>587</v>
      </c>
      <c r="DD5" t="s">
        <v>587</v>
      </c>
      <c r="DE5" t="s">
        <v>587</v>
      </c>
      <c r="DF5" t="s">
        <v>587</v>
      </c>
      <c r="DG5" t="s">
        <v>589</v>
      </c>
      <c r="DH5" t="s">
        <v>591</v>
      </c>
      <c r="DI5" t="s">
        <v>593</v>
      </c>
      <c r="DJ5" t="s">
        <v>587</v>
      </c>
      <c r="DK5" t="s">
        <v>587</v>
      </c>
      <c r="DL5" t="s">
        <v>587</v>
      </c>
      <c r="DM5" t="s">
        <v>587</v>
      </c>
      <c r="DN5" t="s">
        <v>595</v>
      </c>
      <c r="DO5" t="s">
        <v>596</v>
      </c>
      <c r="DP5" t="s">
        <v>596</v>
      </c>
      <c r="DQ5" t="s">
        <v>450</v>
      </c>
      <c r="DR5" t="s">
        <v>597</v>
      </c>
      <c r="DS5" t="s">
        <v>598</v>
      </c>
      <c r="DT5" t="s">
        <v>599</v>
      </c>
      <c r="DU5" t="s">
        <v>600</v>
      </c>
      <c r="DV5" s="2">
        <v>45392</v>
      </c>
      <c r="DW5" s="2">
        <v>45394</v>
      </c>
      <c r="DX5" t="s">
        <v>601</v>
      </c>
      <c r="DY5" s="2">
        <v>45397</v>
      </c>
      <c r="DZ5" t="s">
        <v>602</v>
      </c>
      <c r="EA5" t="s">
        <v>415</v>
      </c>
      <c r="EB5" s="2">
        <v>45413</v>
      </c>
    </row>
    <row r="6" spans="1:132">
      <c r="A6" t="s">
        <v>132</v>
      </c>
      <c r="B6" t="s">
        <v>144</v>
      </c>
      <c r="C6" t="s">
        <v>156</v>
      </c>
      <c r="D6" t="s">
        <v>168</v>
      </c>
      <c r="E6" t="s">
        <v>180</v>
      </c>
      <c r="F6" t="s">
        <v>192</v>
      </c>
      <c r="G6">
        <v>000000104</v>
      </c>
      <c r="H6">
        <v>999900202</v>
      </c>
      <c r="I6" t="s">
        <v>201</v>
      </c>
      <c r="J6" t="s">
        <v>205</v>
      </c>
      <c r="K6" t="s">
        <v>210</v>
      </c>
      <c r="L6" s="2">
        <v>46621</v>
      </c>
      <c r="M6" s="2">
        <v>46276</v>
      </c>
      <c r="N6" s="2">
        <v>46314</v>
      </c>
      <c r="P6" t="s">
        <v>295</v>
      </c>
      <c r="Q6" t="s">
        <v>299</v>
      </c>
      <c r="R6" t="s">
        <v>302</v>
      </c>
      <c r="S6">
        <v>180</v>
      </c>
      <c r="T6" t="s">
        <v>310</v>
      </c>
      <c r="U6" s="2">
        <v>25934</v>
      </c>
      <c r="V6" t="s">
        <v>312</v>
      </c>
      <c r="W6" t="s">
        <v>324</v>
      </c>
      <c r="X6" t="s">
        <v>328</v>
      </c>
      <c r="Y6" t="s">
        <v>340</v>
      </c>
      <c r="Z6" t="s">
        <v>352</v>
      </c>
      <c r="AA6" t="s">
        <v>358</v>
      </c>
      <c r="AB6">
        <v>44113</v>
      </c>
      <c r="AC6" t="s">
        <v>358</v>
      </c>
      <c r="AD6" t="s">
        <v>362</v>
      </c>
      <c r="AE6" s="2">
        <v>44799</v>
      </c>
      <c r="AF6" t="s">
        <v>364</v>
      </c>
      <c r="AH6" s="2">
        <v>45364</v>
      </c>
      <c r="AI6" t="s">
        <v>373</v>
      </c>
      <c r="AJ6" t="s">
        <v>385</v>
      </c>
      <c r="AK6" t="s">
        <v>397</v>
      </c>
      <c r="AM6" t="s">
        <v>409</v>
      </c>
      <c r="AN6" s="2">
        <v>46050</v>
      </c>
      <c r="AO6">
        <v>0</v>
      </c>
      <c r="AP6">
        <v>0</v>
      </c>
      <c r="AR6" t="s">
        <v>410</v>
      </c>
      <c r="AS6" s="2">
        <v>45392</v>
      </c>
      <c r="AT6" t="s">
        <v>412</v>
      </c>
      <c r="AU6" t="s">
        <v>413</v>
      </c>
      <c r="AX6" s="2">
        <v>45392</v>
      </c>
      <c r="AY6" t="s">
        <v>414</v>
      </c>
      <c r="AZ6" t="s">
        <v>415</v>
      </c>
      <c r="BB6" t="s">
        <v>416</v>
      </c>
      <c r="BC6" t="s">
        <v>417</v>
      </c>
      <c r="BD6" t="s">
        <v>180</v>
      </c>
      <c r="BF6" s="2">
        <v>45392</v>
      </c>
      <c r="BG6" t="s">
        <v>418</v>
      </c>
      <c r="BH6" t="s">
        <v>419</v>
      </c>
      <c r="BI6" t="s">
        <v>421</v>
      </c>
      <c r="BJ6" s="2">
        <v>45392</v>
      </c>
      <c r="BK6" t="s">
        <v>422</v>
      </c>
      <c r="BL6" s="2">
        <v>45385</v>
      </c>
      <c r="BM6" t="s">
        <v>423</v>
      </c>
      <c r="BN6" t="s">
        <v>435</v>
      </c>
      <c r="BO6" t="s">
        <v>439</v>
      </c>
      <c r="BP6" t="s">
        <v>444</v>
      </c>
      <c r="BQ6">
        <v>5</v>
      </c>
      <c r="BR6">
        <v>5</v>
      </c>
      <c r="BS6">
        <v>4</v>
      </c>
      <c r="BT6">
        <v>5</v>
      </c>
      <c r="BU6">
        <v>5</v>
      </c>
      <c r="BV6">
        <v>5</v>
      </c>
      <c r="BW6">
        <v>4</v>
      </c>
      <c r="BX6">
        <v>5</v>
      </c>
      <c r="BY6">
        <v>5</v>
      </c>
      <c r="BZ6" t="s">
        <v>450</v>
      </c>
      <c r="CB6" t="s">
        <v>456</v>
      </c>
      <c r="CC6" t="s">
        <v>457</v>
      </c>
      <c r="CD6" t="s">
        <v>458</v>
      </c>
      <c r="CE6" s="2">
        <v>46037</v>
      </c>
      <c r="CF6" s="2">
        <v>46218</v>
      </c>
      <c r="CH6" t="s">
        <v>459</v>
      </c>
      <c r="CJ6" t="s">
        <v>460</v>
      </c>
      <c r="CK6" t="s">
        <v>472</v>
      </c>
      <c r="CL6" t="s">
        <v>486</v>
      </c>
      <c r="CM6" t="s">
        <v>358</v>
      </c>
      <c r="CN6" t="s">
        <v>555</v>
      </c>
      <c r="CO6" t="s">
        <v>144</v>
      </c>
      <c r="CP6" s="2">
        <v>45364</v>
      </c>
      <c r="CQ6" s="2">
        <v>46094</v>
      </c>
      <c r="CR6" t="s">
        <v>556</v>
      </c>
      <c r="CS6" t="s">
        <v>385</v>
      </c>
      <c r="CT6" s="2">
        <v>45364</v>
      </c>
      <c r="CU6" t="s">
        <v>568</v>
      </c>
      <c r="CV6" t="s">
        <v>397</v>
      </c>
      <c r="CW6" t="s">
        <v>580</v>
      </c>
      <c r="CX6" t="s">
        <v>358</v>
      </c>
      <c r="CY6" t="s">
        <v>585</v>
      </c>
      <c r="DA6" t="s">
        <v>587</v>
      </c>
      <c r="DB6" t="s">
        <v>587</v>
      </c>
      <c r="DC6" t="s">
        <v>587</v>
      </c>
      <c r="DD6" t="s">
        <v>587</v>
      </c>
      <c r="DE6" t="s">
        <v>587</v>
      </c>
      <c r="DF6" t="s">
        <v>587</v>
      </c>
      <c r="DG6" t="s">
        <v>589</v>
      </c>
      <c r="DH6" t="s">
        <v>591</v>
      </c>
      <c r="DI6" t="s">
        <v>593</v>
      </c>
      <c r="DJ6" t="s">
        <v>587</v>
      </c>
      <c r="DK6" t="s">
        <v>587</v>
      </c>
      <c r="DL6" t="s">
        <v>587</v>
      </c>
      <c r="DM6" t="s">
        <v>587</v>
      </c>
      <c r="DN6" t="s">
        <v>595</v>
      </c>
      <c r="DO6" t="s">
        <v>596</v>
      </c>
      <c r="DP6" t="s">
        <v>596</v>
      </c>
      <c r="DQ6" t="s">
        <v>450</v>
      </c>
      <c r="DR6" t="s">
        <v>597</v>
      </c>
      <c r="DS6" t="s">
        <v>598</v>
      </c>
      <c r="DT6" t="s">
        <v>599</v>
      </c>
      <c r="DU6" t="s">
        <v>600</v>
      </c>
      <c r="DV6" s="2">
        <v>45392</v>
      </c>
      <c r="DW6" s="2">
        <v>45394</v>
      </c>
      <c r="DX6" t="s">
        <v>601</v>
      </c>
      <c r="DY6" s="2">
        <v>45397</v>
      </c>
      <c r="DZ6" t="s">
        <v>602</v>
      </c>
      <c r="EA6" t="s">
        <v>415</v>
      </c>
      <c r="EB6" s="2">
        <v>45413</v>
      </c>
    </row>
    <row r="7" spans="1:132">
      <c r="A7" t="s">
        <v>132</v>
      </c>
      <c r="B7" t="s">
        <v>144</v>
      </c>
      <c r="C7" t="s">
        <v>156</v>
      </c>
      <c r="D7" t="s">
        <v>168</v>
      </c>
      <c r="E7" t="s">
        <v>180</v>
      </c>
      <c r="F7" t="s">
        <v>192</v>
      </c>
      <c r="G7">
        <v>000000104</v>
      </c>
      <c r="H7">
        <v>999900202</v>
      </c>
      <c r="I7" t="s">
        <v>202</v>
      </c>
      <c r="J7" t="s">
        <v>205</v>
      </c>
      <c r="K7" t="s">
        <v>211</v>
      </c>
      <c r="L7" s="2">
        <v>46621</v>
      </c>
      <c r="M7" s="2">
        <v>46277</v>
      </c>
      <c r="N7" s="2">
        <v>46315</v>
      </c>
      <c r="O7" t="s">
        <v>290</v>
      </c>
      <c r="P7" t="s">
        <v>295</v>
      </c>
      <c r="Q7" t="s">
        <v>299</v>
      </c>
      <c r="R7" t="s">
        <v>302</v>
      </c>
      <c r="S7">
        <v>180</v>
      </c>
      <c r="T7" t="s">
        <v>310</v>
      </c>
      <c r="U7" s="2">
        <v>25934</v>
      </c>
      <c r="V7" t="s">
        <v>312</v>
      </c>
      <c r="W7" t="s">
        <v>324</v>
      </c>
      <c r="X7" t="s">
        <v>328</v>
      </c>
      <c r="Y7" t="s">
        <v>340</v>
      </c>
      <c r="Z7" t="s">
        <v>352</v>
      </c>
      <c r="AA7" t="s">
        <v>358</v>
      </c>
      <c r="AB7">
        <v>44113</v>
      </c>
      <c r="AC7" t="s">
        <v>358</v>
      </c>
      <c r="AD7" t="s">
        <v>362</v>
      </c>
      <c r="AE7" s="2">
        <v>44799</v>
      </c>
      <c r="AF7" t="s">
        <v>364</v>
      </c>
      <c r="AH7" s="2">
        <v>45364</v>
      </c>
      <c r="AI7" t="s">
        <v>373</v>
      </c>
      <c r="AJ7" t="s">
        <v>385</v>
      </c>
      <c r="AK7" t="s">
        <v>397</v>
      </c>
      <c r="AM7" t="s">
        <v>409</v>
      </c>
      <c r="AN7" s="2">
        <v>46050</v>
      </c>
      <c r="AO7">
        <v>0</v>
      </c>
      <c r="AP7">
        <v>0</v>
      </c>
      <c r="AR7" t="s">
        <v>410</v>
      </c>
      <c r="AS7" s="2">
        <v>45392</v>
      </c>
      <c r="AT7" t="s">
        <v>412</v>
      </c>
      <c r="AU7" t="s">
        <v>413</v>
      </c>
      <c r="AX7" s="2">
        <v>45392</v>
      </c>
      <c r="AY7" t="s">
        <v>414</v>
      </c>
      <c r="AZ7" t="s">
        <v>415</v>
      </c>
      <c r="BB7" t="s">
        <v>416</v>
      </c>
      <c r="BC7" t="s">
        <v>417</v>
      </c>
      <c r="BD7" t="s">
        <v>180</v>
      </c>
      <c r="BF7" s="2">
        <v>45392</v>
      </c>
      <c r="BG7" t="s">
        <v>418</v>
      </c>
      <c r="BH7" t="s">
        <v>419</v>
      </c>
      <c r="BI7" t="s">
        <v>421</v>
      </c>
      <c r="BJ7" s="2">
        <v>45392</v>
      </c>
      <c r="BK7" t="s">
        <v>422</v>
      </c>
      <c r="BL7" s="2">
        <v>45385</v>
      </c>
      <c r="BM7" t="s">
        <v>423</v>
      </c>
      <c r="BN7" t="s">
        <v>435</v>
      </c>
      <c r="BO7" t="s">
        <v>439</v>
      </c>
      <c r="BP7" t="s">
        <v>444</v>
      </c>
      <c r="BQ7">
        <v>5</v>
      </c>
      <c r="BR7">
        <v>5</v>
      </c>
      <c r="BS7">
        <v>4</v>
      </c>
      <c r="BT7">
        <v>5</v>
      </c>
      <c r="BU7">
        <v>5</v>
      </c>
      <c r="BV7">
        <v>5</v>
      </c>
      <c r="BW7">
        <v>4</v>
      </c>
      <c r="BX7">
        <v>5</v>
      </c>
      <c r="BY7">
        <v>5</v>
      </c>
      <c r="BZ7" t="s">
        <v>450</v>
      </c>
      <c r="CB7" t="s">
        <v>456</v>
      </c>
      <c r="CC7" t="s">
        <v>457</v>
      </c>
      <c r="CD7" t="s">
        <v>458</v>
      </c>
      <c r="CE7" s="2">
        <v>46037</v>
      </c>
      <c r="CF7" s="2">
        <v>46218</v>
      </c>
      <c r="CH7" t="s">
        <v>459</v>
      </c>
      <c r="CJ7" t="s">
        <v>460</v>
      </c>
      <c r="CK7" t="s">
        <v>472</v>
      </c>
      <c r="CL7" t="s">
        <v>487</v>
      </c>
      <c r="CM7" t="s">
        <v>358</v>
      </c>
      <c r="CN7" t="s">
        <v>555</v>
      </c>
      <c r="CO7" t="s">
        <v>144</v>
      </c>
      <c r="CP7" s="2">
        <v>45364</v>
      </c>
      <c r="CQ7" s="2">
        <v>46094</v>
      </c>
      <c r="CR7" t="s">
        <v>556</v>
      </c>
      <c r="CS7" t="s">
        <v>385</v>
      </c>
      <c r="CT7" s="2">
        <v>45364</v>
      </c>
      <c r="CU7" t="s">
        <v>568</v>
      </c>
      <c r="CV7" t="s">
        <v>397</v>
      </c>
      <c r="CW7" t="s">
        <v>580</v>
      </c>
      <c r="CX7" t="s">
        <v>358</v>
      </c>
      <c r="CY7" t="s">
        <v>585</v>
      </c>
      <c r="DA7" t="s">
        <v>587</v>
      </c>
      <c r="DB7" t="s">
        <v>587</v>
      </c>
      <c r="DC7" t="s">
        <v>587</v>
      </c>
      <c r="DD7" t="s">
        <v>587</v>
      </c>
      <c r="DE7" t="s">
        <v>587</v>
      </c>
      <c r="DF7" t="s">
        <v>587</v>
      </c>
      <c r="DG7" t="s">
        <v>589</v>
      </c>
      <c r="DH7" t="s">
        <v>591</v>
      </c>
      <c r="DI7" t="s">
        <v>593</v>
      </c>
      <c r="DJ7" t="s">
        <v>587</v>
      </c>
      <c r="DK7" t="s">
        <v>587</v>
      </c>
      <c r="DL7" t="s">
        <v>587</v>
      </c>
      <c r="DM7" t="s">
        <v>587</v>
      </c>
      <c r="DN7" t="s">
        <v>595</v>
      </c>
      <c r="DO7" t="s">
        <v>596</v>
      </c>
      <c r="DP7" t="s">
        <v>596</v>
      </c>
      <c r="DQ7" t="s">
        <v>450</v>
      </c>
      <c r="DR7" t="s">
        <v>597</v>
      </c>
      <c r="DS7" t="s">
        <v>598</v>
      </c>
      <c r="DT7" t="s">
        <v>599</v>
      </c>
      <c r="DU7" t="s">
        <v>600</v>
      </c>
      <c r="DV7" s="2">
        <v>45392</v>
      </c>
      <c r="DW7" s="2">
        <v>45394</v>
      </c>
      <c r="DX7" t="s">
        <v>601</v>
      </c>
      <c r="DY7" s="2">
        <v>45397</v>
      </c>
      <c r="DZ7" t="s">
        <v>602</v>
      </c>
      <c r="EA7" t="s">
        <v>415</v>
      </c>
      <c r="EB7" s="2">
        <v>45413</v>
      </c>
    </row>
    <row r="8" spans="1:132">
      <c r="A8" t="s">
        <v>132</v>
      </c>
      <c r="B8" t="s">
        <v>144</v>
      </c>
      <c r="C8" t="s">
        <v>156</v>
      </c>
      <c r="D8" t="s">
        <v>168</v>
      </c>
      <c r="E8" t="s">
        <v>180</v>
      </c>
      <c r="F8" t="s">
        <v>192</v>
      </c>
      <c r="G8">
        <v>000000104</v>
      </c>
      <c r="H8">
        <v>999900202</v>
      </c>
      <c r="I8" t="s">
        <v>203</v>
      </c>
      <c r="J8" t="s">
        <v>205</v>
      </c>
      <c r="K8" t="s">
        <v>212</v>
      </c>
      <c r="L8" s="2">
        <v>46621</v>
      </c>
      <c r="M8" s="2">
        <v>46278</v>
      </c>
      <c r="N8" s="2">
        <v>46316</v>
      </c>
      <c r="P8" t="s">
        <v>295</v>
      </c>
      <c r="Q8" t="s">
        <v>299</v>
      </c>
      <c r="R8" t="s">
        <v>302</v>
      </c>
      <c r="S8">
        <v>180</v>
      </c>
      <c r="T8" t="s">
        <v>310</v>
      </c>
      <c r="U8" s="2">
        <v>25934</v>
      </c>
      <c r="V8" t="s">
        <v>312</v>
      </c>
      <c r="W8" t="s">
        <v>324</v>
      </c>
      <c r="X8" t="s">
        <v>328</v>
      </c>
      <c r="Y8" t="s">
        <v>340</v>
      </c>
      <c r="Z8" t="s">
        <v>352</v>
      </c>
      <c r="AA8" t="s">
        <v>358</v>
      </c>
      <c r="AB8">
        <v>44113</v>
      </c>
      <c r="AC8" t="s">
        <v>358</v>
      </c>
      <c r="AD8" t="s">
        <v>362</v>
      </c>
      <c r="AE8" s="2">
        <v>44799</v>
      </c>
      <c r="AF8" t="s">
        <v>364</v>
      </c>
      <c r="AH8" s="2">
        <v>45364</v>
      </c>
      <c r="AI8" t="s">
        <v>373</v>
      </c>
      <c r="AJ8" t="s">
        <v>385</v>
      </c>
      <c r="AK8" t="s">
        <v>397</v>
      </c>
      <c r="AM8" t="s">
        <v>409</v>
      </c>
      <c r="AN8" s="2">
        <v>46050</v>
      </c>
      <c r="AO8">
        <v>0</v>
      </c>
      <c r="AP8">
        <v>0</v>
      </c>
      <c r="AR8" t="s">
        <v>410</v>
      </c>
      <c r="AS8" s="2">
        <v>45392</v>
      </c>
      <c r="AT8" t="s">
        <v>412</v>
      </c>
      <c r="AU8" t="s">
        <v>413</v>
      </c>
      <c r="AX8" s="2">
        <v>45392</v>
      </c>
      <c r="AY8" t="s">
        <v>414</v>
      </c>
      <c r="AZ8" t="s">
        <v>415</v>
      </c>
      <c r="BB8" t="s">
        <v>416</v>
      </c>
      <c r="BC8" t="s">
        <v>417</v>
      </c>
      <c r="BD8" t="s">
        <v>180</v>
      </c>
      <c r="BF8" s="2">
        <v>45392</v>
      </c>
      <c r="BG8" t="s">
        <v>418</v>
      </c>
      <c r="BH8" t="s">
        <v>419</v>
      </c>
      <c r="BI8" t="s">
        <v>421</v>
      </c>
      <c r="BJ8" s="2">
        <v>45392</v>
      </c>
      <c r="BK8" t="s">
        <v>422</v>
      </c>
      <c r="BL8" s="2">
        <v>45385</v>
      </c>
      <c r="BM8" t="s">
        <v>423</v>
      </c>
      <c r="BN8" t="s">
        <v>435</v>
      </c>
      <c r="BO8" t="s">
        <v>439</v>
      </c>
      <c r="BP8" t="s">
        <v>444</v>
      </c>
      <c r="BQ8">
        <v>5</v>
      </c>
      <c r="BR8">
        <v>5</v>
      </c>
      <c r="BS8">
        <v>4</v>
      </c>
      <c r="BT8">
        <v>5</v>
      </c>
      <c r="BU8">
        <v>5</v>
      </c>
      <c r="BV8">
        <v>5</v>
      </c>
      <c r="BW8">
        <v>4</v>
      </c>
      <c r="BX8">
        <v>5</v>
      </c>
      <c r="BY8">
        <v>5</v>
      </c>
      <c r="BZ8" t="s">
        <v>450</v>
      </c>
      <c r="CB8" t="s">
        <v>456</v>
      </c>
      <c r="CC8" t="s">
        <v>457</v>
      </c>
      <c r="CD8" t="s">
        <v>458</v>
      </c>
      <c r="CE8" s="2">
        <v>46037</v>
      </c>
      <c r="CF8" s="2">
        <v>46218</v>
      </c>
      <c r="CH8" t="s">
        <v>459</v>
      </c>
      <c r="CJ8" t="s">
        <v>460</v>
      </c>
      <c r="CK8" t="s">
        <v>472</v>
      </c>
      <c r="CL8" t="s">
        <v>488</v>
      </c>
      <c r="CM8" t="s">
        <v>358</v>
      </c>
      <c r="CN8" t="s">
        <v>555</v>
      </c>
      <c r="CO8" t="s">
        <v>144</v>
      </c>
      <c r="CP8" s="2">
        <v>45364</v>
      </c>
      <c r="CQ8" s="2">
        <v>46094</v>
      </c>
      <c r="CR8" t="s">
        <v>556</v>
      </c>
      <c r="CS8" t="s">
        <v>385</v>
      </c>
      <c r="CT8" s="2">
        <v>45364</v>
      </c>
      <c r="CU8" t="s">
        <v>568</v>
      </c>
      <c r="CV8" t="s">
        <v>397</v>
      </c>
      <c r="CW8" t="s">
        <v>580</v>
      </c>
      <c r="CX8" t="s">
        <v>358</v>
      </c>
      <c r="CY8" t="s">
        <v>585</v>
      </c>
      <c r="DA8" t="s">
        <v>587</v>
      </c>
      <c r="DB8" t="s">
        <v>587</v>
      </c>
      <c r="DC8" t="s">
        <v>587</v>
      </c>
      <c r="DD8" t="s">
        <v>587</v>
      </c>
      <c r="DE8" t="s">
        <v>587</v>
      </c>
      <c r="DF8" t="s">
        <v>587</v>
      </c>
      <c r="DG8" t="s">
        <v>589</v>
      </c>
      <c r="DH8" t="s">
        <v>591</v>
      </c>
      <c r="DI8" t="s">
        <v>593</v>
      </c>
      <c r="DJ8" t="s">
        <v>587</v>
      </c>
      <c r="DK8" t="s">
        <v>587</v>
      </c>
      <c r="DL8" t="s">
        <v>587</v>
      </c>
      <c r="DM8" t="s">
        <v>587</v>
      </c>
      <c r="DN8" t="s">
        <v>595</v>
      </c>
      <c r="DO8" t="s">
        <v>596</v>
      </c>
      <c r="DP8" t="s">
        <v>596</v>
      </c>
      <c r="DQ8" t="s">
        <v>450</v>
      </c>
      <c r="DR8" t="s">
        <v>597</v>
      </c>
      <c r="DS8" t="s">
        <v>598</v>
      </c>
      <c r="DT8" t="s">
        <v>599</v>
      </c>
      <c r="DU8" t="s">
        <v>600</v>
      </c>
      <c r="DV8" s="2">
        <v>45392</v>
      </c>
      <c r="DW8" s="2">
        <v>45394</v>
      </c>
      <c r="DX8" t="s">
        <v>601</v>
      </c>
      <c r="DY8" s="2">
        <v>45397</v>
      </c>
      <c r="DZ8" t="s">
        <v>602</v>
      </c>
      <c r="EA8" t="s">
        <v>415</v>
      </c>
      <c r="EB8" s="2">
        <v>45413</v>
      </c>
    </row>
    <row r="9" spans="1:132">
      <c r="A9" t="s">
        <v>133</v>
      </c>
      <c r="B9" t="s">
        <v>145</v>
      </c>
      <c r="C9" t="s">
        <v>157</v>
      </c>
      <c r="D9" t="s">
        <v>169</v>
      </c>
      <c r="E9" t="s">
        <v>181</v>
      </c>
      <c r="F9" t="s">
        <v>193</v>
      </c>
      <c r="G9">
        <v>000000107</v>
      </c>
      <c r="H9">
        <v>999900201</v>
      </c>
      <c r="I9" t="s">
        <v>197</v>
      </c>
      <c r="J9" t="s">
        <v>205</v>
      </c>
      <c r="K9" t="s">
        <v>213</v>
      </c>
      <c r="L9" s="2">
        <v>46518</v>
      </c>
      <c r="M9" s="2">
        <v>46596</v>
      </c>
      <c r="N9" s="2">
        <v>46455</v>
      </c>
      <c r="P9" t="s">
        <v>296</v>
      </c>
      <c r="Q9" t="s">
        <v>300</v>
      </c>
      <c r="R9" t="s">
        <v>303</v>
      </c>
      <c r="S9">
        <v>134</v>
      </c>
      <c r="T9" t="s">
        <v>311</v>
      </c>
      <c r="U9" s="2">
        <v>30317</v>
      </c>
      <c r="V9" t="s">
        <v>313</v>
      </c>
      <c r="W9" t="s">
        <v>325</v>
      </c>
      <c r="X9" t="s">
        <v>329</v>
      </c>
      <c r="Y9" t="s">
        <v>341</v>
      </c>
      <c r="Z9" t="s">
        <v>353</v>
      </c>
      <c r="AA9" t="s">
        <v>359</v>
      </c>
      <c r="AB9">
        <v>60611</v>
      </c>
      <c r="AC9" t="s">
        <v>359</v>
      </c>
      <c r="AD9" t="s">
        <v>362</v>
      </c>
      <c r="AE9" s="2">
        <v>44696</v>
      </c>
      <c r="AF9" t="s">
        <v>365</v>
      </c>
      <c r="AG9" t="s">
        <v>370</v>
      </c>
      <c r="AH9" s="2">
        <v>45866</v>
      </c>
      <c r="AI9" t="s">
        <v>374</v>
      </c>
      <c r="AJ9" t="s">
        <v>386</v>
      </c>
      <c r="AK9" t="s">
        <v>398</v>
      </c>
      <c r="AL9" t="s">
        <v>370</v>
      </c>
      <c r="AM9" t="s">
        <v>409</v>
      </c>
      <c r="AN9" s="2">
        <v>46425</v>
      </c>
      <c r="AO9">
        <v>1</v>
      </c>
      <c r="AP9">
        <v>0</v>
      </c>
      <c r="AQ9" t="s">
        <v>370</v>
      </c>
      <c r="AR9" t="s">
        <v>410</v>
      </c>
      <c r="AS9" s="2">
        <v>45446</v>
      </c>
      <c r="AT9" t="s">
        <v>412</v>
      </c>
      <c r="AU9" t="s">
        <v>413</v>
      </c>
      <c r="AX9" s="2">
        <v>45446</v>
      </c>
      <c r="AY9" t="s">
        <v>414</v>
      </c>
      <c r="AZ9" t="s">
        <v>415</v>
      </c>
      <c r="BB9" t="s">
        <v>416</v>
      </c>
      <c r="BC9" t="s">
        <v>417</v>
      </c>
      <c r="BD9" t="s">
        <v>181</v>
      </c>
      <c r="BF9" s="2">
        <v>45446</v>
      </c>
      <c r="BG9" t="s">
        <v>418</v>
      </c>
      <c r="BH9" t="s">
        <v>419</v>
      </c>
      <c r="BI9" t="s">
        <v>421</v>
      </c>
      <c r="BJ9" s="2">
        <v>45446</v>
      </c>
      <c r="BK9" t="s">
        <v>422</v>
      </c>
      <c r="BL9" s="2">
        <v>45439</v>
      </c>
      <c r="BM9" t="s">
        <v>424</v>
      </c>
      <c r="BN9" t="s">
        <v>436</v>
      </c>
      <c r="BO9" t="s">
        <v>440</v>
      </c>
      <c r="BP9" t="s">
        <v>445</v>
      </c>
      <c r="BQ9">
        <v>4</v>
      </c>
      <c r="BR9">
        <v>5</v>
      </c>
      <c r="BS9">
        <v>4</v>
      </c>
      <c r="BT9">
        <v>4</v>
      </c>
      <c r="BU9">
        <v>5</v>
      </c>
      <c r="BV9">
        <v>5</v>
      </c>
      <c r="BW9">
        <v>4</v>
      </c>
      <c r="BX9">
        <v>5</v>
      </c>
      <c r="BY9">
        <v>4</v>
      </c>
      <c r="BZ9" t="s">
        <v>450</v>
      </c>
      <c r="CA9" t="s">
        <v>370</v>
      </c>
      <c r="CB9" t="s">
        <v>456</v>
      </c>
      <c r="CC9" t="s">
        <v>457</v>
      </c>
      <c r="CD9" t="s">
        <v>458</v>
      </c>
      <c r="CE9" s="2">
        <v>46037</v>
      </c>
      <c r="CF9" s="2">
        <v>46218</v>
      </c>
      <c r="CH9" t="s">
        <v>459</v>
      </c>
      <c r="CJ9" t="s">
        <v>461</v>
      </c>
      <c r="CK9" t="s">
        <v>473</v>
      </c>
      <c r="CL9" t="s">
        <v>213</v>
      </c>
      <c r="CM9" t="s">
        <v>359</v>
      </c>
      <c r="CN9" t="s">
        <v>555</v>
      </c>
      <c r="CO9" t="s">
        <v>145</v>
      </c>
      <c r="CP9" s="2">
        <v>45866</v>
      </c>
      <c r="CQ9" s="2">
        <v>46596</v>
      </c>
      <c r="CR9" t="s">
        <v>557</v>
      </c>
      <c r="CS9" t="s">
        <v>386</v>
      </c>
      <c r="CT9" s="2">
        <v>45866</v>
      </c>
      <c r="CU9" t="s">
        <v>569</v>
      </c>
      <c r="CV9" t="s">
        <v>398</v>
      </c>
      <c r="CW9" t="s">
        <v>581</v>
      </c>
      <c r="CX9" t="s">
        <v>359</v>
      </c>
      <c r="CY9" t="s">
        <v>585</v>
      </c>
      <c r="DA9" t="s">
        <v>588</v>
      </c>
      <c r="DB9" t="s">
        <v>587</v>
      </c>
      <c r="DC9" t="s">
        <v>587</v>
      </c>
      <c r="DD9" t="s">
        <v>587</v>
      </c>
      <c r="DE9" t="s">
        <v>588</v>
      </c>
      <c r="DF9" t="s">
        <v>587</v>
      </c>
      <c r="DG9" t="s">
        <v>590</v>
      </c>
      <c r="DH9" t="s">
        <v>592</v>
      </c>
      <c r="DI9" t="s">
        <v>594</v>
      </c>
      <c r="DJ9" t="s">
        <v>587</v>
      </c>
      <c r="DK9" t="s">
        <v>587</v>
      </c>
      <c r="DL9" t="s">
        <v>587</v>
      </c>
      <c r="DM9" t="s">
        <v>587</v>
      </c>
      <c r="DN9" t="s">
        <v>595</v>
      </c>
      <c r="DO9" t="s">
        <v>596</v>
      </c>
      <c r="DP9" t="s">
        <v>596</v>
      </c>
      <c r="DQ9" t="s">
        <v>450</v>
      </c>
      <c r="DR9" t="s">
        <v>597</v>
      </c>
      <c r="DS9" t="s">
        <v>598</v>
      </c>
      <c r="DT9" t="s">
        <v>599</v>
      </c>
      <c r="DU9" t="s">
        <v>600</v>
      </c>
      <c r="DV9" s="2">
        <v>45392</v>
      </c>
      <c r="DW9" s="2">
        <v>45394</v>
      </c>
      <c r="DX9" t="s">
        <v>601</v>
      </c>
      <c r="DY9" s="2">
        <v>45397</v>
      </c>
      <c r="DZ9" t="s">
        <v>602</v>
      </c>
      <c r="EA9" t="s">
        <v>415</v>
      </c>
      <c r="EB9" s="2">
        <v>45413</v>
      </c>
    </row>
    <row r="10" spans="1:132">
      <c r="A10" t="s">
        <v>133</v>
      </c>
      <c r="B10" t="s">
        <v>145</v>
      </c>
      <c r="C10" t="s">
        <v>157</v>
      </c>
      <c r="D10" t="s">
        <v>169</v>
      </c>
      <c r="E10" t="s">
        <v>181</v>
      </c>
      <c r="F10" t="s">
        <v>193</v>
      </c>
      <c r="G10">
        <v>000000107</v>
      </c>
      <c r="H10">
        <v>999900201</v>
      </c>
      <c r="I10" t="s">
        <v>198</v>
      </c>
      <c r="J10" t="s">
        <v>205</v>
      </c>
      <c r="K10" t="s">
        <v>214</v>
      </c>
      <c r="L10" s="2">
        <v>46518</v>
      </c>
      <c r="M10" s="2">
        <v>46596</v>
      </c>
      <c r="N10" s="2">
        <v>46455</v>
      </c>
      <c r="P10" t="s">
        <v>296</v>
      </c>
      <c r="Q10" t="s">
        <v>300</v>
      </c>
      <c r="R10" t="s">
        <v>303</v>
      </c>
      <c r="S10">
        <v>134</v>
      </c>
      <c r="T10" t="s">
        <v>311</v>
      </c>
      <c r="U10" s="2">
        <v>30317</v>
      </c>
      <c r="V10" t="s">
        <v>313</v>
      </c>
      <c r="W10" t="s">
        <v>325</v>
      </c>
      <c r="X10" t="s">
        <v>329</v>
      </c>
      <c r="Y10" t="s">
        <v>341</v>
      </c>
      <c r="Z10" t="s">
        <v>353</v>
      </c>
      <c r="AA10" t="s">
        <v>359</v>
      </c>
      <c r="AB10">
        <v>60611</v>
      </c>
      <c r="AC10" t="s">
        <v>359</v>
      </c>
      <c r="AD10" t="s">
        <v>362</v>
      </c>
      <c r="AE10" s="2">
        <v>44696</v>
      </c>
      <c r="AF10" t="s">
        <v>365</v>
      </c>
      <c r="AG10" t="s">
        <v>370</v>
      </c>
      <c r="AH10" s="2">
        <v>45866</v>
      </c>
      <c r="AI10" t="s">
        <v>374</v>
      </c>
      <c r="AJ10" t="s">
        <v>386</v>
      </c>
      <c r="AK10" t="s">
        <v>398</v>
      </c>
      <c r="AL10" t="s">
        <v>370</v>
      </c>
      <c r="AM10" t="s">
        <v>409</v>
      </c>
      <c r="AN10" s="2">
        <v>46425</v>
      </c>
      <c r="AO10">
        <v>1</v>
      </c>
      <c r="AP10">
        <v>0</v>
      </c>
      <c r="AQ10" t="s">
        <v>370</v>
      </c>
      <c r="AR10" t="s">
        <v>410</v>
      </c>
      <c r="AS10" s="2">
        <v>45446</v>
      </c>
      <c r="AT10" t="s">
        <v>412</v>
      </c>
      <c r="AU10" t="s">
        <v>413</v>
      </c>
      <c r="AX10" s="2">
        <v>45446</v>
      </c>
      <c r="AY10" t="s">
        <v>414</v>
      </c>
      <c r="AZ10" t="s">
        <v>415</v>
      </c>
      <c r="BB10" t="s">
        <v>416</v>
      </c>
      <c r="BC10" t="s">
        <v>417</v>
      </c>
      <c r="BD10" t="s">
        <v>181</v>
      </c>
      <c r="BF10" s="2">
        <v>45446</v>
      </c>
      <c r="BG10" t="s">
        <v>418</v>
      </c>
      <c r="BH10" t="s">
        <v>419</v>
      </c>
      <c r="BI10" t="s">
        <v>421</v>
      </c>
      <c r="BJ10" s="2">
        <v>45446</v>
      </c>
      <c r="BK10" t="s">
        <v>422</v>
      </c>
      <c r="BL10" s="2">
        <v>45439</v>
      </c>
      <c r="BM10" t="s">
        <v>424</v>
      </c>
      <c r="BN10" t="s">
        <v>436</v>
      </c>
      <c r="BO10" t="s">
        <v>440</v>
      </c>
      <c r="BP10" t="s">
        <v>445</v>
      </c>
      <c r="BQ10">
        <v>4</v>
      </c>
      <c r="BR10">
        <v>5</v>
      </c>
      <c r="BS10">
        <v>4</v>
      </c>
      <c r="BT10">
        <v>4</v>
      </c>
      <c r="BU10">
        <v>5</v>
      </c>
      <c r="BV10">
        <v>5</v>
      </c>
      <c r="BW10">
        <v>4</v>
      </c>
      <c r="BX10">
        <v>5</v>
      </c>
      <c r="BY10">
        <v>4</v>
      </c>
      <c r="BZ10" t="s">
        <v>450</v>
      </c>
      <c r="CA10" t="s">
        <v>370</v>
      </c>
      <c r="CB10" t="s">
        <v>456</v>
      </c>
      <c r="CC10" t="s">
        <v>457</v>
      </c>
      <c r="CD10" t="s">
        <v>458</v>
      </c>
      <c r="CE10" s="2">
        <v>46037</v>
      </c>
      <c r="CF10" s="2">
        <v>46218</v>
      </c>
      <c r="CH10" t="s">
        <v>459</v>
      </c>
      <c r="CJ10" t="s">
        <v>461</v>
      </c>
      <c r="CK10" t="s">
        <v>473</v>
      </c>
      <c r="CL10" t="s">
        <v>489</v>
      </c>
      <c r="CM10" t="s">
        <v>359</v>
      </c>
      <c r="CN10" t="s">
        <v>555</v>
      </c>
      <c r="CO10" t="s">
        <v>145</v>
      </c>
      <c r="CP10" s="2">
        <v>45866</v>
      </c>
      <c r="CQ10" s="2">
        <v>46596</v>
      </c>
      <c r="CR10" t="s">
        <v>557</v>
      </c>
      <c r="CS10" t="s">
        <v>386</v>
      </c>
      <c r="CT10" s="2">
        <v>45866</v>
      </c>
      <c r="CU10" t="s">
        <v>569</v>
      </c>
      <c r="CV10" t="s">
        <v>398</v>
      </c>
      <c r="CW10" t="s">
        <v>581</v>
      </c>
      <c r="CX10" t="s">
        <v>359</v>
      </c>
      <c r="CY10" t="s">
        <v>585</v>
      </c>
      <c r="DA10" t="s">
        <v>588</v>
      </c>
      <c r="DB10" t="s">
        <v>587</v>
      </c>
      <c r="DC10" t="s">
        <v>587</v>
      </c>
      <c r="DD10" t="s">
        <v>587</v>
      </c>
      <c r="DE10" t="s">
        <v>588</v>
      </c>
      <c r="DF10" t="s">
        <v>587</v>
      </c>
      <c r="DG10" t="s">
        <v>590</v>
      </c>
      <c r="DH10" t="s">
        <v>592</v>
      </c>
      <c r="DI10" t="s">
        <v>594</v>
      </c>
      <c r="DJ10" t="s">
        <v>587</v>
      </c>
      <c r="DK10" t="s">
        <v>587</v>
      </c>
      <c r="DL10" t="s">
        <v>587</v>
      </c>
      <c r="DM10" t="s">
        <v>587</v>
      </c>
      <c r="DN10" t="s">
        <v>595</v>
      </c>
      <c r="DO10" t="s">
        <v>596</v>
      </c>
      <c r="DP10" t="s">
        <v>596</v>
      </c>
      <c r="DQ10" t="s">
        <v>450</v>
      </c>
      <c r="DR10" t="s">
        <v>597</v>
      </c>
      <c r="DS10" t="s">
        <v>598</v>
      </c>
      <c r="DT10" t="s">
        <v>599</v>
      </c>
      <c r="DU10" t="s">
        <v>600</v>
      </c>
      <c r="DV10" s="2">
        <v>45392</v>
      </c>
      <c r="DW10" s="2">
        <v>45394</v>
      </c>
      <c r="DX10" t="s">
        <v>601</v>
      </c>
      <c r="DY10" s="2">
        <v>45397</v>
      </c>
      <c r="DZ10" t="s">
        <v>602</v>
      </c>
      <c r="EA10" t="s">
        <v>415</v>
      </c>
      <c r="EB10" s="2">
        <v>45413</v>
      </c>
    </row>
    <row r="11" spans="1:132">
      <c r="A11" t="s">
        <v>133</v>
      </c>
      <c r="B11" t="s">
        <v>145</v>
      </c>
      <c r="C11" t="s">
        <v>157</v>
      </c>
      <c r="D11" t="s">
        <v>169</v>
      </c>
      <c r="E11" t="s">
        <v>181</v>
      </c>
      <c r="F11" t="s">
        <v>193</v>
      </c>
      <c r="G11">
        <v>000000107</v>
      </c>
      <c r="H11">
        <v>999900201</v>
      </c>
      <c r="I11" t="s">
        <v>199</v>
      </c>
      <c r="J11" t="s">
        <v>205</v>
      </c>
      <c r="K11" t="s">
        <v>215</v>
      </c>
      <c r="L11" s="2">
        <v>46518</v>
      </c>
      <c r="M11" s="2">
        <v>46596</v>
      </c>
      <c r="N11" s="2">
        <v>46455</v>
      </c>
      <c r="P11" t="s">
        <v>296</v>
      </c>
      <c r="Q11" t="s">
        <v>300</v>
      </c>
      <c r="R11" t="s">
        <v>303</v>
      </c>
      <c r="S11">
        <v>134</v>
      </c>
      <c r="T11" t="s">
        <v>311</v>
      </c>
      <c r="U11" s="2">
        <v>30317</v>
      </c>
      <c r="V11" t="s">
        <v>313</v>
      </c>
      <c r="W11" t="s">
        <v>325</v>
      </c>
      <c r="X11" t="s">
        <v>329</v>
      </c>
      <c r="Y11" t="s">
        <v>341</v>
      </c>
      <c r="Z11" t="s">
        <v>353</v>
      </c>
      <c r="AA11" t="s">
        <v>359</v>
      </c>
      <c r="AB11">
        <v>60611</v>
      </c>
      <c r="AC11" t="s">
        <v>359</v>
      </c>
      <c r="AD11" t="s">
        <v>362</v>
      </c>
      <c r="AE11" s="2">
        <v>44696</v>
      </c>
      <c r="AF11" t="s">
        <v>365</v>
      </c>
      <c r="AG11" t="s">
        <v>370</v>
      </c>
      <c r="AH11" s="2">
        <v>45866</v>
      </c>
      <c r="AI11" t="s">
        <v>374</v>
      </c>
      <c r="AJ11" t="s">
        <v>386</v>
      </c>
      <c r="AK11" t="s">
        <v>398</v>
      </c>
      <c r="AL11" t="s">
        <v>370</v>
      </c>
      <c r="AM11" t="s">
        <v>409</v>
      </c>
      <c r="AN11" s="2">
        <v>46425</v>
      </c>
      <c r="AO11">
        <v>1</v>
      </c>
      <c r="AP11">
        <v>0</v>
      </c>
      <c r="AQ11" t="s">
        <v>370</v>
      </c>
      <c r="AR11" t="s">
        <v>410</v>
      </c>
      <c r="AS11" s="2">
        <v>45446</v>
      </c>
      <c r="AT11" t="s">
        <v>412</v>
      </c>
      <c r="AU11" t="s">
        <v>413</v>
      </c>
      <c r="AX11" s="2">
        <v>45446</v>
      </c>
      <c r="AY11" t="s">
        <v>414</v>
      </c>
      <c r="AZ11" t="s">
        <v>415</v>
      </c>
      <c r="BB11" t="s">
        <v>416</v>
      </c>
      <c r="BC11" t="s">
        <v>417</v>
      </c>
      <c r="BD11" t="s">
        <v>181</v>
      </c>
      <c r="BF11" s="2">
        <v>45446</v>
      </c>
      <c r="BG11" t="s">
        <v>418</v>
      </c>
      <c r="BH11" t="s">
        <v>419</v>
      </c>
      <c r="BI11" t="s">
        <v>421</v>
      </c>
      <c r="BJ11" s="2">
        <v>45446</v>
      </c>
      <c r="BK11" t="s">
        <v>422</v>
      </c>
      <c r="BL11" s="2">
        <v>45439</v>
      </c>
      <c r="BM11" t="s">
        <v>424</v>
      </c>
      <c r="BN11" t="s">
        <v>436</v>
      </c>
      <c r="BO11" t="s">
        <v>440</v>
      </c>
      <c r="BP11" t="s">
        <v>445</v>
      </c>
      <c r="BQ11">
        <v>4</v>
      </c>
      <c r="BR11">
        <v>5</v>
      </c>
      <c r="BS11">
        <v>4</v>
      </c>
      <c r="BT11">
        <v>4</v>
      </c>
      <c r="BU11">
        <v>5</v>
      </c>
      <c r="BV11">
        <v>5</v>
      </c>
      <c r="BW11">
        <v>4</v>
      </c>
      <c r="BX11">
        <v>5</v>
      </c>
      <c r="BY11">
        <v>4</v>
      </c>
      <c r="BZ11" t="s">
        <v>450</v>
      </c>
      <c r="CA11" t="s">
        <v>370</v>
      </c>
      <c r="CB11" t="s">
        <v>456</v>
      </c>
      <c r="CC11" t="s">
        <v>457</v>
      </c>
      <c r="CD11" t="s">
        <v>458</v>
      </c>
      <c r="CE11" s="2">
        <v>46037</v>
      </c>
      <c r="CF11" s="2">
        <v>46218</v>
      </c>
      <c r="CH11" t="s">
        <v>459</v>
      </c>
      <c r="CJ11" t="s">
        <v>461</v>
      </c>
      <c r="CK11" t="s">
        <v>473</v>
      </c>
      <c r="CL11" t="s">
        <v>490</v>
      </c>
      <c r="CM11" t="s">
        <v>359</v>
      </c>
      <c r="CN11" t="s">
        <v>555</v>
      </c>
      <c r="CO11" t="s">
        <v>145</v>
      </c>
      <c r="CP11" s="2">
        <v>45866</v>
      </c>
      <c r="CQ11" s="2">
        <v>46596</v>
      </c>
      <c r="CR11" t="s">
        <v>557</v>
      </c>
      <c r="CS11" t="s">
        <v>386</v>
      </c>
      <c r="CT11" s="2">
        <v>45866</v>
      </c>
      <c r="CU11" t="s">
        <v>569</v>
      </c>
      <c r="CV11" t="s">
        <v>398</v>
      </c>
      <c r="CW11" t="s">
        <v>581</v>
      </c>
      <c r="CX11" t="s">
        <v>359</v>
      </c>
      <c r="CY11" t="s">
        <v>585</v>
      </c>
      <c r="DA11" t="s">
        <v>588</v>
      </c>
      <c r="DB11" t="s">
        <v>587</v>
      </c>
      <c r="DC11" t="s">
        <v>587</v>
      </c>
      <c r="DD11" t="s">
        <v>587</v>
      </c>
      <c r="DE11" t="s">
        <v>588</v>
      </c>
      <c r="DF11" t="s">
        <v>587</v>
      </c>
      <c r="DG11" t="s">
        <v>590</v>
      </c>
      <c r="DH11" t="s">
        <v>592</v>
      </c>
      <c r="DI11" t="s">
        <v>594</v>
      </c>
      <c r="DJ11" t="s">
        <v>587</v>
      </c>
      <c r="DK11" t="s">
        <v>587</v>
      </c>
      <c r="DL11" t="s">
        <v>587</v>
      </c>
      <c r="DM11" t="s">
        <v>587</v>
      </c>
      <c r="DN11" t="s">
        <v>595</v>
      </c>
      <c r="DO11" t="s">
        <v>596</v>
      </c>
      <c r="DP11" t="s">
        <v>596</v>
      </c>
      <c r="DQ11" t="s">
        <v>450</v>
      </c>
      <c r="DR11" t="s">
        <v>597</v>
      </c>
      <c r="DS11" t="s">
        <v>598</v>
      </c>
      <c r="DT11" t="s">
        <v>599</v>
      </c>
      <c r="DU11" t="s">
        <v>600</v>
      </c>
      <c r="DV11" s="2">
        <v>45392</v>
      </c>
      <c r="DW11" s="2">
        <v>45394</v>
      </c>
      <c r="DX11" t="s">
        <v>601</v>
      </c>
      <c r="DY11" s="2">
        <v>45397</v>
      </c>
      <c r="DZ11" t="s">
        <v>602</v>
      </c>
      <c r="EA11" t="s">
        <v>415</v>
      </c>
      <c r="EB11" s="2">
        <v>45413</v>
      </c>
    </row>
    <row r="12" spans="1:132">
      <c r="A12" t="s">
        <v>133</v>
      </c>
      <c r="B12" t="s">
        <v>145</v>
      </c>
      <c r="C12" t="s">
        <v>157</v>
      </c>
      <c r="D12" t="s">
        <v>169</v>
      </c>
      <c r="E12" t="s">
        <v>181</v>
      </c>
      <c r="F12" t="s">
        <v>193</v>
      </c>
      <c r="G12">
        <v>000000107</v>
      </c>
      <c r="H12">
        <v>999900201</v>
      </c>
      <c r="I12" t="s">
        <v>200</v>
      </c>
      <c r="J12" t="s">
        <v>205</v>
      </c>
      <c r="K12" t="s">
        <v>216</v>
      </c>
      <c r="L12" s="2">
        <v>46518</v>
      </c>
      <c r="M12" s="2">
        <v>46596</v>
      </c>
      <c r="N12" s="2">
        <v>46455</v>
      </c>
      <c r="P12" t="s">
        <v>296</v>
      </c>
      <c r="Q12" t="s">
        <v>300</v>
      </c>
      <c r="R12" t="s">
        <v>303</v>
      </c>
      <c r="S12">
        <v>134</v>
      </c>
      <c r="T12" t="s">
        <v>311</v>
      </c>
      <c r="U12" s="2">
        <v>30317</v>
      </c>
      <c r="V12" t="s">
        <v>313</v>
      </c>
      <c r="W12" t="s">
        <v>325</v>
      </c>
      <c r="X12" t="s">
        <v>329</v>
      </c>
      <c r="Y12" t="s">
        <v>341</v>
      </c>
      <c r="Z12" t="s">
        <v>353</v>
      </c>
      <c r="AA12" t="s">
        <v>359</v>
      </c>
      <c r="AB12">
        <v>60611</v>
      </c>
      <c r="AC12" t="s">
        <v>359</v>
      </c>
      <c r="AD12" t="s">
        <v>362</v>
      </c>
      <c r="AE12" s="2">
        <v>44696</v>
      </c>
      <c r="AF12" t="s">
        <v>365</v>
      </c>
      <c r="AG12" t="s">
        <v>370</v>
      </c>
      <c r="AH12" s="2">
        <v>45866</v>
      </c>
      <c r="AI12" t="s">
        <v>374</v>
      </c>
      <c r="AJ12" t="s">
        <v>386</v>
      </c>
      <c r="AK12" t="s">
        <v>398</v>
      </c>
      <c r="AL12" t="s">
        <v>370</v>
      </c>
      <c r="AM12" t="s">
        <v>409</v>
      </c>
      <c r="AN12" s="2">
        <v>46425</v>
      </c>
      <c r="AO12">
        <v>1</v>
      </c>
      <c r="AP12">
        <v>0</v>
      </c>
      <c r="AQ12" t="s">
        <v>370</v>
      </c>
      <c r="AR12" t="s">
        <v>410</v>
      </c>
      <c r="AS12" s="2">
        <v>45446</v>
      </c>
      <c r="AT12" t="s">
        <v>412</v>
      </c>
      <c r="AU12" t="s">
        <v>413</v>
      </c>
      <c r="AX12" s="2">
        <v>45446</v>
      </c>
      <c r="AY12" t="s">
        <v>414</v>
      </c>
      <c r="AZ12" t="s">
        <v>415</v>
      </c>
      <c r="BB12" t="s">
        <v>416</v>
      </c>
      <c r="BC12" t="s">
        <v>417</v>
      </c>
      <c r="BD12" t="s">
        <v>181</v>
      </c>
      <c r="BF12" s="2">
        <v>45446</v>
      </c>
      <c r="BG12" t="s">
        <v>418</v>
      </c>
      <c r="BH12" t="s">
        <v>419</v>
      </c>
      <c r="BI12" t="s">
        <v>421</v>
      </c>
      <c r="BJ12" s="2">
        <v>45446</v>
      </c>
      <c r="BK12" t="s">
        <v>422</v>
      </c>
      <c r="BL12" s="2">
        <v>45439</v>
      </c>
      <c r="BM12" t="s">
        <v>424</v>
      </c>
      <c r="BN12" t="s">
        <v>436</v>
      </c>
      <c r="BO12" t="s">
        <v>440</v>
      </c>
      <c r="BP12" t="s">
        <v>445</v>
      </c>
      <c r="BQ12">
        <v>4</v>
      </c>
      <c r="BR12">
        <v>5</v>
      </c>
      <c r="BS12">
        <v>4</v>
      </c>
      <c r="BT12">
        <v>4</v>
      </c>
      <c r="BU12">
        <v>5</v>
      </c>
      <c r="BV12">
        <v>5</v>
      </c>
      <c r="BW12">
        <v>4</v>
      </c>
      <c r="BX12">
        <v>5</v>
      </c>
      <c r="BY12">
        <v>4</v>
      </c>
      <c r="BZ12" t="s">
        <v>450</v>
      </c>
      <c r="CA12" t="s">
        <v>370</v>
      </c>
      <c r="CB12" t="s">
        <v>456</v>
      </c>
      <c r="CC12" t="s">
        <v>457</v>
      </c>
      <c r="CD12" t="s">
        <v>458</v>
      </c>
      <c r="CE12" s="2">
        <v>46037</v>
      </c>
      <c r="CF12" s="2">
        <v>46218</v>
      </c>
      <c r="CH12" t="s">
        <v>459</v>
      </c>
      <c r="CJ12" t="s">
        <v>461</v>
      </c>
      <c r="CK12" t="s">
        <v>473</v>
      </c>
      <c r="CL12" t="s">
        <v>491</v>
      </c>
      <c r="CM12" t="s">
        <v>359</v>
      </c>
      <c r="CN12" t="s">
        <v>555</v>
      </c>
      <c r="CO12" t="s">
        <v>145</v>
      </c>
      <c r="CP12" s="2">
        <v>45866</v>
      </c>
      <c r="CQ12" s="2">
        <v>46596</v>
      </c>
      <c r="CR12" t="s">
        <v>557</v>
      </c>
      <c r="CS12" t="s">
        <v>386</v>
      </c>
      <c r="CT12" s="2">
        <v>45866</v>
      </c>
      <c r="CU12" t="s">
        <v>569</v>
      </c>
      <c r="CV12" t="s">
        <v>398</v>
      </c>
      <c r="CW12" t="s">
        <v>581</v>
      </c>
      <c r="CX12" t="s">
        <v>359</v>
      </c>
      <c r="CY12" t="s">
        <v>585</v>
      </c>
      <c r="DA12" t="s">
        <v>588</v>
      </c>
      <c r="DB12" t="s">
        <v>587</v>
      </c>
      <c r="DC12" t="s">
        <v>587</v>
      </c>
      <c r="DD12" t="s">
        <v>587</v>
      </c>
      <c r="DE12" t="s">
        <v>588</v>
      </c>
      <c r="DF12" t="s">
        <v>587</v>
      </c>
      <c r="DG12" t="s">
        <v>590</v>
      </c>
      <c r="DH12" t="s">
        <v>592</v>
      </c>
      <c r="DI12" t="s">
        <v>594</v>
      </c>
      <c r="DJ12" t="s">
        <v>587</v>
      </c>
      <c r="DK12" t="s">
        <v>587</v>
      </c>
      <c r="DL12" t="s">
        <v>587</v>
      </c>
      <c r="DM12" t="s">
        <v>587</v>
      </c>
      <c r="DN12" t="s">
        <v>595</v>
      </c>
      <c r="DO12" t="s">
        <v>596</v>
      </c>
      <c r="DP12" t="s">
        <v>596</v>
      </c>
      <c r="DQ12" t="s">
        <v>450</v>
      </c>
      <c r="DR12" t="s">
        <v>597</v>
      </c>
      <c r="DS12" t="s">
        <v>598</v>
      </c>
      <c r="DT12" t="s">
        <v>599</v>
      </c>
      <c r="DU12" t="s">
        <v>600</v>
      </c>
      <c r="DV12" s="2">
        <v>45392</v>
      </c>
      <c r="DW12" s="2">
        <v>45394</v>
      </c>
      <c r="DX12" t="s">
        <v>601</v>
      </c>
      <c r="DY12" s="2">
        <v>45397</v>
      </c>
      <c r="DZ12" t="s">
        <v>602</v>
      </c>
      <c r="EA12" t="s">
        <v>415</v>
      </c>
      <c r="EB12" s="2">
        <v>45413</v>
      </c>
    </row>
    <row r="13" spans="1:132">
      <c r="A13" t="s">
        <v>133</v>
      </c>
      <c r="B13" t="s">
        <v>145</v>
      </c>
      <c r="C13" t="s">
        <v>157</v>
      </c>
      <c r="D13" t="s">
        <v>169</v>
      </c>
      <c r="E13" t="s">
        <v>181</v>
      </c>
      <c r="F13" t="s">
        <v>193</v>
      </c>
      <c r="G13">
        <v>000000107</v>
      </c>
      <c r="H13">
        <v>999900201</v>
      </c>
      <c r="I13" t="s">
        <v>201</v>
      </c>
      <c r="J13" t="s">
        <v>205</v>
      </c>
      <c r="K13" t="s">
        <v>217</v>
      </c>
      <c r="L13" s="2">
        <v>46518</v>
      </c>
      <c r="M13" s="2">
        <v>46596</v>
      </c>
      <c r="N13" s="2">
        <v>46455</v>
      </c>
      <c r="P13" t="s">
        <v>296</v>
      </c>
      <c r="Q13" t="s">
        <v>300</v>
      </c>
      <c r="R13" t="s">
        <v>303</v>
      </c>
      <c r="S13">
        <v>134</v>
      </c>
      <c r="T13" t="s">
        <v>311</v>
      </c>
      <c r="U13" s="2">
        <v>30317</v>
      </c>
      <c r="V13" t="s">
        <v>313</v>
      </c>
      <c r="W13" t="s">
        <v>325</v>
      </c>
      <c r="X13" t="s">
        <v>329</v>
      </c>
      <c r="Y13" t="s">
        <v>341</v>
      </c>
      <c r="Z13" t="s">
        <v>353</v>
      </c>
      <c r="AA13" t="s">
        <v>359</v>
      </c>
      <c r="AB13">
        <v>60611</v>
      </c>
      <c r="AC13" t="s">
        <v>359</v>
      </c>
      <c r="AD13" t="s">
        <v>362</v>
      </c>
      <c r="AE13" s="2">
        <v>44696</v>
      </c>
      <c r="AF13" t="s">
        <v>365</v>
      </c>
      <c r="AG13" t="s">
        <v>370</v>
      </c>
      <c r="AH13" s="2">
        <v>45866</v>
      </c>
      <c r="AI13" t="s">
        <v>374</v>
      </c>
      <c r="AJ13" t="s">
        <v>386</v>
      </c>
      <c r="AK13" t="s">
        <v>398</v>
      </c>
      <c r="AL13" t="s">
        <v>370</v>
      </c>
      <c r="AM13" t="s">
        <v>409</v>
      </c>
      <c r="AN13" s="2">
        <v>46425</v>
      </c>
      <c r="AO13">
        <v>1</v>
      </c>
      <c r="AP13">
        <v>0</v>
      </c>
      <c r="AQ13" t="s">
        <v>370</v>
      </c>
      <c r="AR13" t="s">
        <v>410</v>
      </c>
      <c r="AS13" s="2">
        <v>45446</v>
      </c>
      <c r="AT13" t="s">
        <v>412</v>
      </c>
      <c r="AU13" t="s">
        <v>413</v>
      </c>
      <c r="AX13" s="2">
        <v>45446</v>
      </c>
      <c r="AY13" t="s">
        <v>414</v>
      </c>
      <c r="AZ13" t="s">
        <v>415</v>
      </c>
      <c r="BB13" t="s">
        <v>416</v>
      </c>
      <c r="BC13" t="s">
        <v>417</v>
      </c>
      <c r="BD13" t="s">
        <v>181</v>
      </c>
      <c r="BF13" s="2">
        <v>45446</v>
      </c>
      <c r="BG13" t="s">
        <v>418</v>
      </c>
      <c r="BH13" t="s">
        <v>419</v>
      </c>
      <c r="BI13" t="s">
        <v>421</v>
      </c>
      <c r="BJ13" s="2">
        <v>45446</v>
      </c>
      <c r="BK13" t="s">
        <v>422</v>
      </c>
      <c r="BL13" s="2">
        <v>45439</v>
      </c>
      <c r="BM13" t="s">
        <v>424</v>
      </c>
      <c r="BN13" t="s">
        <v>436</v>
      </c>
      <c r="BO13" t="s">
        <v>440</v>
      </c>
      <c r="BP13" t="s">
        <v>445</v>
      </c>
      <c r="BQ13">
        <v>4</v>
      </c>
      <c r="BR13">
        <v>5</v>
      </c>
      <c r="BS13">
        <v>4</v>
      </c>
      <c r="BT13">
        <v>4</v>
      </c>
      <c r="BU13">
        <v>5</v>
      </c>
      <c r="BV13">
        <v>5</v>
      </c>
      <c r="BW13">
        <v>4</v>
      </c>
      <c r="BX13">
        <v>5</v>
      </c>
      <c r="BY13">
        <v>4</v>
      </c>
      <c r="BZ13" t="s">
        <v>450</v>
      </c>
      <c r="CA13" t="s">
        <v>370</v>
      </c>
      <c r="CB13" t="s">
        <v>456</v>
      </c>
      <c r="CC13" t="s">
        <v>457</v>
      </c>
      <c r="CD13" t="s">
        <v>458</v>
      </c>
      <c r="CE13" s="2">
        <v>46037</v>
      </c>
      <c r="CF13" s="2">
        <v>46218</v>
      </c>
      <c r="CH13" t="s">
        <v>459</v>
      </c>
      <c r="CJ13" t="s">
        <v>461</v>
      </c>
      <c r="CK13" t="s">
        <v>473</v>
      </c>
      <c r="CL13" t="s">
        <v>492</v>
      </c>
      <c r="CM13" t="s">
        <v>359</v>
      </c>
      <c r="CN13" t="s">
        <v>555</v>
      </c>
      <c r="CO13" t="s">
        <v>145</v>
      </c>
      <c r="CP13" s="2">
        <v>45866</v>
      </c>
      <c r="CQ13" s="2">
        <v>46596</v>
      </c>
      <c r="CR13" t="s">
        <v>557</v>
      </c>
      <c r="CS13" t="s">
        <v>386</v>
      </c>
      <c r="CT13" s="2">
        <v>45866</v>
      </c>
      <c r="CU13" t="s">
        <v>569</v>
      </c>
      <c r="CV13" t="s">
        <v>398</v>
      </c>
      <c r="CW13" t="s">
        <v>581</v>
      </c>
      <c r="CX13" t="s">
        <v>359</v>
      </c>
      <c r="CY13" t="s">
        <v>585</v>
      </c>
      <c r="DA13" t="s">
        <v>588</v>
      </c>
      <c r="DB13" t="s">
        <v>587</v>
      </c>
      <c r="DC13" t="s">
        <v>587</v>
      </c>
      <c r="DD13" t="s">
        <v>587</v>
      </c>
      <c r="DE13" t="s">
        <v>588</v>
      </c>
      <c r="DF13" t="s">
        <v>587</v>
      </c>
      <c r="DG13" t="s">
        <v>590</v>
      </c>
      <c r="DH13" t="s">
        <v>592</v>
      </c>
      <c r="DI13" t="s">
        <v>594</v>
      </c>
      <c r="DJ13" t="s">
        <v>587</v>
      </c>
      <c r="DK13" t="s">
        <v>587</v>
      </c>
      <c r="DL13" t="s">
        <v>587</v>
      </c>
      <c r="DM13" t="s">
        <v>587</v>
      </c>
      <c r="DN13" t="s">
        <v>595</v>
      </c>
      <c r="DO13" t="s">
        <v>596</v>
      </c>
      <c r="DP13" t="s">
        <v>596</v>
      </c>
      <c r="DQ13" t="s">
        <v>450</v>
      </c>
      <c r="DR13" t="s">
        <v>597</v>
      </c>
      <c r="DS13" t="s">
        <v>598</v>
      </c>
      <c r="DT13" t="s">
        <v>599</v>
      </c>
      <c r="DU13" t="s">
        <v>600</v>
      </c>
      <c r="DV13" s="2">
        <v>45392</v>
      </c>
      <c r="DW13" s="2">
        <v>45394</v>
      </c>
      <c r="DX13" t="s">
        <v>601</v>
      </c>
      <c r="DY13" s="2">
        <v>45397</v>
      </c>
      <c r="DZ13" t="s">
        <v>602</v>
      </c>
      <c r="EA13" t="s">
        <v>415</v>
      </c>
      <c r="EB13" s="2">
        <v>45413</v>
      </c>
    </row>
    <row r="14" spans="1:132">
      <c r="A14" t="s">
        <v>133</v>
      </c>
      <c r="B14" t="s">
        <v>145</v>
      </c>
      <c r="C14" t="s">
        <v>157</v>
      </c>
      <c r="D14" t="s">
        <v>169</v>
      </c>
      <c r="E14" t="s">
        <v>181</v>
      </c>
      <c r="F14" t="s">
        <v>193</v>
      </c>
      <c r="G14">
        <v>000000107</v>
      </c>
      <c r="H14">
        <v>999900201</v>
      </c>
      <c r="I14" t="s">
        <v>202</v>
      </c>
      <c r="J14" t="s">
        <v>205</v>
      </c>
      <c r="K14" t="s">
        <v>218</v>
      </c>
      <c r="L14" s="2">
        <v>46518</v>
      </c>
      <c r="M14" s="2">
        <v>46596</v>
      </c>
      <c r="N14" s="2">
        <v>46455</v>
      </c>
      <c r="O14" t="s">
        <v>291</v>
      </c>
      <c r="P14" t="s">
        <v>296</v>
      </c>
      <c r="Q14" t="s">
        <v>300</v>
      </c>
      <c r="R14" t="s">
        <v>303</v>
      </c>
      <c r="S14">
        <v>134</v>
      </c>
      <c r="T14" t="s">
        <v>311</v>
      </c>
      <c r="U14" s="2">
        <v>30317</v>
      </c>
      <c r="V14" t="s">
        <v>313</v>
      </c>
      <c r="W14" t="s">
        <v>325</v>
      </c>
      <c r="X14" t="s">
        <v>329</v>
      </c>
      <c r="Y14" t="s">
        <v>341</v>
      </c>
      <c r="Z14" t="s">
        <v>353</v>
      </c>
      <c r="AA14" t="s">
        <v>359</v>
      </c>
      <c r="AB14">
        <v>60611</v>
      </c>
      <c r="AC14" t="s">
        <v>359</v>
      </c>
      <c r="AD14" t="s">
        <v>362</v>
      </c>
      <c r="AE14" s="2">
        <v>44696</v>
      </c>
      <c r="AF14" t="s">
        <v>365</v>
      </c>
      <c r="AG14" t="s">
        <v>370</v>
      </c>
      <c r="AH14" s="2">
        <v>45866</v>
      </c>
      <c r="AI14" t="s">
        <v>374</v>
      </c>
      <c r="AJ14" t="s">
        <v>386</v>
      </c>
      <c r="AK14" t="s">
        <v>398</v>
      </c>
      <c r="AL14" t="s">
        <v>370</v>
      </c>
      <c r="AM14" t="s">
        <v>409</v>
      </c>
      <c r="AN14" s="2">
        <v>46425</v>
      </c>
      <c r="AO14">
        <v>1</v>
      </c>
      <c r="AP14">
        <v>0</v>
      </c>
      <c r="AQ14" t="s">
        <v>370</v>
      </c>
      <c r="AR14" t="s">
        <v>410</v>
      </c>
      <c r="AS14" s="2">
        <v>45446</v>
      </c>
      <c r="AT14" t="s">
        <v>412</v>
      </c>
      <c r="AU14" t="s">
        <v>413</v>
      </c>
      <c r="AX14" s="2">
        <v>45446</v>
      </c>
      <c r="AY14" t="s">
        <v>414</v>
      </c>
      <c r="AZ14" t="s">
        <v>415</v>
      </c>
      <c r="BB14" t="s">
        <v>416</v>
      </c>
      <c r="BC14" t="s">
        <v>417</v>
      </c>
      <c r="BD14" t="s">
        <v>181</v>
      </c>
      <c r="BF14" s="2">
        <v>45446</v>
      </c>
      <c r="BG14" t="s">
        <v>418</v>
      </c>
      <c r="BH14" t="s">
        <v>419</v>
      </c>
      <c r="BI14" t="s">
        <v>421</v>
      </c>
      <c r="BJ14" s="2">
        <v>45446</v>
      </c>
      <c r="BK14" t="s">
        <v>422</v>
      </c>
      <c r="BL14" s="2">
        <v>45439</v>
      </c>
      <c r="BM14" t="s">
        <v>424</v>
      </c>
      <c r="BN14" t="s">
        <v>436</v>
      </c>
      <c r="BO14" t="s">
        <v>440</v>
      </c>
      <c r="BP14" t="s">
        <v>445</v>
      </c>
      <c r="BQ14">
        <v>4</v>
      </c>
      <c r="BR14">
        <v>5</v>
      </c>
      <c r="BS14">
        <v>4</v>
      </c>
      <c r="BT14">
        <v>4</v>
      </c>
      <c r="BU14">
        <v>5</v>
      </c>
      <c r="BV14">
        <v>5</v>
      </c>
      <c r="BW14">
        <v>4</v>
      </c>
      <c r="BX14">
        <v>5</v>
      </c>
      <c r="BY14">
        <v>4</v>
      </c>
      <c r="BZ14" t="s">
        <v>450</v>
      </c>
      <c r="CA14" t="s">
        <v>370</v>
      </c>
      <c r="CB14" t="s">
        <v>456</v>
      </c>
      <c r="CC14" t="s">
        <v>457</v>
      </c>
      <c r="CD14" t="s">
        <v>458</v>
      </c>
      <c r="CE14" s="2">
        <v>46037</v>
      </c>
      <c r="CF14" s="2">
        <v>46218</v>
      </c>
      <c r="CH14" t="s">
        <v>459</v>
      </c>
      <c r="CJ14" t="s">
        <v>461</v>
      </c>
      <c r="CK14" t="s">
        <v>473</v>
      </c>
      <c r="CL14" t="s">
        <v>493</v>
      </c>
      <c r="CM14" t="s">
        <v>359</v>
      </c>
      <c r="CN14" t="s">
        <v>555</v>
      </c>
      <c r="CO14" t="s">
        <v>145</v>
      </c>
      <c r="CP14" s="2">
        <v>45866</v>
      </c>
      <c r="CQ14" s="2">
        <v>46596</v>
      </c>
      <c r="CR14" t="s">
        <v>557</v>
      </c>
      <c r="CS14" t="s">
        <v>386</v>
      </c>
      <c r="CT14" s="2">
        <v>45866</v>
      </c>
      <c r="CU14" t="s">
        <v>569</v>
      </c>
      <c r="CV14" t="s">
        <v>398</v>
      </c>
      <c r="CW14" t="s">
        <v>581</v>
      </c>
      <c r="CX14" t="s">
        <v>359</v>
      </c>
      <c r="CY14" t="s">
        <v>585</v>
      </c>
      <c r="DA14" t="s">
        <v>588</v>
      </c>
      <c r="DB14" t="s">
        <v>587</v>
      </c>
      <c r="DC14" t="s">
        <v>587</v>
      </c>
      <c r="DD14" t="s">
        <v>587</v>
      </c>
      <c r="DE14" t="s">
        <v>588</v>
      </c>
      <c r="DF14" t="s">
        <v>587</v>
      </c>
      <c r="DG14" t="s">
        <v>590</v>
      </c>
      <c r="DH14" t="s">
        <v>592</v>
      </c>
      <c r="DI14" t="s">
        <v>594</v>
      </c>
      <c r="DJ14" t="s">
        <v>587</v>
      </c>
      <c r="DK14" t="s">
        <v>587</v>
      </c>
      <c r="DL14" t="s">
        <v>587</v>
      </c>
      <c r="DM14" t="s">
        <v>587</v>
      </c>
      <c r="DN14" t="s">
        <v>595</v>
      </c>
      <c r="DO14" t="s">
        <v>596</v>
      </c>
      <c r="DP14" t="s">
        <v>596</v>
      </c>
      <c r="DQ14" t="s">
        <v>450</v>
      </c>
      <c r="DR14" t="s">
        <v>597</v>
      </c>
      <c r="DS14" t="s">
        <v>598</v>
      </c>
      <c r="DT14" t="s">
        <v>599</v>
      </c>
      <c r="DU14" t="s">
        <v>600</v>
      </c>
      <c r="DV14" s="2">
        <v>45392</v>
      </c>
      <c r="DW14" s="2">
        <v>45394</v>
      </c>
      <c r="DX14" t="s">
        <v>601</v>
      </c>
      <c r="DY14" s="2">
        <v>45397</v>
      </c>
      <c r="DZ14" t="s">
        <v>602</v>
      </c>
      <c r="EA14" t="s">
        <v>415</v>
      </c>
      <c r="EB14" s="2">
        <v>45413</v>
      </c>
    </row>
    <row r="15" spans="1:132">
      <c r="A15" t="s">
        <v>133</v>
      </c>
      <c r="B15" t="s">
        <v>145</v>
      </c>
      <c r="C15" t="s">
        <v>157</v>
      </c>
      <c r="D15" t="s">
        <v>169</v>
      </c>
      <c r="E15" t="s">
        <v>181</v>
      </c>
      <c r="F15" t="s">
        <v>193</v>
      </c>
      <c r="G15">
        <v>000000107</v>
      </c>
      <c r="H15">
        <v>999900201</v>
      </c>
      <c r="I15" t="s">
        <v>203</v>
      </c>
      <c r="J15" t="s">
        <v>205</v>
      </c>
      <c r="K15" t="s">
        <v>219</v>
      </c>
      <c r="L15" s="2">
        <v>46518</v>
      </c>
      <c r="M15" s="2">
        <v>46596</v>
      </c>
      <c r="N15" s="2">
        <v>46455</v>
      </c>
      <c r="P15" t="s">
        <v>296</v>
      </c>
      <c r="Q15" t="s">
        <v>300</v>
      </c>
      <c r="R15" t="s">
        <v>303</v>
      </c>
      <c r="S15">
        <v>134</v>
      </c>
      <c r="T15" t="s">
        <v>311</v>
      </c>
      <c r="U15" s="2">
        <v>30317</v>
      </c>
      <c r="V15" t="s">
        <v>313</v>
      </c>
      <c r="W15" t="s">
        <v>325</v>
      </c>
      <c r="X15" t="s">
        <v>329</v>
      </c>
      <c r="Y15" t="s">
        <v>341</v>
      </c>
      <c r="Z15" t="s">
        <v>353</v>
      </c>
      <c r="AA15" t="s">
        <v>359</v>
      </c>
      <c r="AB15">
        <v>60611</v>
      </c>
      <c r="AC15" t="s">
        <v>359</v>
      </c>
      <c r="AD15" t="s">
        <v>362</v>
      </c>
      <c r="AE15" s="2">
        <v>44696</v>
      </c>
      <c r="AF15" t="s">
        <v>365</v>
      </c>
      <c r="AG15" t="s">
        <v>370</v>
      </c>
      <c r="AH15" s="2">
        <v>45866</v>
      </c>
      <c r="AI15" t="s">
        <v>374</v>
      </c>
      <c r="AJ15" t="s">
        <v>386</v>
      </c>
      <c r="AK15" t="s">
        <v>398</v>
      </c>
      <c r="AL15" t="s">
        <v>370</v>
      </c>
      <c r="AM15" t="s">
        <v>409</v>
      </c>
      <c r="AN15" s="2">
        <v>46425</v>
      </c>
      <c r="AO15">
        <v>1</v>
      </c>
      <c r="AP15">
        <v>0</v>
      </c>
      <c r="AQ15" t="s">
        <v>370</v>
      </c>
      <c r="AR15" t="s">
        <v>410</v>
      </c>
      <c r="AS15" s="2">
        <v>45446</v>
      </c>
      <c r="AT15" t="s">
        <v>412</v>
      </c>
      <c r="AU15" t="s">
        <v>413</v>
      </c>
      <c r="AX15" s="2">
        <v>45446</v>
      </c>
      <c r="AY15" t="s">
        <v>414</v>
      </c>
      <c r="AZ15" t="s">
        <v>415</v>
      </c>
      <c r="BB15" t="s">
        <v>416</v>
      </c>
      <c r="BC15" t="s">
        <v>417</v>
      </c>
      <c r="BD15" t="s">
        <v>181</v>
      </c>
      <c r="BF15" s="2">
        <v>45446</v>
      </c>
      <c r="BG15" t="s">
        <v>418</v>
      </c>
      <c r="BH15" t="s">
        <v>419</v>
      </c>
      <c r="BI15" t="s">
        <v>421</v>
      </c>
      <c r="BJ15" s="2">
        <v>45446</v>
      </c>
      <c r="BK15" t="s">
        <v>422</v>
      </c>
      <c r="BL15" s="2">
        <v>45439</v>
      </c>
      <c r="BM15" t="s">
        <v>424</v>
      </c>
      <c r="BN15" t="s">
        <v>436</v>
      </c>
      <c r="BO15" t="s">
        <v>440</v>
      </c>
      <c r="BP15" t="s">
        <v>445</v>
      </c>
      <c r="BQ15">
        <v>4</v>
      </c>
      <c r="BR15">
        <v>5</v>
      </c>
      <c r="BS15">
        <v>4</v>
      </c>
      <c r="BT15">
        <v>4</v>
      </c>
      <c r="BU15">
        <v>5</v>
      </c>
      <c r="BV15">
        <v>5</v>
      </c>
      <c r="BW15">
        <v>4</v>
      </c>
      <c r="BX15">
        <v>5</v>
      </c>
      <c r="BY15">
        <v>4</v>
      </c>
      <c r="BZ15" t="s">
        <v>450</v>
      </c>
      <c r="CA15" t="s">
        <v>370</v>
      </c>
      <c r="CB15" t="s">
        <v>456</v>
      </c>
      <c r="CC15" t="s">
        <v>457</v>
      </c>
      <c r="CD15" t="s">
        <v>458</v>
      </c>
      <c r="CE15" s="2">
        <v>46037</v>
      </c>
      <c r="CF15" s="2">
        <v>46218</v>
      </c>
      <c r="CH15" t="s">
        <v>459</v>
      </c>
      <c r="CJ15" t="s">
        <v>461</v>
      </c>
      <c r="CK15" t="s">
        <v>473</v>
      </c>
      <c r="CL15" t="s">
        <v>494</v>
      </c>
      <c r="CM15" t="s">
        <v>359</v>
      </c>
      <c r="CN15" t="s">
        <v>555</v>
      </c>
      <c r="CO15" t="s">
        <v>145</v>
      </c>
      <c r="CP15" s="2">
        <v>45866</v>
      </c>
      <c r="CQ15" s="2">
        <v>46596</v>
      </c>
      <c r="CR15" t="s">
        <v>557</v>
      </c>
      <c r="CS15" t="s">
        <v>386</v>
      </c>
      <c r="CT15" s="2">
        <v>45866</v>
      </c>
      <c r="CU15" t="s">
        <v>569</v>
      </c>
      <c r="CV15" t="s">
        <v>398</v>
      </c>
      <c r="CW15" t="s">
        <v>581</v>
      </c>
      <c r="CX15" t="s">
        <v>359</v>
      </c>
      <c r="CY15" t="s">
        <v>585</v>
      </c>
      <c r="DA15" t="s">
        <v>588</v>
      </c>
      <c r="DB15" t="s">
        <v>587</v>
      </c>
      <c r="DC15" t="s">
        <v>587</v>
      </c>
      <c r="DD15" t="s">
        <v>587</v>
      </c>
      <c r="DE15" t="s">
        <v>588</v>
      </c>
      <c r="DF15" t="s">
        <v>587</v>
      </c>
      <c r="DG15" t="s">
        <v>590</v>
      </c>
      <c r="DH15" t="s">
        <v>592</v>
      </c>
      <c r="DI15" t="s">
        <v>594</v>
      </c>
      <c r="DJ15" t="s">
        <v>587</v>
      </c>
      <c r="DK15" t="s">
        <v>587</v>
      </c>
      <c r="DL15" t="s">
        <v>587</v>
      </c>
      <c r="DM15" t="s">
        <v>587</v>
      </c>
      <c r="DN15" t="s">
        <v>595</v>
      </c>
      <c r="DO15" t="s">
        <v>596</v>
      </c>
      <c r="DP15" t="s">
        <v>596</v>
      </c>
      <c r="DQ15" t="s">
        <v>450</v>
      </c>
      <c r="DR15" t="s">
        <v>597</v>
      </c>
      <c r="DS15" t="s">
        <v>598</v>
      </c>
      <c r="DT15" t="s">
        <v>599</v>
      </c>
      <c r="DU15" t="s">
        <v>600</v>
      </c>
      <c r="DV15" s="2">
        <v>45392</v>
      </c>
      <c r="DW15" s="2">
        <v>45394</v>
      </c>
      <c r="DX15" t="s">
        <v>601</v>
      </c>
      <c r="DY15" s="2">
        <v>45397</v>
      </c>
      <c r="DZ15" t="s">
        <v>602</v>
      </c>
      <c r="EA15" t="s">
        <v>415</v>
      </c>
      <c r="EB15" s="2">
        <v>45413</v>
      </c>
    </row>
    <row r="16" spans="1:132">
      <c r="A16" t="s">
        <v>134</v>
      </c>
      <c r="B16" t="s">
        <v>146</v>
      </c>
      <c r="C16" t="s">
        <v>158</v>
      </c>
      <c r="D16" t="s">
        <v>170</v>
      </c>
      <c r="E16" t="s">
        <v>182</v>
      </c>
      <c r="F16" t="s">
        <v>193</v>
      </c>
      <c r="G16">
        <v>000000111</v>
      </c>
      <c r="H16">
        <v>999900211</v>
      </c>
      <c r="I16" t="s">
        <v>197</v>
      </c>
      <c r="J16" t="s">
        <v>205</v>
      </c>
      <c r="K16" t="s">
        <v>220</v>
      </c>
      <c r="L16" s="2">
        <v>46420</v>
      </c>
      <c r="M16" s="2">
        <v>46659</v>
      </c>
      <c r="N16" s="2">
        <v>46449</v>
      </c>
      <c r="P16" t="s">
        <v>296</v>
      </c>
      <c r="Q16" t="s">
        <v>301</v>
      </c>
      <c r="R16" t="s">
        <v>304</v>
      </c>
      <c r="S16">
        <v>214</v>
      </c>
      <c r="T16" t="s">
        <v>310</v>
      </c>
      <c r="U16" s="2">
        <v>25934</v>
      </c>
      <c r="V16" t="s">
        <v>314</v>
      </c>
      <c r="W16" t="s">
        <v>326</v>
      </c>
      <c r="X16" t="s">
        <v>330</v>
      </c>
      <c r="Y16" t="s">
        <v>342</v>
      </c>
      <c r="Z16" t="s">
        <v>354</v>
      </c>
      <c r="AA16" t="s">
        <v>360</v>
      </c>
      <c r="AB16">
        <v>30308</v>
      </c>
      <c r="AC16" t="s">
        <v>360</v>
      </c>
      <c r="AD16" t="s">
        <v>362</v>
      </c>
      <c r="AE16" s="2">
        <v>44598</v>
      </c>
      <c r="AF16" t="s">
        <v>366</v>
      </c>
      <c r="AH16" s="2">
        <v>45929</v>
      </c>
      <c r="AI16" t="s">
        <v>375</v>
      </c>
      <c r="AJ16" t="s">
        <v>387</v>
      </c>
      <c r="AK16" t="s">
        <v>399</v>
      </c>
      <c r="AM16" t="s">
        <v>409</v>
      </c>
      <c r="AN16" s="2">
        <v>46419</v>
      </c>
      <c r="AO16">
        <v>0</v>
      </c>
      <c r="AP16">
        <v>0</v>
      </c>
      <c r="AR16" t="s">
        <v>410</v>
      </c>
      <c r="AS16" s="2">
        <v>45488</v>
      </c>
      <c r="AT16" t="s">
        <v>412</v>
      </c>
      <c r="AU16" t="s">
        <v>413</v>
      </c>
      <c r="AX16" s="2">
        <v>45488</v>
      </c>
      <c r="AY16" t="s">
        <v>414</v>
      </c>
      <c r="AZ16" t="s">
        <v>415</v>
      </c>
      <c r="BB16" t="s">
        <v>416</v>
      </c>
      <c r="BC16" t="s">
        <v>417</v>
      </c>
      <c r="BD16" t="s">
        <v>182</v>
      </c>
      <c r="BF16" s="2">
        <v>45488</v>
      </c>
      <c r="BG16" t="s">
        <v>418</v>
      </c>
      <c r="BH16" t="s">
        <v>419</v>
      </c>
      <c r="BI16" t="s">
        <v>421</v>
      </c>
      <c r="BJ16" s="2">
        <v>45488</v>
      </c>
      <c r="BK16" t="s">
        <v>422</v>
      </c>
      <c r="BL16" s="2">
        <v>45481</v>
      </c>
      <c r="BM16" t="s">
        <v>425</v>
      </c>
      <c r="BN16" t="s">
        <v>435</v>
      </c>
      <c r="BO16" t="s">
        <v>441</v>
      </c>
      <c r="BP16" t="s">
        <v>446</v>
      </c>
      <c r="BQ16">
        <v>5</v>
      </c>
      <c r="BR16">
        <v>5</v>
      </c>
      <c r="BS16">
        <v>5</v>
      </c>
      <c r="BT16">
        <v>5</v>
      </c>
      <c r="BU16">
        <v>4</v>
      </c>
      <c r="BV16">
        <v>5</v>
      </c>
      <c r="BW16">
        <v>5</v>
      </c>
      <c r="BX16">
        <v>5</v>
      </c>
      <c r="BY16">
        <v>5</v>
      </c>
      <c r="BZ16" t="s">
        <v>450</v>
      </c>
      <c r="CA16" t="s">
        <v>451</v>
      </c>
      <c r="CB16" t="s">
        <v>456</v>
      </c>
      <c r="CC16" t="s">
        <v>457</v>
      </c>
      <c r="CD16" t="s">
        <v>458</v>
      </c>
      <c r="CE16" s="2">
        <v>46037</v>
      </c>
      <c r="CF16" s="2">
        <v>46218</v>
      </c>
      <c r="CH16" t="s">
        <v>459</v>
      </c>
      <c r="CJ16" t="s">
        <v>462</v>
      </c>
      <c r="CK16" t="s">
        <v>474</v>
      </c>
      <c r="CL16" t="s">
        <v>220</v>
      </c>
      <c r="CM16" t="s">
        <v>360</v>
      </c>
      <c r="CN16" t="s">
        <v>555</v>
      </c>
      <c r="CO16" t="s">
        <v>146</v>
      </c>
      <c r="CP16" s="2">
        <v>45929</v>
      </c>
      <c r="CQ16" s="2">
        <v>46659</v>
      </c>
      <c r="CR16" t="s">
        <v>558</v>
      </c>
      <c r="CS16" t="s">
        <v>387</v>
      </c>
      <c r="CT16" s="2">
        <v>45929</v>
      </c>
      <c r="CU16" t="s">
        <v>570</v>
      </c>
      <c r="CV16" t="s">
        <v>399</v>
      </c>
      <c r="CW16" t="s">
        <v>582</v>
      </c>
      <c r="CX16" t="s">
        <v>360</v>
      </c>
      <c r="CY16" t="s">
        <v>585</v>
      </c>
      <c r="DA16" t="s">
        <v>587</v>
      </c>
      <c r="DB16" t="s">
        <v>587</v>
      </c>
      <c r="DC16" t="s">
        <v>587</v>
      </c>
      <c r="DD16" t="s">
        <v>587</v>
      </c>
      <c r="DE16" t="s">
        <v>587</v>
      </c>
      <c r="DF16" t="s">
        <v>587</v>
      </c>
      <c r="DG16" t="s">
        <v>590</v>
      </c>
      <c r="DH16" t="s">
        <v>592</v>
      </c>
      <c r="DI16" t="s">
        <v>594</v>
      </c>
      <c r="DJ16" t="s">
        <v>587</v>
      </c>
      <c r="DK16" t="s">
        <v>587</v>
      </c>
      <c r="DL16" t="s">
        <v>587</v>
      </c>
      <c r="DM16" t="s">
        <v>587</v>
      </c>
      <c r="DN16" t="s">
        <v>595</v>
      </c>
      <c r="DO16" t="s">
        <v>596</v>
      </c>
      <c r="DP16" t="s">
        <v>596</v>
      </c>
      <c r="DQ16" t="s">
        <v>450</v>
      </c>
      <c r="DR16" t="s">
        <v>597</v>
      </c>
      <c r="DS16" t="s">
        <v>598</v>
      </c>
      <c r="DT16" t="s">
        <v>599</v>
      </c>
      <c r="DU16" t="s">
        <v>600</v>
      </c>
      <c r="DV16" s="2">
        <v>45392</v>
      </c>
      <c r="DW16" s="2">
        <v>45394</v>
      </c>
      <c r="DX16" t="s">
        <v>601</v>
      </c>
      <c r="DY16" s="2">
        <v>45397</v>
      </c>
      <c r="DZ16" t="s">
        <v>602</v>
      </c>
      <c r="EA16" t="s">
        <v>415</v>
      </c>
      <c r="EB16" s="2">
        <v>45413</v>
      </c>
    </row>
    <row r="17" spans="1:132">
      <c r="A17" t="s">
        <v>134</v>
      </c>
      <c r="B17" t="s">
        <v>146</v>
      </c>
      <c r="C17" t="s">
        <v>158</v>
      </c>
      <c r="D17" t="s">
        <v>170</v>
      </c>
      <c r="E17" t="s">
        <v>182</v>
      </c>
      <c r="F17" t="s">
        <v>193</v>
      </c>
      <c r="G17">
        <v>000000111</v>
      </c>
      <c r="H17">
        <v>999900211</v>
      </c>
      <c r="I17" t="s">
        <v>198</v>
      </c>
      <c r="J17" t="s">
        <v>205</v>
      </c>
      <c r="K17" t="s">
        <v>221</v>
      </c>
      <c r="L17" s="2">
        <v>46420</v>
      </c>
      <c r="M17" s="2">
        <v>46659</v>
      </c>
      <c r="N17" s="2">
        <v>46449</v>
      </c>
      <c r="P17" t="s">
        <v>296</v>
      </c>
      <c r="Q17" t="s">
        <v>301</v>
      </c>
      <c r="R17" t="s">
        <v>304</v>
      </c>
      <c r="S17">
        <v>214</v>
      </c>
      <c r="T17" t="s">
        <v>310</v>
      </c>
      <c r="U17" s="2">
        <v>25934</v>
      </c>
      <c r="V17" t="s">
        <v>314</v>
      </c>
      <c r="W17" t="s">
        <v>326</v>
      </c>
      <c r="X17" t="s">
        <v>330</v>
      </c>
      <c r="Y17" t="s">
        <v>342</v>
      </c>
      <c r="Z17" t="s">
        <v>354</v>
      </c>
      <c r="AA17" t="s">
        <v>360</v>
      </c>
      <c r="AB17">
        <v>30308</v>
      </c>
      <c r="AC17" t="s">
        <v>360</v>
      </c>
      <c r="AD17" t="s">
        <v>362</v>
      </c>
      <c r="AE17" s="2">
        <v>44598</v>
      </c>
      <c r="AF17" t="s">
        <v>366</v>
      </c>
      <c r="AH17" s="2">
        <v>45929</v>
      </c>
      <c r="AI17" t="s">
        <v>375</v>
      </c>
      <c r="AJ17" t="s">
        <v>387</v>
      </c>
      <c r="AK17" t="s">
        <v>399</v>
      </c>
      <c r="AM17" t="s">
        <v>409</v>
      </c>
      <c r="AN17" s="2">
        <v>46419</v>
      </c>
      <c r="AO17">
        <v>0</v>
      </c>
      <c r="AP17">
        <v>0</v>
      </c>
      <c r="AR17" t="s">
        <v>410</v>
      </c>
      <c r="AS17" s="2">
        <v>45488</v>
      </c>
      <c r="AT17" t="s">
        <v>412</v>
      </c>
      <c r="AU17" t="s">
        <v>413</v>
      </c>
      <c r="AX17" s="2">
        <v>45488</v>
      </c>
      <c r="AY17" t="s">
        <v>414</v>
      </c>
      <c r="AZ17" t="s">
        <v>415</v>
      </c>
      <c r="BB17" t="s">
        <v>416</v>
      </c>
      <c r="BC17" t="s">
        <v>417</v>
      </c>
      <c r="BD17" t="s">
        <v>182</v>
      </c>
      <c r="BF17" s="2">
        <v>45488</v>
      </c>
      <c r="BG17" t="s">
        <v>418</v>
      </c>
      <c r="BH17" t="s">
        <v>419</v>
      </c>
      <c r="BI17" t="s">
        <v>421</v>
      </c>
      <c r="BJ17" s="2">
        <v>45488</v>
      </c>
      <c r="BK17" t="s">
        <v>422</v>
      </c>
      <c r="BL17" s="2">
        <v>45481</v>
      </c>
      <c r="BM17" t="s">
        <v>425</v>
      </c>
      <c r="BN17" t="s">
        <v>435</v>
      </c>
      <c r="BO17" t="s">
        <v>441</v>
      </c>
      <c r="BP17" t="s">
        <v>446</v>
      </c>
      <c r="BQ17">
        <v>5</v>
      </c>
      <c r="BR17">
        <v>5</v>
      </c>
      <c r="BS17">
        <v>5</v>
      </c>
      <c r="BT17">
        <v>5</v>
      </c>
      <c r="BU17">
        <v>4</v>
      </c>
      <c r="BV17">
        <v>5</v>
      </c>
      <c r="BW17">
        <v>5</v>
      </c>
      <c r="BX17">
        <v>5</v>
      </c>
      <c r="BY17">
        <v>5</v>
      </c>
      <c r="BZ17" t="s">
        <v>450</v>
      </c>
      <c r="CA17" t="s">
        <v>451</v>
      </c>
      <c r="CB17" t="s">
        <v>456</v>
      </c>
      <c r="CC17" t="s">
        <v>457</v>
      </c>
      <c r="CD17" t="s">
        <v>458</v>
      </c>
      <c r="CE17" s="2">
        <v>46037</v>
      </c>
      <c r="CF17" s="2">
        <v>46218</v>
      </c>
      <c r="CH17" t="s">
        <v>459</v>
      </c>
      <c r="CJ17" t="s">
        <v>462</v>
      </c>
      <c r="CK17" t="s">
        <v>474</v>
      </c>
      <c r="CL17" t="s">
        <v>495</v>
      </c>
      <c r="CM17" t="s">
        <v>360</v>
      </c>
      <c r="CN17" t="s">
        <v>555</v>
      </c>
      <c r="CO17" t="s">
        <v>146</v>
      </c>
      <c r="CP17" s="2">
        <v>45929</v>
      </c>
      <c r="CQ17" s="2">
        <v>46659</v>
      </c>
      <c r="CR17" t="s">
        <v>558</v>
      </c>
      <c r="CS17" t="s">
        <v>387</v>
      </c>
      <c r="CT17" s="2">
        <v>45929</v>
      </c>
      <c r="CU17" t="s">
        <v>570</v>
      </c>
      <c r="CV17" t="s">
        <v>399</v>
      </c>
      <c r="CW17" t="s">
        <v>582</v>
      </c>
      <c r="CX17" t="s">
        <v>360</v>
      </c>
      <c r="CY17" t="s">
        <v>585</v>
      </c>
      <c r="DA17" t="s">
        <v>587</v>
      </c>
      <c r="DB17" t="s">
        <v>587</v>
      </c>
      <c r="DC17" t="s">
        <v>587</v>
      </c>
      <c r="DD17" t="s">
        <v>587</v>
      </c>
      <c r="DE17" t="s">
        <v>587</v>
      </c>
      <c r="DF17" t="s">
        <v>587</v>
      </c>
      <c r="DG17" t="s">
        <v>590</v>
      </c>
      <c r="DH17" t="s">
        <v>592</v>
      </c>
      <c r="DI17" t="s">
        <v>594</v>
      </c>
      <c r="DJ17" t="s">
        <v>587</v>
      </c>
      <c r="DK17" t="s">
        <v>587</v>
      </c>
      <c r="DL17" t="s">
        <v>587</v>
      </c>
      <c r="DM17" t="s">
        <v>587</v>
      </c>
      <c r="DN17" t="s">
        <v>595</v>
      </c>
      <c r="DO17" t="s">
        <v>596</v>
      </c>
      <c r="DP17" t="s">
        <v>596</v>
      </c>
      <c r="DQ17" t="s">
        <v>450</v>
      </c>
      <c r="DR17" t="s">
        <v>597</v>
      </c>
      <c r="DS17" t="s">
        <v>598</v>
      </c>
      <c r="DT17" t="s">
        <v>599</v>
      </c>
      <c r="DU17" t="s">
        <v>600</v>
      </c>
      <c r="DV17" s="2">
        <v>45392</v>
      </c>
      <c r="DW17" s="2">
        <v>45394</v>
      </c>
      <c r="DX17" t="s">
        <v>601</v>
      </c>
      <c r="DY17" s="2">
        <v>45397</v>
      </c>
      <c r="DZ17" t="s">
        <v>602</v>
      </c>
      <c r="EA17" t="s">
        <v>415</v>
      </c>
      <c r="EB17" s="2">
        <v>45413</v>
      </c>
    </row>
    <row r="18" spans="1:132">
      <c r="A18" t="s">
        <v>134</v>
      </c>
      <c r="B18" t="s">
        <v>146</v>
      </c>
      <c r="C18" t="s">
        <v>158</v>
      </c>
      <c r="D18" t="s">
        <v>170</v>
      </c>
      <c r="E18" t="s">
        <v>182</v>
      </c>
      <c r="F18" t="s">
        <v>193</v>
      </c>
      <c r="G18">
        <v>000000111</v>
      </c>
      <c r="H18">
        <v>999900211</v>
      </c>
      <c r="I18" t="s">
        <v>199</v>
      </c>
      <c r="J18" t="s">
        <v>205</v>
      </c>
      <c r="K18" t="s">
        <v>222</v>
      </c>
      <c r="L18" s="2">
        <v>46420</v>
      </c>
      <c r="M18" s="2">
        <v>46659</v>
      </c>
      <c r="N18" s="2">
        <v>46449</v>
      </c>
      <c r="P18" t="s">
        <v>296</v>
      </c>
      <c r="Q18" t="s">
        <v>301</v>
      </c>
      <c r="R18" t="s">
        <v>304</v>
      </c>
      <c r="S18">
        <v>214</v>
      </c>
      <c r="T18" t="s">
        <v>310</v>
      </c>
      <c r="U18" s="2">
        <v>25934</v>
      </c>
      <c r="V18" t="s">
        <v>314</v>
      </c>
      <c r="W18" t="s">
        <v>326</v>
      </c>
      <c r="X18" t="s">
        <v>330</v>
      </c>
      <c r="Y18" t="s">
        <v>342</v>
      </c>
      <c r="Z18" t="s">
        <v>354</v>
      </c>
      <c r="AA18" t="s">
        <v>360</v>
      </c>
      <c r="AB18">
        <v>30308</v>
      </c>
      <c r="AC18" t="s">
        <v>360</v>
      </c>
      <c r="AD18" t="s">
        <v>362</v>
      </c>
      <c r="AE18" s="2">
        <v>44598</v>
      </c>
      <c r="AF18" t="s">
        <v>366</v>
      </c>
      <c r="AH18" s="2">
        <v>45929</v>
      </c>
      <c r="AI18" t="s">
        <v>375</v>
      </c>
      <c r="AJ18" t="s">
        <v>387</v>
      </c>
      <c r="AK18" t="s">
        <v>399</v>
      </c>
      <c r="AM18" t="s">
        <v>409</v>
      </c>
      <c r="AN18" s="2">
        <v>46419</v>
      </c>
      <c r="AO18">
        <v>0</v>
      </c>
      <c r="AP18">
        <v>0</v>
      </c>
      <c r="AR18" t="s">
        <v>410</v>
      </c>
      <c r="AS18" s="2">
        <v>45488</v>
      </c>
      <c r="AT18" t="s">
        <v>412</v>
      </c>
      <c r="AU18" t="s">
        <v>413</v>
      </c>
      <c r="AX18" s="2">
        <v>45488</v>
      </c>
      <c r="AY18" t="s">
        <v>414</v>
      </c>
      <c r="AZ18" t="s">
        <v>415</v>
      </c>
      <c r="BB18" t="s">
        <v>416</v>
      </c>
      <c r="BC18" t="s">
        <v>417</v>
      </c>
      <c r="BD18" t="s">
        <v>182</v>
      </c>
      <c r="BF18" s="2">
        <v>45488</v>
      </c>
      <c r="BG18" t="s">
        <v>418</v>
      </c>
      <c r="BH18" t="s">
        <v>419</v>
      </c>
      <c r="BI18" t="s">
        <v>421</v>
      </c>
      <c r="BJ18" s="2">
        <v>45488</v>
      </c>
      <c r="BK18" t="s">
        <v>422</v>
      </c>
      <c r="BL18" s="2">
        <v>45481</v>
      </c>
      <c r="BM18" t="s">
        <v>425</v>
      </c>
      <c r="BN18" t="s">
        <v>435</v>
      </c>
      <c r="BO18" t="s">
        <v>441</v>
      </c>
      <c r="BP18" t="s">
        <v>446</v>
      </c>
      <c r="BQ18">
        <v>5</v>
      </c>
      <c r="BR18">
        <v>5</v>
      </c>
      <c r="BS18">
        <v>5</v>
      </c>
      <c r="BT18">
        <v>5</v>
      </c>
      <c r="BU18">
        <v>4</v>
      </c>
      <c r="BV18">
        <v>5</v>
      </c>
      <c r="BW18">
        <v>5</v>
      </c>
      <c r="BX18">
        <v>5</v>
      </c>
      <c r="BY18">
        <v>5</v>
      </c>
      <c r="BZ18" t="s">
        <v>450</v>
      </c>
      <c r="CA18" t="s">
        <v>451</v>
      </c>
      <c r="CB18" t="s">
        <v>456</v>
      </c>
      <c r="CC18" t="s">
        <v>457</v>
      </c>
      <c r="CD18" t="s">
        <v>458</v>
      </c>
      <c r="CE18" s="2">
        <v>46037</v>
      </c>
      <c r="CF18" s="2">
        <v>46218</v>
      </c>
      <c r="CH18" t="s">
        <v>459</v>
      </c>
      <c r="CJ18" t="s">
        <v>462</v>
      </c>
      <c r="CK18" t="s">
        <v>474</v>
      </c>
      <c r="CL18" t="s">
        <v>496</v>
      </c>
      <c r="CM18" t="s">
        <v>360</v>
      </c>
      <c r="CN18" t="s">
        <v>555</v>
      </c>
      <c r="CO18" t="s">
        <v>146</v>
      </c>
      <c r="CP18" s="2">
        <v>45929</v>
      </c>
      <c r="CQ18" s="2">
        <v>46659</v>
      </c>
      <c r="CR18" t="s">
        <v>558</v>
      </c>
      <c r="CS18" t="s">
        <v>387</v>
      </c>
      <c r="CT18" s="2">
        <v>45929</v>
      </c>
      <c r="CU18" t="s">
        <v>570</v>
      </c>
      <c r="CV18" t="s">
        <v>399</v>
      </c>
      <c r="CW18" t="s">
        <v>582</v>
      </c>
      <c r="CX18" t="s">
        <v>360</v>
      </c>
      <c r="CY18" t="s">
        <v>585</v>
      </c>
      <c r="DA18" t="s">
        <v>587</v>
      </c>
      <c r="DB18" t="s">
        <v>587</v>
      </c>
      <c r="DC18" t="s">
        <v>587</v>
      </c>
      <c r="DD18" t="s">
        <v>587</v>
      </c>
      <c r="DE18" t="s">
        <v>587</v>
      </c>
      <c r="DF18" t="s">
        <v>587</v>
      </c>
      <c r="DG18" t="s">
        <v>590</v>
      </c>
      <c r="DH18" t="s">
        <v>592</v>
      </c>
      <c r="DI18" t="s">
        <v>594</v>
      </c>
      <c r="DJ18" t="s">
        <v>587</v>
      </c>
      <c r="DK18" t="s">
        <v>587</v>
      </c>
      <c r="DL18" t="s">
        <v>587</v>
      </c>
      <c r="DM18" t="s">
        <v>587</v>
      </c>
      <c r="DN18" t="s">
        <v>595</v>
      </c>
      <c r="DO18" t="s">
        <v>596</v>
      </c>
      <c r="DP18" t="s">
        <v>596</v>
      </c>
      <c r="DQ18" t="s">
        <v>450</v>
      </c>
      <c r="DR18" t="s">
        <v>597</v>
      </c>
      <c r="DS18" t="s">
        <v>598</v>
      </c>
      <c r="DT18" t="s">
        <v>599</v>
      </c>
      <c r="DU18" t="s">
        <v>600</v>
      </c>
      <c r="DV18" s="2">
        <v>45392</v>
      </c>
      <c r="DW18" s="2">
        <v>45394</v>
      </c>
      <c r="DX18" t="s">
        <v>601</v>
      </c>
      <c r="DY18" s="2">
        <v>45397</v>
      </c>
      <c r="DZ18" t="s">
        <v>602</v>
      </c>
      <c r="EA18" t="s">
        <v>415</v>
      </c>
      <c r="EB18" s="2">
        <v>45413</v>
      </c>
    </row>
    <row r="19" spans="1:132">
      <c r="A19" t="s">
        <v>134</v>
      </c>
      <c r="B19" t="s">
        <v>146</v>
      </c>
      <c r="C19" t="s">
        <v>158</v>
      </c>
      <c r="D19" t="s">
        <v>170</v>
      </c>
      <c r="E19" t="s">
        <v>182</v>
      </c>
      <c r="F19" t="s">
        <v>193</v>
      </c>
      <c r="G19">
        <v>000000111</v>
      </c>
      <c r="H19">
        <v>999900211</v>
      </c>
      <c r="I19" t="s">
        <v>200</v>
      </c>
      <c r="J19" t="s">
        <v>205</v>
      </c>
      <c r="K19" t="s">
        <v>223</v>
      </c>
      <c r="L19" s="2">
        <v>46420</v>
      </c>
      <c r="M19" s="2">
        <v>46659</v>
      </c>
      <c r="N19" s="2">
        <v>46449</v>
      </c>
      <c r="P19" t="s">
        <v>296</v>
      </c>
      <c r="Q19" t="s">
        <v>301</v>
      </c>
      <c r="R19" t="s">
        <v>304</v>
      </c>
      <c r="S19">
        <v>214</v>
      </c>
      <c r="T19" t="s">
        <v>310</v>
      </c>
      <c r="U19" s="2">
        <v>25934</v>
      </c>
      <c r="V19" t="s">
        <v>314</v>
      </c>
      <c r="W19" t="s">
        <v>326</v>
      </c>
      <c r="X19" t="s">
        <v>330</v>
      </c>
      <c r="Y19" t="s">
        <v>342</v>
      </c>
      <c r="Z19" t="s">
        <v>354</v>
      </c>
      <c r="AA19" t="s">
        <v>360</v>
      </c>
      <c r="AB19">
        <v>30308</v>
      </c>
      <c r="AC19" t="s">
        <v>360</v>
      </c>
      <c r="AD19" t="s">
        <v>362</v>
      </c>
      <c r="AE19" s="2">
        <v>44598</v>
      </c>
      <c r="AF19" t="s">
        <v>366</v>
      </c>
      <c r="AH19" s="2">
        <v>45929</v>
      </c>
      <c r="AI19" t="s">
        <v>375</v>
      </c>
      <c r="AJ19" t="s">
        <v>387</v>
      </c>
      <c r="AK19" t="s">
        <v>399</v>
      </c>
      <c r="AM19" t="s">
        <v>409</v>
      </c>
      <c r="AN19" s="2">
        <v>46419</v>
      </c>
      <c r="AO19">
        <v>0</v>
      </c>
      <c r="AP19">
        <v>0</v>
      </c>
      <c r="AR19" t="s">
        <v>410</v>
      </c>
      <c r="AS19" s="2">
        <v>45488</v>
      </c>
      <c r="AT19" t="s">
        <v>412</v>
      </c>
      <c r="AU19" t="s">
        <v>413</v>
      </c>
      <c r="AX19" s="2">
        <v>45488</v>
      </c>
      <c r="AY19" t="s">
        <v>414</v>
      </c>
      <c r="AZ19" t="s">
        <v>415</v>
      </c>
      <c r="BB19" t="s">
        <v>416</v>
      </c>
      <c r="BC19" t="s">
        <v>417</v>
      </c>
      <c r="BD19" t="s">
        <v>182</v>
      </c>
      <c r="BF19" s="2">
        <v>45488</v>
      </c>
      <c r="BG19" t="s">
        <v>418</v>
      </c>
      <c r="BH19" t="s">
        <v>419</v>
      </c>
      <c r="BI19" t="s">
        <v>421</v>
      </c>
      <c r="BJ19" s="2">
        <v>45488</v>
      </c>
      <c r="BK19" t="s">
        <v>422</v>
      </c>
      <c r="BL19" s="2">
        <v>45481</v>
      </c>
      <c r="BM19" t="s">
        <v>425</v>
      </c>
      <c r="BN19" t="s">
        <v>435</v>
      </c>
      <c r="BO19" t="s">
        <v>441</v>
      </c>
      <c r="BP19" t="s">
        <v>446</v>
      </c>
      <c r="BQ19">
        <v>5</v>
      </c>
      <c r="BR19">
        <v>5</v>
      </c>
      <c r="BS19">
        <v>5</v>
      </c>
      <c r="BT19">
        <v>5</v>
      </c>
      <c r="BU19">
        <v>4</v>
      </c>
      <c r="BV19">
        <v>5</v>
      </c>
      <c r="BW19">
        <v>5</v>
      </c>
      <c r="BX19">
        <v>5</v>
      </c>
      <c r="BY19">
        <v>5</v>
      </c>
      <c r="BZ19" t="s">
        <v>450</v>
      </c>
      <c r="CA19" t="s">
        <v>451</v>
      </c>
      <c r="CB19" t="s">
        <v>456</v>
      </c>
      <c r="CC19" t="s">
        <v>457</v>
      </c>
      <c r="CD19" t="s">
        <v>458</v>
      </c>
      <c r="CE19" s="2">
        <v>46037</v>
      </c>
      <c r="CF19" s="2">
        <v>46218</v>
      </c>
      <c r="CH19" t="s">
        <v>459</v>
      </c>
      <c r="CJ19" t="s">
        <v>462</v>
      </c>
      <c r="CK19" t="s">
        <v>474</v>
      </c>
      <c r="CL19" t="s">
        <v>497</v>
      </c>
      <c r="CM19" t="s">
        <v>360</v>
      </c>
      <c r="CN19" t="s">
        <v>555</v>
      </c>
      <c r="CO19" t="s">
        <v>146</v>
      </c>
      <c r="CP19" s="2">
        <v>45929</v>
      </c>
      <c r="CQ19" s="2">
        <v>46659</v>
      </c>
      <c r="CR19" t="s">
        <v>558</v>
      </c>
      <c r="CS19" t="s">
        <v>387</v>
      </c>
      <c r="CT19" s="2">
        <v>45929</v>
      </c>
      <c r="CU19" t="s">
        <v>570</v>
      </c>
      <c r="CV19" t="s">
        <v>399</v>
      </c>
      <c r="CW19" t="s">
        <v>582</v>
      </c>
      <c r="CX19" t="s">
        <v>360</v>
      </c>
      <c r="CY19" t="s">
        <v>585</v>
      </c>
      <c r="DA19" t="s">
        <v>587</v>
      </c>
      <c r="DB19" t="s">
        <v>587</v>
      </c>
      <c r="DC19" t="s">
        <v>587</v>
      </c>
      <c r="DD19" t="s">
        <v>587</v>
      </c>
      <c r="DE19" t="s">
        <v>587</v>
      </c>
      <c r="DF19" t="s">
        <v>587</v>
      </c>
      <c r="DG19" t="s">
        <v>590</v>
      </c>
      <c r="DH19" t="s">
        <v>592</v>
      </c>
      <c r="DI19" t="s">
        <v>594</v>
      </c>
      <c r="DJ19" t="s">
        <v>587</v>
      </c>
      <c r="DK19" t="s">
        <v>587</v>
      </c>
      <c r="DL19" t="s">
        <v>587</v>
      </c>
      <c r="DM19" t="s">
        <v>587</v>
      </c>
      <c r="DN19" t="s">
        <v>595</v>
      </c>
      <c r="DO19" t="s">
        <v>596</v>
      </c>
      <c r="DP19" t="s">
        <v>596</v>
      </c>
      <c r="DQ19" t="s">
        <v>450</v>
      </c>
      <c r="DR19" t="s">
        <v>597</v>
      </c>
      <c r="DS19" t="s">
        <v>598</v>
      </c>
      <c r="DT19" t="s">
        <v>599</v>
      </c>
      <c r="DU19" t="s">
        <v>600</v>
      </c>
      <c r="DV19" s="2">
        <v>45392</v>
      </c>
      <c r="DW19" s="2">
        <v>45394</v>
      </c>
      <c r="DX19" t="s">
        <v>601</v>
      </c>
      <c r="DY19" s="2">
        <v>45397</v>
      </c>
      <c r="DZ19" t="s">
        <v>602</v>
      </c>
      <c r="EA19" t="s">
        <v>415</v>
      </c>
      <c r="EB19" s="2">
        <v>45413</v>
      </c>
    </row>
    <row r="20" spans="1:132">
      <c r="A20" t="s">
        <v>134</v>
      </c>
      <c r="B20" t="s">
        <v>146</v>
      </c>
      <c r="C20" t="s">
        <v>158</v>
      </c>
      <c r="D20" t="s">
        <v>170</v>
      </c>
      <c r="E20" t="s">
        <v>182</v>
      </c>
      <c r="F20" t="s">
        <v>193</v>
      </c>
      <c r="G20">
        <v>000000111</v>
      </c>
      <c r="H20">
        <v>999900211</v>
      </c>
      <c r="I20" t="s">
        <v>201</v>
      </c>
      <c r="J20" t="s">
        <v>205</v>
      </c>
      <c r="K20" t="s">
        <v>224</v>
      </c>
      <c r="L20" s="2">
        <v>46420</v>
      </c>
      <c r="M20" s="2">
        <v>46659</v>
      </c>
      <c r="N20" s="2">
        <v>46449</v>
      </c>
      <c r="P20" t="s">
        <v>296</v>
      </c>
      <c r="Q20" t="s">
        <v>301</v>
      </c>
      <c r="R20" t="s">
        <v>304</v>
      </c>
      <c r="S20">
        <v>214</v>
      </c>
      <c r="T20" t="s">
        <v>310</v>
      </c>
      <c r="U20" s="2">
        <v>25934</v>
      </c>
      <c r="V20" t="s">
        <v>314</v>
      </c>
      <c r="W20" t="s">
        <v>326</v>
      </c>
      <c r="X20" t="s">
        <v>330</v>
      </c>
      <c r="Y20" t="s">
        <v>342</v>
      </c>
      <c r="Z20" t="s">
        <v>354</v>
      </c>
      <c r="AA20" t="s">
        <v>360</v>
      </c>
      <c r="AB20">
        <v>30308</v>
      </c>
      <c r="AC20" t="s">
        <v>360</v>
      </c>
      <c r="AD20" t="s">
        <v>362</v>
      </c>
      <c r="AE20" s="2">
        <v>44598</v>
      </c>
      <c r="AF20" t="s">
        <v>366</v>
      </c>
      <c r="AH20" s="2">
        <v>45929</v>
      </c>
      <c r="AI20" t="s">
        <v>375</v>
      </c>
      <c r="AJ20" t="s">
        <v>387</v>
      </c>
      <c r="AK20" t="s">
        <v>399</v>
      </c>
      <c r="AM20" t="s">
        <v>409</v>
      </c>
      <c r="AN20" s="2">
        <v>46419</v>
      </c>
      <c r="AO20">
        <v>0</v>
      </c>
      <c r="AP20">
        <v>0</v>
      </c>
      <c r="AR20" t="s">
        <v>410</v>
      </c>
      <c r="AS20" s="2">
        <v>45488</v>
      </c>
      <c r="AT20" t="s">
        <v>412</v>
      </c>
      <c r="AU20" t="s">
        <v>413</v>
      </c>
      <c r="AX20" s="2">
        <v>45488</v>
      </c>
      <c r="AY20" t="s">
        <v>414</v>
      </c>
      <c r="AZ20" t="s">
        <v>415</v>
      </c>
      <c r="BB20" t="s">
        <v>416</v>
      </c>
      <c r="BC20" t="s">
        <v>417</v>
      </c>
      <c r="BD20" t="s">
        <v>182</v>
      </c>
      <c r="BF20" s="2">
        <v>45488</v>
      </c>
      <c r="BG20" t="s">
        <v>418</v>
      </c>
      <c r="BH20" t="s">
        <v>419</v>
      </c>
      <c r="BI20" t="s">
        <v>421</v>
      </c>
      <c r="BJ20" s="2">
        <v>45488</v>
      </c>
      <c r="BK20" t="s">
        <v>422</v>
      </c>
      <c r="BL20" s="2">
        <v>45481</v>
      </c>
      <c r="BM20" t="s">
        <v>425</v>
      </c>
      <c r="BN20" t="s">
        <v>435</v>
      </c>
      <c r="BO20" t="s">
        <v>441</v>
      </c>
      <c r="BP20" t="s">
        <v>446</v>
      </c>
      <c r="BQ20">
        <v>5</v>
      </c>
      <c r="BR20">
        <v>5</v>
      </c>
      <c r="BS20">
        <v>5</v>
      </c>
      <c r="BT20">
        <v>5</v>
      </c>
      <c r="BU20">
        <v>4</v>
      </c>
      <c r="BV20">
        <v>5</v>
      </c>
      <c r="BW20">
        <v>5</v>
      </c>
      <c r="BX20">
        <v>5</v>
      </c>
      <c r="BY20">
        <v>5</v>
      </c>
      <c r="BZ20" t="s">
        <v>450</v>
      </c>
      <c r="CA20" t="s">
        <v>451</v>
      </c>
      <c r="CB20" t="s">
        <v>456</v>
      </c>
      <c r="CC20" t="s">
        <v>457</v>
      </c>
      <c r="CD20" t="s">
        <v>458</v>
      </c>
      <c r="CE20" s="2">
        <v>46037</v>
      </c>
      <c r="CF20" s="2">
        <v>46218</v>
      </c>
      <c r="CH20" t="s">
        <v>459</v>
      </c>
      <c r="CJ20" t="s">
        <v>462</v>
      </c>
      <c r="CK20" t="s">
        <v>474</v>
      </c>
      <c r="CL20" t="s">
        <v>498</v>
      </c>
      <c r="CM20" t="s">
        <v>360</v>
      </c>
      <c r="CN20" t="s">
        <v>555</v>
      </c>
      <c r="CO20" t="s">
        <v>146</v>
      </c>
      <c r="CP20" s="2">
        <v>45929</v>
      </c>
      <c r="CQ20" s="2">
        <v>46659</v>
      </c>
      <c r="CR20" t="s">
        <v>558</v>
      </c>
      <c r="CS20" t="s">
        <v>387</v>
      </c>
      <c r="CT20" s="2">
        <v>45929</v>
      </c>
      <c r="CU20" t="s">
        <v>570</v>
      </c>
      <c r="CV20" t="s">
        <v>399</v>
      </c>
      <c r="CW20" t="s">
        <v>582</v>
      </c>
      <c r="CX20" t="s">
        <v>360</v>
      </c>
      <c r="CY20" t="s">
        <v>585</v>
      </c>
      <c r="DA20" t="s">
        <v>587</v>
      </c>
      <c r="DB20" t="s">
        <v>587</v>
      </c>
      <c r="DC20" t="s">
        <v>587</v>
      </c>
      <c r="DD20" t="s">
        <v>587</v>
      </c>
      <c r="DE20" t="s">
        <v>587</v>
      </c>
      <c r="DF20" t="s">
        <v>587</v>
      </c>
      <c r="DG20" t="s">
        <v>590</v>
      </c>
      <c r="DH20" t="s">
        <v>592</v>
      </c>
      <c r="DI20" t="s">
        <v>594</v>
      </c>
      <c r="DJ20" t="s">
        <v>587</v>
      </c>
      <c r="DK20" t="s">
        <v>587</v>
      </c>
      <c r="DL20" t="s">
        <v>587</v>
      </c>
      <c r="DM20" t="s">
        <v>587</v>
      </c>
      <c r="DN20" t="s">
        <v>595</v>
      </c>
      <c r="DO20" t="s">
        <v>596</v>
      </c>
      <c r="DP20" t="s">
        <v>596</v>
      </c>
      <c r="DQ20" t="s">
        <v>450</v>
      </c>
      <c r="DR20" t="s">
        <v>597</v>
      </c>
      <c r="DS20" t="s">
        <v>598</v>
      </c>
      <c r="DT20" t="s">
        <v>599</v>
      </c>
      <c r="DU20" t="s">
        <v>600</v>
      </c>
      <c r="DV20" s="2">
        <v>45392</v>
      </c>
      <c r="DW20" s="2">
        <v>45394</v>
      </c>
      <c r="DX20" t="s">
        <v>601</v>
      </c>
      <c r="DY20" s="2">
        <v>45397</v>
      </c>
      <c r="DZ20" t="s">
        <v>602</v>
      </c>
      <c r="EA20" t="s">
        <v>415</v>
      </c>
      <c r="EB20" s="2">
        <v>45413</v>
      </c>
    </row>
    <row r="21" spans="1:132">
      <c r="A21" t="s">
        <v>134</v>
      </c>
      <c r="B21" t="s">
        <v>146</v>
      </c>
      <c r="C21" t="s">
        <v>158</v>
      </c>
      <c r="D21" t="s">
        <v>170</v>
      </c>
      <c r="E21" t="s">
        <v>182</v>
      </c>
      <c r="F21" t="s">
        <v>193</v>
      </c>
      <c r="G21">
        <v>000000111</v>
      </c>
      <c r="H21">
        <v>999900211</v>
      </c>
      <c r="I21" t="s">
        <v>202</v>
      </c>
      <c r="J21" t="s">
        <v>205</v>
      </c>
      <c r="K21" t="s">
        <v>225</v>
      </c>
      <c r="L21" s="2">
        <v>46420</v>
      </c>
      <c r="M21" s="2">
        <v>46659</v>
      </c>
      <c r="N21" s="2">
        <v>46449</v>
      </c>
      <c r="O21" t="s">
        <v>291</v>
      </c>
      <c r="P21" t="s">
        <v>296</v>
      </c>
      <c r="Q21" t="s">
        <v>301</v>
      </c>
      <c r="R21" t="s">
        <v>304</v>
      </c>
      <c r="S21">
        <v>214</v>
      </c>
      <c r="T21" t="s">
        <v>310</v>
      </c>
      <c r="U21" s="2">
        <v>25934</v>
      </c>
      <c r="V21" t="s">
        <v>314</v>
      </c>
      <c r="W21" t="s">
        <v>326</v>
      </c>
      <c r="X21" t="s">
        <v>330</v>
      </c>
      <c r="Y21" t="s">
        <v>342</v>
      </c>
      <c r="Z21" t="s">
        <v>354</v>
      </c>
      <c r="AA21" t="s">
        <v>360</v>
      </c>
      <c r="AB21">
        <v>30308</v>
      </c>
      <c r="AC21" t="s">
        <v>360</v>
      </c>
      <c r="AD21" t="s">
        <v>362</v>
      </c>
      <c r="AE21" s="2">
        <v>44598</v>
      </c>
      <c r="AF21" t="s">
        <v>366</v>
      </c>
      <c r="AH21" s="2">
        <v>45929</v>
      </c>
      <c r="AI21" t="s">
        <v>375</v>
      </c>
      <c r="AJ21" t="s">
        <v>387</v>
      </c>
      <c r="AK21" t="s">
        <v>399</v>
      </c>
      <c r="AM21" t="s">
        <v>409</v>
      </c>
      <c r="AN21" s="2">
        <v>46419</v>
      </c>
      <c r="AO21">
        <v>0</v>
      </c>
      <c r="AP21">
        <v>0</v>
      </c>
      <c r="AR21" t="s">
        <v>410</v>
      </c>
      <c r="AS21" s="2">
        <v>45488</v>
      </c>
      <c r="AT21" t="s">
        <v>412</v>
      </c>
      <c r="AU21" t="s">
        <v>413</v>
      </c>
      <c r="AX21" s="2">
        <v>45488</v>
      </c>
      <c r="AY21" t="s">
        <v>414</v>
      </c>
      <c r="AZ21" t="s">
        <v>415</v>
      </c>
      <c r="BB21" t="s">
        <v>416</v>
      </c>
      <c r="BC21" t="s">
        <v>417</v>
      </c>
      <c r="BD21" t="s">
        <v>182</v>
      </c>
      <c r="BF21" s="2">
        <v>45488</v>
      </c>
      <c r="BG21" t="s">
        <v>418</v>
      </c>
      <c r="BH21" t="s">
        <v>419</v>
      </c>
      <c r="BI21" t="s">
        <v>421</v>
      </c>
      <c r="BJ21" s="2">
        <v>45488</v>
      </c>
      <c r="BK21" t="s">
        <v>422</v>
      </c>
      <c r="BL21" s="2">
        <v>45481</v>
      </c>
      <c r="BM21" t="s">
        <v>425</v>
      </c>
      <c r="BN21" t="s">
        <v>435</v>
      </c>
      <c r="BO21" t="s">
        <v>441</v>
      </c>
      <c r="BP21" t="s">
        <v>446</v>
      </c>
      <c r="BQ21">
        <v>5</v>
      </c>
      <c r="BR21">
        <v>5</v>
      </c>
      <c r="BS21">
        <v>5</v>
      </c>
      <c r="BT21">
        <v>5</v>
      </c>
      <c r="BU21">
        <v>4</v>
      </c>
      <c r="BV21">
        <v>5</v>
      </c>
      <c r="BW21">
        <v>5</v>
      </c>
      <c r="BX21">
        <v>5</v>
      </c>
      <c r="BY21">
        <v>5</v>
      </c>
      <c r="BZ21" t="s">
        <v>450</v>
      </c>
      <c r="CA21" t="s">
        <v>451</v>
      </c>
      <c r="CB21" t="s">
        <v>456</v>
      </c>
      <c r="CC21" t="s">
        <v>457</v>
      </c>
      <c r="CD21" t="s">
        <v>458</v>
      </c>
      <c r="CE21" s="2">
        <v>46037</v>
      </c>
      <c r="CF21" s="2">
        <v>46218</v>
      </c>
      <c r="CH21" t="s">
        <v>459</v>
      </c>
      <c r="CJ21" t="s">
        <v>462</v>
      </c>
      <c r="CK21" t="s">
        <v>474</v>
      </c>
      <c r="CL21" t="s">
        <v>499</v>
      </c>
      <c r="CM21" t="s">
        <v>360</v>
      </c>
      <c r="CN21" t="s">
        <v>555</v>
      </c>
      <c r="CO21" t="s">
        <v>146</v>
      </c>
      <c r="CP21" s="2">
        <v>45929</v>
      </c>
      <c r="CQ21" s="2">
        <v>46659</v>
      </c>
      <c r="CR21" t="s">
        <v>558</v>
      </c>
      <c r="CS21" t="s">
        <v>387</v>
      </c>
      <c r="CT21" s="2">
        <v>45929</v>
      </c>
      <c r="CU21" t="s">
        <v>570</v>
      </c>
      <c r="CV21" t="s">
        <v>399</v>
      </c>
      <c r="CW21" t="s">
        <v>582</v>
      </c>
      <c r="CX21" t="s">
        <v>360</v>
      </c>
      <c r="CY21" t="s">
        <v>585</v>
      </c>
      <c r="DA21" t="s">
        <v>587</v>
      </c>
      <c r="DB21" t="s">
        <v>587</v>
      </c>
      <c r="DC21" t="s">
        <v>587</v>
      </c>
      <c r="DD21" t="s">
        <v>587</v>
      </c>
      <c r="DE21" t="s">
        <v>587</v>
      </c>
      <c r="DF21" t="s">
        <v>587</v>
      </c>
      <c r="DG21" t="s">
        <v>590</v>
      </c>
      <c r="DH21" t="s">
        <v>592</v>
      </c>
      <c r="DI21" t="s">
        <v>594</v>
      </c>
      <c r="DJ21" t="s">
        <v>587</v>
      </c>
      <c r="DK21" t="s">
        <v>587</v>
      </c>
      <c r="DL21" t="s">
        <v>587</v>
      </c>
      <c r="DM21" t="s">
        <v>587</v>
      </c>
      <c r="DN21" t="s">
        <v>595</v>
      </c>
      <c r="DO21" t="s">
        <v>596</v>
      </c>
      <c r="DP21" t="s">
        <v>596</v>
      </c>
      <c r="DQ21" t="s">
        <v>450</v>
      </c>
      <c r="DR21" t="s">
        <v>597</v>
      </c>
      <c r="DS21" t="s">
        <v>598</v>
      </c>
      <c r="DT21" t="s">
        <v>599</v>
      </c>
      <c r="DU21" t="s">
        <v>600</v>
      </c>
      <c r="DV21" s="2">
        <v>45392</v>
      </c>
      <c r="DW21" s="2">
        <v>45394</v>
      </c>
      <c r="DX21" t="s">
        <v>601</v>
      </c>
      <c r="DY21" s="2">
        <v>45397</v>
      </c>
      <c r="DZ21" t="s">
        <v>602</v>
      </c>
      <c r="EA21" t="s">
        <v>415</v>
      </c>
      <c r="EB21" s="2">
        <v>45413</v>
      </c>
    </row>
    <row r="22" spans="1:132">
      <c r="A22" t="s">
        <v>134</v>
      </c>
      <c r="B22" t="s">
        <v>146</v>
      </c>
      <c r="C22" t="s">
        <v>158</v>
      </c>
      <c r="D22" t="s">
        <v>170</v>
      </c>
      <c r="E22" t="s">
        <v>182</v>
      </c>
      <c r="F22" t="s">
        <v>193</v>
      </c>
      <c r="G22">
        <v>000000111</v>
      </c>
      <c r="H22">
        <v>999900211</v>
      </c>
      <c r="I22" t="s">
        <v>203</v>
      </c>
      <c r="J22" t="s">
        <v>205</v>
      </c>
      <c r="K22" t="s">
        <v>226</v>
      </c>
      <c r="L22" s="2">
        <v>46420</v>
      </c>
      <c r="M22" s="2">
        <v>46659</v>
      </c>
      <c r="N22" s="2">
        <v>46449</v>
      </c>
      <c r="P22" t="s">
        <v>296</v>
      </c>
      <c r="Q22" t="s">
        <v>301</v>
      </c>
      <c r="R22" t="s">
        <v>304</v>
      </c>
      <c r="S22">
        <v>214</v>
      </c>
      <c r="T22" t="s">
        <v>310</v>
      </c>
      <c r="U22" s="2">
        <v>25934</v>
      </c>
      <c r="V22" t="s">
        <v>314</v>
      </c>
      <c r="W22" t="s">
        <v>326</v>
      </c>
      <c r="X22" t="s">
        <v>330</v>
      </c>
      <c r="Y22" t="s">
        <v>342</v>
      </c>
      <c r="Z22" t="s">
        <v>354</v>
      </c>
      <c r="AA22" t="s">
        <v>360</v>
      </c>
      <c r="AB22">
        <v>30308</v>
      </c>
      <c r="AC22" t="s">
        <v>360</v>
      </c>
      <c r="AD22" t="s">
        <v>362</v>
      </c>
      <c r="AE22" s="2">
        <v>44598</v>
      </c>
      <c r="AF22" t="s">
        <v>366</v>
      </c>
      <c r="AH22" s="2">
        <v>45929</v>
      </c>
      <c r="AI22" t="s">
        <v>375</v>
      </c>
      <c r="AJ22" t="s">
        <v>387</v>
      </c>
      <c r="AK22" t="s">
        <v>399</v>
      </c>
      <c r="AM22" t="s">
        <v>409</v>
      </c>
      <c r="AN22" s="2">
        <v>46419</v>
      </c>
      <c r="AO22">
        <v>0</v>
      </c>
      <c r="AP22">
        <v>0</v>
      </c>
      <c r="AR22" t="s">
        <v>410</v>
      </c>
      <c r="AS22" s="2">
        <v>45488</v>
      </c>
      <c r="AT22" t="s">
        <v>412</v>
      </c>
      <c r="AU22" t="s">
        <v>413</v>
      </c>
      <c r="AX22" s="2">
        <v>45488</v>
      </c>
      <c r="AY22" t="s">
        <v>414</v>
      </c>
      <c r="AZ22" t="s">
        <v>415</v>
      </c>
      <c r="BB22" t="s">
        <v>416</v>
      </c>
      <c r="BC22" t="s">
        <v>417</v>
      </c>
      <c r="BD22" t="s">
        <v>182</v>
      </c>
      <c r="BF22" s="2">
        <v>45488</v>
      </c>
      <c r="BG22" t="s">
        <v>418</v>
      </c>
      <c r="BH22" t="s">
        <v>419</v>
      </c>
      <c r="BI22" t="s">
        <v>421</v>
      </c>
      <c r="BJ22" s="2">
        <v>45488</v>
      </c>
      <c r="BK22" t="s">
        <v>422</v>
      </c>
      <c r="BL22" s="2">
        <v>45481</v>
      </c>
      <c r="BM22" t="s">
        <v>425</v>
      </c>
      <c r="BN22" t="s">
        <v>435</v>
      </c>
      <c r="BO22" t="s">
        <v>441</v>
      </c>
      <c r="BP22" t="s">
        <v>446</v>
      </c>
      <c r="BQ22">
        <v>5</v>
      </c>
      <c r="BR22">
        <v>5</v>
      </c>
      <c r="BS22">
        <v>5</v>
      </c>
      <c r="BT22">
        <v>5</v>
      </c>
      <c r="BU22">
        <v>4</v>
      </c>
      <c r="BV22">
        <v>5</v>
      </c>
      <c r="BW22">
        <v>5</v>
      </c>
      <c r="BX22">
        <v>5</v>
      </c>
      <c r="BY22">
        <v>5</v>
      </c>
      <c r="BZ22" t="s">
        <v>450</v>
      </c>
      <c r="CA22" t="s">
        <v>451</v>
      </c>
      <c r="CB22" t="s">
        <v>456</v>
      </c>
      <c r="CC22" t="s">
        <v>457</v>
      </c>
      <c r="CD22" t="s">
        <v>458</v>
      </c>
      <c r="CE22" s="2">
        <v>46037</v>
      </c>
      <c r="CF22" s="2">
        <v>46218</v>
      </c>
      <c r="CH22" t="s">
        <v>459</v>
      </c>
      <c r="CJ22" t="s">
        <v>462</v>
      </c>
      <c r="CK22" t="s">
        <v>474</v>
      </c>
      <c r="CL22" t="s">
        <v>500</v>
      </c>
      <c r="CM22" t="s">
        <v>360</v>
      </c>
      <c r="CN22" t="s">
        <v>555</v>
      </c>
      <c r="CO22" t="s">
        <v>146</v>
      </c>
      <c r="CP22" s="2">
        <v>45929</v>
      </c>
      <c r="CQ22" s="2">
        <v>46659</v>
      </c>
      <c r="CR22" t="s">
        <v>558</v>
      </c>
      <c r="CS22" t="s">
        <v>387</v>
      </c>
      <c r="CT22" s="2">
        <v>45929</v>
      </c>
      <c r="CU22" t="s">
        <v>570</v>
      </c>
      <c r="CV22" t="s">
        <v>399</v>
      </c>
      <c r="CW22" t="s">
        <v>582</v>
      </c>
      <c r="CX22" t="s">
        <v>360</v>
      </c>
      <c r="CY22" t="s">
        <v>585</v>
      </c>
      <c r="DA22" t="s">
        <v>587</v>
      </c>
      <c r="DB22" t="s">
        <v>587</v>
      </c>
      <c r="DC22" t="s">
        <v>587</v>
      </c>
      <c r="DD22" t="s">
        <v>587</v>
      </c>
      <c r="DE22" t="s">
        <v>587</v>
      </c>
      <c r="DF22" t="s">
        <v>587</v>
      </c>
      <c r="DG22" t="s">
        <v>590</v>
      </c>
      <c r="DH22" t="s">
        <v>592</v>
      </c>
      <c r="DI22" t="s">
        <v>594</v>
      </c>
      <c r="DJ22" t="s">
        <v>587</v>
      </c>
      <c r="DK22" t="s">
        <v>587</v>
      </c>
      <c r="DL22" t="s">
        <v>587</v>
      </c>
      <c r="DM22" t="s">
        <v>587</v>
      </c>
      <c r="DN22" t="s">
        <v>595</v>
      </c>
      <c r="DO22" t="s">
        <v>596</v>
      </c>
      <c r="DP22" t="s">
        <v>596</v>
      </c>
      <c r="DQ22" t="s">
        <v>450</v>
      </c>
      <c r="DR22" t="s">
        <v>597</v>
      </c>
      <c r="DS22" t="s">
        <v>598</v>
      </c>
      <c r="DT22" t="s">
        <v>599</v>
      </c>
      <c r="DU22" t="s">
        <v>600</v>
      </c>
      <c r="DV22" s="2">
        <v>45392</v>
      </c>
      <c r="DW22" s="2">
        <v>45394</v>
      </c>
      <c r="DX22" t="s">
        <v>601</v>
      </c>
      <c r="DY22" s="2">
        <v>45397</v>
      </c>
      <c r="DZ22" t="s">
        <v>602</v>
      </c>
      <c r="EA22" t="s">
        <v>415</v>
      </c>
      <c r="EB22" s="2">
        <v>45413</v>
      </c>
    </row>
    <row r="23" spans="1:132">
      <c r="A23" t="s">
        <v>135</v>
      </c>
      <c r="B23" t="s">
        <v>147</v>
      </c>
      <c r="C23" t="s">
        <v>159</v>
      </c>
      <c r="D23" t="s">
        <v>171</v>
      </c>
      <c r="E23" t="s">
        <v>183</v>
      </c>
      <c r="F23" t="s">
        <v>193</v>
      </c>
      <c r="G23">
        <v>000000101</v>
      </c>
      <c r="H23">
        <v>999900203</v>
      </c>
      <c r="I23" t="s">
        <v>197</v>
      </c>
      <c r="J23" t="s">
        <v>205</v>
      </c>
      <c r="K23" t="s">
        <v>227</v>
      </c>
      <c r="L23" s="2">
        <v>46739</v>
      </c>
      <c r="M23" s="2">
        <v>46486</v>
      </c>
      <c r="N23" s="2">
        <v>46452</v>
      </c>
      <c r="P23" t="s">
        <v>296</v>
      </c>
      <c r="Q23" t="s">
        <v>301</v>
      </c>
      <c r="R23" t="s">
        <v>305</v>
      </c>
      <c r="S23">
        <v>148</v>
      </c>
      <c r="T23" t="s">
        <v>311</v>
      </c>
      <c r="U23" s="2">
        <v>33970</v>
      </c>
      <c r="V23" t="s">
        <v>315</v>
      </c>
      <c r="W23" t="s">
        <v>327</v>
      </c>
      <c r="X23" t="s">
        <v>331</v>
      </c>
      <c r="Y23" t="s">
        <v>343</v>
      </c>
      <c r="Z23" t="s">
        <v>352</v>
      </c>
      <c r="AA23" t="s">
        <v>358</v>
      </c>
      <c r="AB23">
        <v>44114</v>
      </c>
      <c r="AC23" t="s">
        <v>358</v>
      </c>
      <c r="AD23" t="s">
        <v>362</v>
      </c>
      <c r="AE23" s="2">
        <v>44917</v>
      </c>
      <c r="AF23" t="s">
        <v>364</v>
      </c>
      <c r="AG23" t="s">
        <v>371</v>
      </c>
      <c r="AH23" s="2">
        <v>45756</v>
      </c>
      <c r="AI23" t="s">
        <v>376</v>
      </c>
      <c r="AJ23" t="s">
        <v>388</v>
      </c>
      <c r="AK23" t="s">
        <v>400</v>
      </c>
      <c r="AM23" t="s">
        <v>409</v>
      </c>
      <c r="AN23" s="2">
        <v>46422</v>
      </c>
      <c r="AO23">
        <v>0</v>
      </c>
      <c r="AP23">
        <v>0</v>
      </c>
      <c r="AQ23" t="s">
        <v>371</v>
      </c>
      <c r="AR23" t="s">
        <v>410</v>
      </c>
      <c r="AS23" s="2">
        <v>45432</v>
      </c>
      <c r="AT23" t="s">
        <v>412</v>
      </c>
      <c r="AU23" t="s">
        <v>413</v>
      </c>
      <c r="AX23" s="2">
        <v>45432</v>
      </c>
      <c r="AY23" t="s">
        <v>414</v>
      </c>
      <c r="AZ23" t="s">
        <v>415</v>
      </c>
      <c r="BB23" t="s">
        <v>416</v>
      </c>
      <c r="BC23" t="s">
        <v>417</v>
      </c>
      <c r="BD23" t="s">
        <v>183</v>
      </c>
      <c r="BF23" s="2">
        <v>45432</v>
      </c>
      <c r="BG23" t="s">
        <v>418</v>
      </c>
      <c r="BH23" t="s">
        <v>420</v>
      </c>
      <c r="BI23" t="s">
        <v>421</v>
      </c>
      <c r="BJ23" s="2">
        <v>45432</v>
      </c>
      <c r="BK23" t="s">
        <v>422</v>
      </c>
      <c r="BL23" s="2">
        <v>45425</v>
      </c>
      <c r="BM23" t="s">
        <v>426</v>
      </c>
      <c r="BN23" t="s">
        <v>436</v>
      </c>
      <c r="BO23" t="s">
        <v>439</v>
      </c>
      <c r="BP23" t="s">
        <v>444</v>
      </c>
      <c r="BQ23">
        <v>4</v>
      </c>
      <c r="BR23">
        <v>4</v>
      </c>
      <c r="BS23">
        <v>4</v>
      </c>
      <c r="BT23">
        <v>5</v>
      </c>
      <c r="BU23">
        <v>4</v>
      </c>
      <c r="BV23">
        <v>4</v>
      </c>
      <c r="BW23">
        <v>4</v>
      </c>
      <c r="BX23">
        <v>5</v>
      </c>
      <c r="BY23">
        <v>4</v>
      </c>
      <c r="BZ23" t="s">
        <v>450</v>
      </c>
      <c r="CA23" t="s">
        <v>452</v>
      </c>
      <c r="CB23" t="s">
        <v>456</v>
      </c>
      <c r="CC23" t="s">
        <v>457</v>
      </c>
      <c r="CD23" t="s">
        <v>458</v>
      </c>
      <c r="CE23" s="2">
        <v>46037</v>
      </c>
      <c r="CF23" s="2">
        <v>46218</v>
      </c>
      <c r="CH23" t="s">
        <v>459</v>
      </c>
      <c r="CJ23" t="s">
        <v>463</v>
      </c>
      <c r="CK23" t="s">
        <v>475</v>
      </c>
      <c r="CL23" t="s">
        <v>227</v>
      </c>
      <c r="CM23" t="s">
        <v>358</v>
      </c>
      <c r="CN23" t="s">
        <v>555</v>
      </c>
      <c r="CO23" t="s">
        <v>147</v>
      </c>
      <c r="CP23" s="2">
        <v>45756</v>
      </c>
      <c r="CQ23" s="2">
        <v>46486</v>
      </c>
      <c r="CR23" t="s">
        <v>559</v>
      </c>
      <c r="CS23" t="s">
        <v>388</v>
      </c>
      <c r="CT23" s="2">
        <v>45756</v>
      </c>
      <c r="CU23" t="s">
        <v>571</v>
      </c>
      <c r="CV23" t="s">
        <v>400</v>
      </c>
      <c r="CW23" t="s">
        <v>581</v>
      </c>
      <c r="CX23" t="s">
        <v>358</v>
      </c>
      <c r="CY23" t="s">
        <v>585</v>
      </c>
      <c r="DA23" t="s">
        <v>587</v>
      </c>
      <c r="DB23" t="s">
        <v>587</v>
      </c>
      <c r="DC23" t="s">
        <v>587</v>
      </c>
      <c r="DD23" t="s">
        <v>587</v>
      </c>
      <c r="DE23" t="s">
        <v>587</v>
      </c>
      <c r="DF23" t="s">
        <v>587</v>
      </c>
      <c r="DG23" t="s">
        <v>590</v>
      </c>
      <c r="DH23" t="s">
        <v>592</v>
      </c>
      <c r="DI23" t="s">
        <v>594</v>
      </c>
      <c r="DJ23" t="s">
        <v>587</v>
      </c>
      <c r="DK23" t="s">
        <v>587</v>
      </c>
      <c r="DL23" t="s">
        <v>587</v>
      </c>
      <c r="DM23" t="s">
        <v>587</v>
      </c>
      <c r="DN23" t="s">
        <v>595</v>
      </c>
      <c r="DO23" t="s">
        <v>596</v>
      </c>
      <c r="DP23" t="s">
        <v>596</v>
      </c>
      <c r="DQ23" t="s">
        <v>450</v>
      </c>
      <c r="DR23" t="s">
        <v>597</v>
      </c>
      <c r="DS23" t="s">
        <v>598</v>
      </c>
      <c r="DT23" t="s">
        <v>599</v>
      </c>
      <c r="DU23" t="s">
        <v>600</v>
      </c>
      <c r="DV23" s="2">
        <v>45392</v>
      </c>
      <c r="DW23" s="2">
        <v>45394</v>
      </c>
      <c r="DX23" t="s">
        <v>601</v>
      </c>
      <c r="DY23" s="2">
        <v>45397</v>
      </c>
      <c r="DZ23" t="s">
        <v>602</v>
      </c>
      <c r="EA23" t="s">
        <v>415</v>
      </c>
      <c r="EB23" s="2">
        <v>45413</v>
      </c>
    </row>
    <row r="24" spans="1:132">
      <c r="A24" t="s">
        <v>135</v>
      </c>
      <c r="B24" t="s">
        <v>147</v>
      </c>
      <c r="C24" t="s">
        <v>159</v>
      </c>
      <c r="D24" t="s">
        <v>171</v>
      </c>
      <c r="E24" t="s">
        <v>183</v>
      </c>
      <c r="F24" t="s">
        <v>193</v>
      </c>
      <c r="G24">
        <v>000000101</v>
      </c>
      <c r="H24">
        <v>999900203</v>
      </c>
      <c r="I24" t="s">
        <v>198</v>
      </c>
      <c r="J24" t="s">
        <v>205</v>
      </c>
      <c r="K24" t="s">
        <v>228</v>
      </c>
      <c r="L24" s="2">
        <v>46739</v>
      </c>
      <c r="M24" s="2">
        <v>46486</v>
      </c>
      <c r="N24" s="2">
        <v>46452</v>
      </c>
      <c r="P24" t="s">
        <v>296</v>
      </c>
      <c r="Q24" t="s">
        <v>301</v>
      </c>
      <c r="R24" t="s">
        <v>305</v>
      </c>
      <c r="S24">
        <v>148</v>
      </c>
      <c r="T24" t="s">
        <v>311</v>
      </c>
      <c r="U24" s="2">
        <v>33970</v>
      </c>
      <c r="V24" t="s">
        <v>315</v>
      </c>
      <c r="W24" t="s">
        <v>327</v>
      </c>
      <c r="X24" t="s">
        <v>331</v>
      </c>
      <c r="Y24" t="s">
        <v>343</v>
      </c>
      <c r="Z24" t="s">
        <v>352</v>
      </c>
      <c r="AA24" t="s">
        <v>358</v>
      </c>
      <c r="AB24">
        <v>44114</v>
      </c>
      <c r="AC24" t="s">
        <v>358</v>
      </c>
      <c r="AD24" t="s">
        <v>362</v>
      </c>
      <c r="AE24" s="2">
        <v>44917</v>
      </c>
      <c r="AF24" t="s">
        <v>364</v>
      </c>
      <c r="AG24" t="s">
        <v>371</v>
      </c>
      <c r="AH24" s="2">
        <v>45756</v>
      </c>
      <c r="AI24" t="s">
        <v>376</v>
      </c>
      <c r="AJ24" t="s">
        <v>388</v>
      </c>
      <c r="AK24" t="s">
        <v>400</v>
      </c>
      <c r="AM24" t="s">
        <v>409</v>
      </c>
      <c r="AN24" s="2">
        <v>46422</v>
      </c>
      <c r="AO24">
        <v>0</v>
      </c>
      <c r="AP24">
        <v>0</v>
      </c>
      <c r="AQ24" t="s">
        <v>371</v>
      </c>
      <c r="AR24" t="s">
        <v>410</v>
      </c>
      <c r="AS24" s="2">
        <v>45432</v>
      </c>
      <c r="AT24" t="s">
        <v>412</v>
      </c>
      <c r="AU24" t="s">
        <v>413</v>
      </c>
      <c r="AX24" s="2">
        <v>45432</v>
      </c>
      <c r="AY24" t="s">
        <v>414</v>
      </c>
      <c r="AZ24" t="s">
        <v>415</v>
      </c>
      <c r="BB24" t="s">
        <v>416</v>
      </c>
      <c r="BC24" t="s">
        <v>417</v>
      </c>
      <c r="BD24" t="s">
        <v>183</v>
      </c>
      <c r="BF24" s="2">
        <v>45432</v>
      </c>
      <c r="BG24" t="s">
        <v>418</v>
      </c>
      <c r="BH24" t="s">
        <v>420</v>
      </c>
      <c r="BI24" t="s">
        <v>421</v>
      </c>
      <c r="BJ24" s="2">
        <v>45432</v>
      </c>
      <c r="BK24" t="s">
        <v>422</v>
      </c>
      <c r="BL24" s="2">
        <v>45425</v>
      </c>
      <c r="BM24" t="s">
        <v>426</v>
      </c>
      <c r="BN24" t="s">
        <v>436</v>
      </c>
      <c r="BO24" t="s">
        <v>439</v>
      </c>
      <c r="BP24" t="s">
        <v>444</v>
      </c>
      <c r="BQ24">
        <v>4</v>
      </c>
      <c r="BR24">
        <v>4</v>
      </c>
      <c r="BS24">
        <v>4</v>
      </c>
      <c r="BT24">
        <v>5</v>
      </c>
      <c r="BU24">
        <v>4</v>
      </c>
      <c r="BV24">
        <v>4</v>
      </c>
      <c r="BW24">
        <v>4</v>
      </c>
      <c r="BX24">
        <v>5</v>
      </c>
      <c r="BY24">
        <v>4</v>
      </c>
      <c r="BZ24" t="s">
        <v>450</v>
      </c>
      <c r="CA24" t="s">
        <v>452</v>
      </c>
      <c r="CB24" t="s">
        <v>456</v>
      </c>
      <c r="CC24" t="s">
        <v>457</v>
      </c>
      <c r="CD24" t="s">
        <v>458</v>
      </c>
      <c r="CE24" s="2">
        <v>46037</v>
      </c>
      <c r="CF24" s="2">
        <v>46218</v>
      </c>
      <c r="CH24" t="s">
        <v>459</v>
      </c>
      <c r="CJ24" t="s">
        <v>463</v>
      </c>
      <c r="CK24" t="s">
        <v>475</v>
      </c>
      <c r="CL24" t="s">
        <v>501</v>
      </c>
      <c r="CM24" t="s">
        <v>358</v>
      </c>
      <c r="CN24" t="s">
        <v>555</v>
      </c>
      <c r="CO24" t="s">
        <v>147</v>
      </c>
      <c r="CP24" s="2">
        <v>45756</v>
      </c>
      <c r="CQ24" s="2">
        <v>46486</v>
      </c>
      <c r="CR24" t="s">
        <v>559</v>
      </c>
      <c r="CS24" t="s">
        <v>388</v>
      </c>
      <c r="CT24" s="2">
        <v>45756</v>
      </c>
      <c r="CU24" t="s">
        <v>571</v>
      </c>
      <c r="CV24" t="s">
        <v>400</v>
      </c>
      <c r="CW24" t="s">
        <v>581</v>
      </c>
      <c r="CX24" t="s">
        <v>358</v>
      </c>
      <c r="CY24" t="s">
        <v>585</v>
      </c>
      <c r="DA24" t="s">
        <v>587</v>
      </c>
      <c r="DB24" t="s">
        <v>587</v>
      </c>
      <c r="DC24" t="s">
        <v>587</v>
      </c>
      <c r="DD24" t="s">
        <v>587</v>
      </c>
      <c r="DE24" t="s">
        <v>587</v>
      </c>
      <c r="DF24" t="s">
        <v>587</v>
      </c>
      <c r="DG24" t="s">
        <v>590</v>
      </c>
      <c r="DH24" t="s">
        <v>592</v>
      </c>
      <c r="DI24" t="s">
        <v>594</v>
      </c>
      <c r="DJ24" t="s">
        <v>587</v>
      </c>
      <c r="DK24" t="s">
        <v>587</v>
      </c>
      <c r="DL24" t="s">
        <v>587</v>
      </c>
      <c r="DM24" t="s">
        <v>587</v>
      </c>
      <c r="DN24" t="s">
        <v>595</v>
      </c>
      <c r="DO24" t="s">
        <v>596</v>
      </c>
      <c r="DP24" t="s">
        <v>596</v>
      </c>
      <c r="DQ24" t="s">
        <v>450</v>
      </c>
      <c r="DR24" t="s">
        <v>597</v>
      </c>
      <c r="DS24" t="s">
        <v>598</v>
      </c>
      <c r="DT24" t="s">
        <v>599</v>
      </c>
      <c r="DU24" t="s">
        <v>600</v>
      </c>
      <c r="DV24" s="2">
        <v>45392</v>
      </c>
      <c r="DW24" s="2">
        <v>45394</v>
      </c>
      <c r="DX24" t="s">
        <v>601</v>
      </c>
      <c r="DY24" s="2">
        <v>45397</v>
      </c>
      <c r="DZ24" t="s">
        <v>602</v>
      </c>
      <c r="EA24" t="s">
        <v>415</v>
      </c>
      <c r="EB24" s="2">
        <v>45413</v>
      </c>
    </row>
    <row r="25" spans="1:132">
      <c r="A25" t="s">
        <v>135</v>
      </c>
      <c r="B25" t="s">
        <v>147</v>
      </c>
      <c r="C25" t="s">
        <v>159</v>
      </c>
      <c r="D25" t="s">
        <v>171</v>
      </c>
      <c r="E25" t="s">
        <v>183</v>
      </c>
      <c r="F25" t="s">
        <v>193</v>
      </c>
      <c r="G25">
        <v>000000101</v>
      </c>
      <c r="H25">
        <v>999900203</v>
      </c>
      <c r="I25" t="s">
        <v>199</v>
      </c>
      <c r="J25" t="s">
        <v>205</v>
      </c>
      <c r="K25" t="s">
        <v>229</v>
      </c>
      <c r="L25" s="2">
        <v>46739</v>
      </c>
      <c r="M25" s="2">
        <v>46486</v>
      </c>
      <c r="N25" s="2">
        <v>46452</v>
      </c>
      <c r="P25" t="s">
        <v>296</v>
      </c>
      <c r="Q25" t="s">
        <v>301</v>
      </c>
      <c r="R25" t="s">
        <v>305</v>
      </c>
      <c r="S25">
        <v>148</v>
      </c>
      <c r="T25" t="s">
        <v>311</v>
      </c>
      <c r="U25" s="2">
        <v>33970</v>
      </c>
      <c r="V25" t="s">
        <v>315</v>
      </c>
      <c r="W25" t="s">
        <v>327</v>
      </c>
      <c r="X25" t="s">
        <v>331</v>
      </c>
      <c r="Y25" t="s">
        <v>343</v>
      </c>
      <c r="Z25" t="s">
        <v>352</v>
      </c>
      <c r="AA25" t="s">
        <v>358</v>
      </c>
      <c r="AB25">
        <v>44114</v>
      </c>
      <c r="AC25" t="s">
        <v>358</v>
      </c>
      <c r="AD25" t="s">
        <v>362</v>
      </c>
      <c r="AE25" s="2">
        <v>44917</v>
      </c>
      <c r="AF25" t="s">
        <v>364</v>
      </c>
      <c r="AG25" t="s">
        <v>371</v>
      </c>
      <c r="AH25" s="2">
        <v>45756</v>
      </c>
      <c r="AI25" t="s">
        <v>376</v>
      </c>
      <c r="AJ25" t="s">
        <v>388</v>
      </c>
      <c r="AK25" t="s">
        <v>400</v>
      </c>
      <c r="AM25" t="s">
        <v>409</v>
      </c>
      <c r="AN25" s="2">
        <v>46422</v>
      </c>
      <c r="AO25">
        <v>0</v>
      </c>
      <c r="AP25">
        <v>0</v>
      </c>
      <c r="AQ25" t="s">
        <v>371</v>
      </c>
      <c r="AR25" t="s">
        <v>410</v>
      </c>
      <c r="AS25" s="2">
        <v>45432</v>
      </c>
      <c r="AT25" t="s">
        <v>412</v>
      </c>
      <c r="AU25" t="s">
        <v>413</v>
      </c>
      <c r="AX25" s="2">
        <v>45432</v>
      </c>
      <c r="AY25" t="s">
        <v>414</v>
      </c>
      <c r="AZ25" t="s">
        <v>415</v>
      </c>
      <c r="BB25" t="s">
        <v>416</v>
      </c>
      <c r="BC25" t="s">
        <v>417</v>
      </c>
      <c r="BD25" t="s">
        <v>183</v>
      </c>
      <c r="BF25" s="2">
        <v>45432</v>
      </c>
      <c r="BG25" t="s">
        <v>418</v>
      </c>
      <c r="BH25" t="s">
        <v>420</v>
      </c>
      <c r="BI25" t="s">
        <v>421</v>
      </c>
      <c r="BJ25" s="2">
        <v>45432</v>
      </c>
      <c r="BK25" t="s">
        <v>422</v>
      </c>
      <c r="BL25" s="2">
        <v>45425</v>
      </c>
      <c r="BM25" t="s">
        <v>426</v>
      </c>
      <c r="BN25" t="s">
        <v>436</v>
      </c>
      <c r="BO25" t="s">
        <v>439</v>
      </c>
      <c r="BP25" t="s">
        <v>444</v>
      </c>
      <c r="BQ25">
        <v>4</v>
      </c>
      <c r="BR25">
        <v>4</v>
      </c>
      <c r="BS25">
        <v>4</v>
      </c>
      <c r="BT25">
        <v>5</v>
      </c>
      <c r="BU25">
        <v>4</v>
      </c>
      <c r="BV25">
        <v>4</v>
      </c>
      <c r="BW25">
        <v>4</v>
      </c>
      <c r="BX25">
        <v>5</v>
      </c>
      <c r="BY25">
        <v>4</v>
      </c>
      <c r="BZ25" t="s">
        <v>450</v>
      </c>
      <c r="CA25" t="s">
        <v>452</v>
      </c>
      <c r="CB25" t="s">
        <v>456</v>
      </c>
      <c r="CC25" t="s">
        <v>457</v>
      </c>
      <c r="CD25" t="s">
        <v>458</v>
      </c>
      <c r="CE25" s="2">
        <v>46037</v>
      </c>
      <c r="CF25" s="2">
        <v>46218</v>
      </c>
      <c r="CH25" t="s">
        <v>459</v>
      </c>
      <c r="CJ25" t="s">
        <v>463</v>
      </c>
      <c r="CK25" t="s">
        <v>475</v>
      </c>
      <c r="CL25" t="s">
        <v>502</v>
      </c>
      <c r="CM25" t="s">
        <v>358</v>
      </c>
      <c r="CN25" t="s">
        <v>555</v>
      </c>
      <c r="CO25" t="s">
        <v>147</v>
      </c>
      <c r="CP25" s="2">
        <v>45756</v>
      </c>
      <c r="CQ25" s="2">
        <v>46486</v>
      </c>
      <c r="CR25" t="s">
        <v>559</v>
      </c>
      <c r="CS25" t="s">
        <v>388</v>
      </c>
      <c r="CT25" s="2">
        <v>45756</v>
      </c>
      <c r="CU25" t="s">
        <v>571</v>
      </c>
      <c r="CV25" t="s">
        <v>400</v>
      </c>
      <c r="CW25" t="s">
        <v>581</v>
      </c>
      <c r="CX25" t="s">
        <v>358</v>
      </c>
      <c r="CY25" t="s">
        <v>585</v>
      </c>
      <c r="DA25" t="s">
        <v>587</v>
      </c>
      <c r="DB25" t="s">
        <v>587</v>
      </c>
      <c r="DC25" t="s">
        <v>587</v>
      </c>
      <c r="DD25" t="s">
        <v>587</v>
      </c>
      <c r="DE25" t="s">
        <v>587</v>
      </c>
      <c r="DF25" t="s">
        <v>587</v>
      </c>
      <c r="DG25" t="s">
        <v>590</v>
      </c>
      <c r="DH25" t="s">
        <v>592</v>
      </c>
      <c r="DI25" t="s">
        <v>594</v>
      </c>
      <c r="DJ25" t="s">
        <v>587</v>
      </c>
      <c r="DK25" t="s">
        <v>587</v>
      </c>
      <c r="DL25" t="s">
        <v>587</v>
      </c>
      <c r="DM25" t="s">
        <v>587</v>
      </c>
      <c r="DN25" t="s">
        <v>595</v>
      </c>
      <c r="DO25" t="s">
        <v>596</v>
      </c>
      <c r="DP25" t="s">
        <v>596</v>
      </c>
      <c r="DQ25" t="s">
        <v>450</v>
      </c>
      <c r="DR25" t="s">
        <v>597</v>
      </c>
      <c r="DS25" t="s">
        <v>598</v>
      </c>
      <c r="DT25" t="s">
        <v>599</v>
      </c>
      <c r="DU25" t="s">
        <v>600</v>
      </c>
      <c r="DV25" s="2">
        <v>45392</v>
      </c>
      <c r="DW25" s="2">
        <v>45394</v>
      </c>
      <c r="DX25" t="s">
        <v>601</v>
      </c>
      <c r="DY25" s="2">
        <v>45397</v>
      </c>
      <c r="DZ25" t="s">
        <v>602</v>
      </c>
      <c r="EA25" t="s">
        <v>415</v>
      </c>
      <c r="EB25" s="2">
        <v>45413</v>
      </c>
    </row>
    <row r="26" spans="1:132">
      <c r="A26" t="s">
        <v>135</v>
      </c>
      <c r="B26" t="s">
        <v>147</v>
      </c>
      <c r="C26" t="s">
        <v>159</v>
      </c>
      <c r="D26" t="s">
        <v>171</v>
      </c>
      <c r="E26" t="s">
        <v>183</v>
      </c>
      <c r="F26" t="s">
        <v>193</v>
      </c>
      <c r="G26">
        <v>000000101</v>
      </c>
      <c r="H26">
        <v>999900203</v>
      </c>
      <c r="I26" t="s">
        <v>204</v>
      </c>
      <c r="J26" t="s">
        <v>205</v>
      </c>
      <c r="K26" t="s">
        <v>230</v>
      </c>
      <c r="L26" s="2">
        <v>46739</v>
      </c>
      <c r="M26" s="2">
        <v>46486</v>
      </c>
      <c r="N26" s="2">
        <v>46452</v>
      </c>
      <c r="P26" t="s">
        <v>296</v>
      </c>
      <c r="Q26" t="s">
        <v>301</v>
      </c>
      <c r="R26" t="s">
        <v>305</v>
      </c>
      <c r="S26">
        <v>148</v>
      </c>
      <c r="T26" t="s">
        <v>311</v>
      </c>
      <c r="U26" s="2">
        <v>33970</v>
      </c>
      <c r="V26" t="s">
        <v>315</v>
      </c>
      <c r="W26" t="s">
        <v>327</v>
      </c>
      <c r="X26" t="s">
        <v>331</v>
      </c>
      <c r="Y26" t="s">
        <v>343</v>
      </c>
      <c r="Z26" t="s">
        <v>352</v>
      </c>
      <c r="AA26" t="s">
        <v>358</v>
      </c>
      <c r="AB26">
        <v>44114</v>
      </c>
      <c r="AC26" t="s">
        <v>358</v>
      </c>
      <c r="AD26" t="s">
        <v>362</v>
      </c>
      <c r="AE26" s="2">
        <v>44917</v>
      </c>
      <c r="AF26" t="s">
        <v>364</v>
      </c>
      <c r="AG26" t="s">
        <v>371</v>
      </c>
      <c r="AH26" s="2">
        <v>45756</v>
      </c>
      <c r="AI26" t="s">
        <v>376</v>
      </c>
      <c r="AJ26" t="s">
        <v>388</v>
      </c>
      <c r="AK26" t="s">
        <v>400</v>
      </c>
      <c r="AM26" t="s">
        <v>409</v>
      </c>
      <c r="AN26" s="2">
        <v>46422</v>
      </c>
      <c r="AO26">
        <v>0</v>
      </c>
      <c r="AP26">
        <v>0</v>
      </c>
      <c r="AQ26" t="s">
        <v>371</v>
      </c>
      <c r="AR26" t="s">
        <v>410</v>
      </c>
      <c r="AS26" s="2">
        <v>45432</v>
      </c>
      <c r="AT26" t="s">
        <v>412</v>
      </c>
      <c r="AU26" t="s">
        <v>413</v>
      </c>
      <c r="AX26" s="2">
        <v>45432</v>
      </c>
      <c r="AY26" t="s">
        <v>414</v>
      </c>
      <c r="AZ26" t="s">
        <v>415</v>
      </c>
      <c r="BB26" t="s">
        <v>416</v>
      </c>
      <c r="BC26" t="s">
        <v>417</v>
      </c>
      <c r="BD26" t="s">
        <v>183</v>
      </c>
      <c r="BF26" s="2">
        <v>45432</v>
      </c>
      <c r="BG26" t="s">
        <v>418</v>
      </c>
      <c r="BH26" t="s">
        <v>420</v>
      </c>
      <c r="BI26" t="s">
        <v>421</v>
      </c>
      <c r="BJ26" s="2">
        <v>45432</v>
      </c>
      <c r="BK26" t="s">
        <v>422</v>
      </c>
      <c r="BL26" s="2">
        <v>45425</v>
      </c>
      <c r="BM26" t="s">
        <v>426</v>
      </c>
      <c r="BN26" t="s">
        <v>436</v>
      </c>
      <c r="BO26" t="s">
        <v>439</v>
      </c>
      <c r="BP26" t="s">
        <v>444</v>
      </c>
      <c r="BQ26">
        <v>4</v>
      </c>
      <c r="BR26">
        <v>4</v>
      </c>
      <c r="BS26">
        <v>4</v>
      </c>
      <c r="BT26">
        <v>5</v>
      </c>
      <c r="BU26">
        <v>4</v>
      </c>
      <c r="BV26">
        <v>4</v>
      </c>
      <c r="BW26">
        <v>4</v>
      </c>
      <c r="BX26">
        <v>5</v>
      </c>
      <c r="BY26">
        <v>4</v>
      </c>
      <c r="BZ26" t="s">
        <v>450</v>
      </c>
      <c r="CA26" t="s">
        <v>452</v>
      </c>
      <c r="CB26" t="s">
        <v>456</v>
      </c>
      <c r="CC26" t="s">
        <v>457</v>
      </c>
      <c r="CD26" t="s">
        <v>458</v>
      </c>
      <c r="CE26" s="2">
        <v>46037</v>
      </c>
      <c r="CF26" s="2">
        <v>46218</v>
      </c>
      <c r="CH26" t="s">
        <v>459</v>
      </c>
      <c r="CJ26" t="s">
        <v>463</v>
      </c>
      <c r="CK26" t="s">
        <v>475</v>
      </c>
      <c r="CL26" t="s">
        <v>503</v>
      </c>
      <c r="CM26" t="s">
        <v>358</v>
      </c>
      <c r="CN26" t="s">
        <v>555</v>
      </c>
      <c r="CO26" t="s">
        <v>147</v>
      </c>
      <c r="CP26" s="2">
        <v>45756</v>
      </c>
      <c r="CQ26" s="2">
        <v>46486</v>
      </c>
      <c r="CR26" t="s">
        <v>559</v>
      </c>
      <c r="CS26" t="s">
        <v>388</v>
      </c>
      <c r="CT26" s="2">
        <v>45756</v>
      </c>
      <c r="CU26" t="s">
        <v>571</v>
      </c>
      <c r="CV26" t="s">
        <v>400</v>
      </c>
      <c r="CW26" t="s">
        <v>581</v>
      </c>
      <c r="CX26" t="s">
        <v>358</v>
      </c>
      <c r="CY26" t="s">
        <v>585</v>
      </c>
      <c r="DA26" t="s">
        <v>587</v>
      </c>
      <c r="DB26" t="s">
        <v>587</v>
      </c>
      <c r="DC26" t="s">
        <v>587</v>
      </c>
      <c r="DD26" t="s">
        <v>587</v>
      </c>
      <c r="DE26" t="s">
        <v>587</v>
      </c>
      <c r="DF26" t="s">
        <v>587</v>
      </c>
      <c r="DG26" t="s">
        <v>590</v>
      </c>
      <c r="DH26" t="s">
        <v>592</v>
      </c>
      <c r="DI26" t="s">
        <v>594</v>
      </c>
      <c r="DJ26" t="s">
        <v>587</v>
      </c>
      <c r="DK26" t="s">
        <v>587</v>
      </c>
      <c r="DL26" t="s">
        <v>587</v>
      </c>
      <c r="DM26" t="s">
        <v>587</v>
      </c>
      <c r="DN26" t="s">
        <v>595</v>
      </c>
      <c r="DO26" t="s">
        <v>596</v>
      </c>
      <c r="DP26" t="s">
        <v>596</v>
      </c>
      <c r="DQ26" t="s">
        <v>450</v>
      </c>
      <c r="DR26" t="s">
        <v>597</v>
      </c>
      <c r="DS26" t="s">
        <v>598</v>
      </c>
      <c r="DT26" t="s">
        <v>599</v>
      </c>
      <c r="DU26" t="s">
        <v>600</v>
      </c>
      <c r="DV26" s="2">
        <v>45392</v>
      </c>
      <c r="DW26" s="2">
        <v>45394</v>
      </c>
      <c r="DX26" t="s">
        <v>601</v>
      </c>
      <c r="DY26" s="2">
        <v>45397</v>
      </c>
      <c r="DZ26" t="s">
        <v>602</v>
      </c>
      <c r="EA26" t="s">
        <v>415</v>
      </c>
      <c r="EB26" s="2">
        <v>45413</v>
      </c>
    </row>
    <row r="27" spans="1:132">
      <c r="A27" t="s">
        <v>135</v>
      </c>
      <c r="B27" t="s">
        <v>147</v>
      </c>
      <c r="C27" t="s">
        <v>159</v>
      </c>
      <c r="D27" t="s">
        <v>171</v>
      </c>
      <c r="E27" t="s">
        <v>183</v>
      </c>
      <c r="F27" t="s">
        <v>193</v>
      </c>
      <c r="G27">
        <v>000000101</v>
      </c>
      <c r="H27">
        <v>999900203</v>
      </c>
      <c r="I27" t="s">
        <v>201</v>
      </c>
      <c r="J27" t="s">
        <v>205</v>
      </c>
      <c r="K27" t="s">
        <v>231</v>
      </c>
      <c r="L27" s="2">
        <v>46739</v>
      </c>
      <c r="M27" s="2">
        <v>46486</v>
      </c>
      <c r="N27" s="2">
        <v>46452</v>
      </c>
      <c r="P27" t="s">
        <v>296</v>
      </c>
      <c r="Q27" t="s">
        <v>301</v>
      </c>
      <c r="R27" t="s">
        <v>305</v>
      </c>
      <c r="S27">
        <v>148</v>
      </c>
      <c r="T27" t="s">
        <v>311</v>
      </c>
      <c r="U27" s="2">
        <v>33970</v>
      </c>
      <c r="V27" t="s">
        <v>315</v>
      </c>
      <c r="W27" t="s">
        <v>327</v>
      </c>
      <c r="X27" t="s">
        <v>331</v>
      </c>
      <c r="Y27" t="s">
        <v>343</v>
      </c>
      <c r="Z27" t="s">
        <v>352</v>
      </c>
      <c r="AA27" t="s">
        <v>358</v>
      </c>
      <c r="AB27">
        <v>44114</v>
      </c>
      <c r="AC27" t="s">
        <v>358</v>
      </c>
      <c r="AD27" t="s">
        <v>362</v>
      </c>
      <c r="AE27" s="2">
        <v>44917</v>
      </c>
      <c r="AF27" t="s">
        <v>364</v>
      </c>
      <c r="AG27" t="s">
        <v>371</v>
      </c>
      <c r="AH27" s="2">
        <v>45756</v>
      </c>
      <c r="AI27" t="s">
        <v>376</v>
      </c>
      <c r="AJ27" t="s">
        <v>388</v>
      </c>
      <c r="AK27" t="s">
        <v>400</v>
      </c>
      <c r="AM27" t="s">
        <v>409</v>
      </c>
      <c r="AN27" s="2">
        <v>46422</v>
      </c>
      <c r="AO27">
        <v>0</v>
      </c>
      <c r="AP27">
        <v>0</v>
      </c>
      <c r="AQ27" t="s">
        <v>371</v>
      </c>
      <c r="AR27" t="s">
        <v>410</v>
      </c>
      <c r="AS27" s="2">
        <v>45432</v>
      </c>
      <c r="AT27" t="s">
        <v>412</v>
      </c>
      <c r="AU27" t="s">
        <v>413</v>
      </c>
      <c r="AX27" s="2">
        <v>45432</v>
      </c>
      <c r="AY27" t="s">
        <v>414</v>
      </c>
      <c r="AZ27" t="s">
        <v>415</v>
      </c>
      <c r="BB27" t="s">
        <v>416</v>
      </c>
      <c r="BC27" t="s">
        <v>417</v>
      </c>
      <c r="BD27" t="s">
        <v>183</v>
      </c>
      <c r="BF27" s="2">
        <v>45432</v>
      </c>
      <c r="BG27" t="s">
        <v>418</v>
      </c>
      <c r="BH27" t="s">
        <v>420</v>
      </c>
      <c r="BI27" t="s">
        <v>421</v>
      </c>
      <c r="BJ27" s="2">
        <v>45432</v>
      </c>
      <c r="BK27" t="s">
        <v>422</v>
      </c>
      <c r="BL27" s="2">
        <v>45425</v>
      </c>
      <c r="BM27" t="s">
        <v>426</v>
      </c>
      <c r="BN27" t="s">
        <v>436</v>
      </c>
      <c r="BO27" t="s">
        <v>439</v>
      </c>
      <c r="BP27" t="s">
        <v>444</v>
      </c>
      <c r="BQ27">
        <v>4</v>
      </c>
      <c r="BR27">
        <v>4</v>
      </c>
      <c r="BS27">
        <v>4</v>
      </c>
      <c r="BT27">
        <v>5</v>
      </c>
      <c r="BU27">
        <v>4</v>
      </c>
      <c r="BV27">
        <v>4</v>
      </c>
      <c r="BW27">
        <v>4</v>
      </c>
      <c r="BX27">
        <v>5</v>
      </c>
      <c r="BY27">
        <v>4</v>
      </c>
      <c r="BZ27" t="s">
        <v>450</v>
      </c>
      <c r="CA27" t="s">
        <v>452</v>
      </c>
      <c r="CB27" t="s">
        <v>456</v>
      </c>
      <c r="CC27" t="s">
        <v>457</v>
      </c>
      <c r="CD27" t="s">
        <v>458</v>
      </c>
      <c r="CE27" s="2">
        <v>46037</v>
      </c>
      <c r="CF27" s="2">
        <v>46218</v>
      </c>
      <c r="CH27" t="s">
        <v>459</v>
      </c>
      <c r="CJ27" t="s">
        <v>463</v>
      </c>
      <c r="CK27" t="s">
        <v>475</v>
      </c>
      <c r="CL27" t="s">
        <v>504</v>
      </c>
      <c r="CM27" t="s">
        <v>358</v>
      </c>
      <c r="CN27" t="s">
        <v>555</v>
      </c>
      <c r="CO27" t="s">
        <v>147</v>
      </c>
      <c r="CP27" s="2">
        <v>45756</v>
      </c>
      <c r="CQ27" s="2">
        <v>46486</v>
      </c>
      <c r="CR27" t="s">
        <v>559</v>
      </c>
      <c r="CS27" t="s">
        <v>388</v>
      </c>
      <c r="CT27" s="2">
        <v>45756</v>
      </c>
      <c r="CU27" t="s">
        <v>571</v>
      </c>
      <c r="CV27" t="s">
        <v>400</v>
      </c>
      <c r="CW27" t="s">
        <v>581</v>
      </c>
      <c r="CX27" t="s">
        <v>358</v>
      </c>
      <c r="CY27" t="s">
        <v>585</v>
      </c>
      <c r="DA27" t="s">
        <v>587</v>
      </c>
      <c r="DB27" t="s">
        <v>587</v>
      </c>
      <c r="DC27" t="s">
        <v>587</v>
      </c>
      <c r="DD27" t="s">
        <v>587</v>
      </c>
      <c r="DE27" t="s">
        <v>587</v>
      </c>
      <c r="DF27" t="s">
        <v>587</v>
      </c>
      <c r="DG27" t="s">
        <v>590</v>
      </c>
      <c r="DH27" t="s">
        <v>592</v>
      </c>
      <c r="DI27" t="s">
        <v>594</v>
      </c>
      <c r="DJ27" t="s">
        <v>587</v>
      </c>
      <c r="DK27" t="s">
        <v>587</v>
      </c>
      <c r="DL27" t="s">
        <v>587</v>
      </c>
      <c r="DM27" t="s">
        <v>587</v>
      </c>
      <c r="DN27" t="s">
        <v>595</v>
      </c>
      <c r="DO27" t="s">
        <v>596</v>
      </c>
      <c r="DP27" t="s">
        <v>596</v>
      </c>
      <c r="DQ27" t="s">
        <v>450</v>
      </c>
      <c r="DR27" t="s">
        <v>597</v>
      </c>
      <c r="DS27" t="s">
        <v>598</v>
      </c>
      <c r="DT27" t="s">
        <v>599</v>
      </c>
      <c r="DU27" t="s">
        <v>600</v>
      </c>
      <c r="DV27" s="2">
        <v>45392</v>
      </c>
      <c r="DW27" s="2">
        <v>45394</v>
      </c>
      <c r="DX27" t="s">
        <v>601</v>
      </c>
      <c r="DY27" s="2">
        <v>45397</v>
      </c>
      <c r="DZ27" t="s">
        <v>602</v>
      </c>
      <c r="EA27" t="s">
        <v>415</v>
      </c>
      <c r="EB27" s="2">
        <v>45413</v>
      </c>
    </row>
    <row r="28" spans="1:132">
      <c r="A28" t="s">
        <v>135</v>
      </c>
      <c r="B28" t="s">
        <v>147</v>
      </c>
      <c r="C28" t="s">
        <v>159</v>
      </c>
      <c r="D28" t="s">
        <v>171</v>
      </c>
      <c r="E28" t="s">
        <v>183</v>
      </c>
      <c r="F28" t="s">
        <v>193</v>
      </c>
      <c r="G28">
        <v>000000101</v>
      </c>
      <c r="H28">
        <v>999900203</v>
      </c>
      <c r="I28" t="s">
        <v>202</v>
      </c>
      <c r="J28" t="s">
        <v>205</v>
      </c>
      <c r="K28" t="s">
        <v>232</v>
      </c>
      <c r="L28" s="2">
        <v>46739</v>
      </c>
      <c r="M28" s="2">
        <v>46486</v>
      </c>
      <c r="N28" s="2">
        <v>46452</v>
      </c>
      <c r="O28" t="s">
        <v>292</v>
      </c>
      <c r="P28" t="s">
        <v>296</v>
      </c>
      <c r="Q28" t="s">
        <v>301</v>
      </c>
      <c r="R28" t="s">
        <v>305</v>
      </c>
      <c r="S28">
        <v>148</v>
      </c>
      <c r="T28" t="s">
        <v>311</v>
      </c>
      <c r="U28" s="2">
        <v>33970</v>
      </c>
      <c r="V28" t="s">
        <v>315</v>
      </c>
      <c r="W28" t="s">
        <v>327</v>
      </c>
      <c r="X28" t="s">
        <v>331</v>
      </c>
      <c r="Y28" t="s">
        <v>343</v>
      </c>
      <c r="Z28" t="s">
        <v>352</v>
      </c>
      <c r="AA28" t="s">
        <v>358</v>
      </c>
      <c r="AB28">
        <v>44114</v>
      </c>
      <c r="AC28" t="s">
        <v>358</v>
      </c>
      <c r="AD28" t="s">
        <v>362</v>
      </c>
      <c r="AE28" s="2">
        <v>44917</v>
      </c>
      <c r="AF28" t="s">
        <v>364</v>
      </c>
      <c r="AG28" t="s">
        <v>371</v>
      </c>
      <c r="AH28" s="2">
        <v>45756</v>
      </c>
      <c r="AI28" t="s">
        <v>376</v>
      </c>
      <c r="AJ28" t="s">
        <v>388</v>
      </c>
      <c r="AK28" t="s">
        <v>400</v>
      </c>
      <c r="AM28" t="s">
        <v>409</v>
      </c>
      <c r="AN28" s="2">
        <v>46422</v>
      </c>
      <c r="AO28">
        <v>0</v>
      </c>
      <c r="AP28">
        <v>0</v>
      </c>
      <c r="AQ28" t="s">
        <v>371</v>
      </c>
      <c r="AR28" t="s">
        <v>410</v>
      </c>
      <c r="AS28" s="2">
        <v>45432</v>
      </c>
      <c r="AT28" t="s">
        <v>412</v>
      </c>
      <c r="AU28" t="s">
        <v>413</v>
      </c>
      <c r="AX28" s="2">
        <v>45432</v>
      </c>
      <c r="AY28" t="s">
        <v>414</v>
      </c>
      <c r="AZ28" t="s">
        <v>415</v>
      </c>
      <c r="BB28" t="s">
        <v>416</v>
      </c>
      <c r="BC28" t="s">
        <v>417</v>
      </c>
      <c r="BD28" t="s">
        <v>183</v>
      </c>
      <c r="BF28" s="2">
        <v>45432</v>
      </c>
      <c r="BG28" t="s">
        <v>418</v>
      </c>
      <c r="BH28" t="s">
        <v>420</v>
      </c>
      <c r="BI28" t="s">
        <v>421</v>
      </c>
      <c r="BJ28" s="2">
        <v>45432</v>
      </c>
      <c r="BK28" t="s">
        <v>422</v>
      </c>
      <c r="BL28" s="2">
        <v>45425</v>
      </c>
      <c r="BM28" t="s">
        <v>426</v>
      </c>
      <c r="BN28" t="s">
        <v>436</v>
      </c>
      <c r="BO28" t="s">
        <v>439</v>
      </c>
      <c r="BP28" t="s">
        <v>444</v>
      </c>
      <c r="BQ28">
        <v>4</v>
      </c>
      <c r="BR28">
        <v>4</v>
      </c>
      <c r="BS28">
        <v>4</v>
      </c>
      <c r="BT28">
        <v>5</v>
      </c>
      <c r="BU28">
        <v>4</v>
      </c>
      <c r="BV28">
        <v>4</v>
      </c>
      <c r="BW28">
        <v>4</v>
      </c>
      <c r="BX28">
        <v>5</v>
      </c>
      <c r="BY28">
        <v>4</v>
      </c>
      <c r="BZ28" t="s">
        <v>450</v>
      </c>
      <c r="CA28" t="s">
        <v>452</v>
      </c>
      <c r="CB28" t="s">
        <v>456</v>
      </c>
      <c r="CC28" t="s">
        <v>457</v>
      </c>
      <c r="CD28" t="s">
        <v>458</v>
      </c>
      <c r="CE28" s="2">
        <v>46037</v>
      </c>
      <c r="CF28" s="2">
        <v>46218</v>
      </c>
      <c r="CH28" t="s">
        <v>459</v>
      </c>
      <c r="CJ28" t="s">
        <v>463</v>
      </c>
      <c r="CK28" t="s">
        <v>475</v>
      </c>
      <c r="CL28" t="s">
        <v>505</v>
      </c>
      <c r="CM28" t="s">
        <v>358</v>
      </c>
      <c r="CN28" t="s">
        <v>555</v>
      </c>
      <c r="CO28" t="s">
        <v>147</v>
      </c>
      <c r="CP28" s="2">
        <v>45756</v>
      </c>
      <c r="CQ28" s="2">
        <v>46486</v>
      </c>
      <c r="CR28" t="s">
        <v>559</v>
      </c>
      <c r="CS28" t="s">
        <v>388</v>
      </c>
      <c r="CT28" s="2">
        <v>45756</v>
      </c>
      <c r="CU28" t="s">
        <v>571</v>
      </c>
      <c r="CV28" t="s">
        <v>400</v>
      </c>
      <c r="CW28" t="s">
        <v>581</v>
      </c>
      <c r="CX28" t="s">
        <v>358</v>
      </c>
      <c r="CY28" t="s">
        <v>585</v>
      </c>
      <c r="DA28" t="s">
        <v>587</v>
      </c>
      <c r="DB28" t="s">
        <v>587</v>
      </c>
      <c r="DC28" t="s">
        <v>587</v>
      </c>
      <c r="DD28" t="s">
        <v>587</v>
      </c>
      <c r="DE28" t="s">
        <v>587</v>
      </c>
      <c r="DF28" t="s">
        <v>587</v>
      </c>
      <c r="DG28" t="s">
        <v>590</v>
      </c>
      <c r="DH28" t="s">
        <v>592</v>
      </c>
      <c r="DI28" t="s">
        <v>594</v>
      </c>
      <c r="DJ28" t="s">
        <v>587</v>
      </c>
      <c r="DK28" t="s">
        <v>587</v>
      </c>
      <c r="DL28" t="s">
        <v>587</v>
      </c>
      <c r="DM28" t="s">
        <v>587</v>
      </c>
      <c r="DN28" t="s">
        <v>595</v>
      </c>
      <c r="DO28" t="s">
        <v>596</v>
      </c>
      <c r="DP28" t="s">
        <v>596</v>
      </c>
      <c r="DQ28" t="s">
        <v>450</v>
      </c>
      <c r="DR28" t="s">
        <v>597</v>
      </c>
      <c r="DS28" t="s">
        <v>598</v>
      </c>
      <c r="DT28" t="s">
        <v>599</v>
      </c>
      <c r="DU28" t="s">
        <v>600</v>
      </c>
      <c r="DV28" s="2">
        <v>45392</v>
      </c>
      <c r="DW28" s="2">
        <v>45394</v>
      </c>
      <c r="DX28" t="s">
        <v>601</v>
      </c>
      <c r="DY28" s="2">
        <v>45397</v>
      </c>
      <c r="DZ28" t="s">
        <v>602</v>
      </c>
      <c r="EA28" t="s">
        <v>415</v>
      </c>
      <c r="EB28" s="2">
        <v>45413</v>
      </c>
    </row>
    <row r="29" spans="1:132">
      <c r="A29" t="s">
        <v>135</v>
      </c>
      <c r="B29" t="s">
        <v>147</v>
      </c>
      <c r="C29" t="s">
        <v>159</v>
      </c>
      <c r="D29" t="s">
        <v>171</v>
      </c>
      <c r="E29" t="s">
        <v>183</v>
      </c>
      <c r="F29" t="s">
        <v>193</v>
      </c>
      <c r="G29">
        <v>000000101</v>
      </c>
      <c r="H29">
        <v>999900203</v>
      </c>
      <c r="I29" t="s">
        <v>203</v>
      </c>
      <c r="J29" t="s">
        <v>205</v>
      </c>
      <c r="K29" t="s">
        <v>233</v>
      </c>
      <c r="L29" s="2">
        <v>46739</v>
      </c>
      <c r="M29" s="2">
        <v>46486</v>
      </c>
      <c r="N29" s="2">
        <v>46452</v>
      </c>
      <c r="P29" t="s">
        <v>296</v>
      </c>
      <c r="Q29" t="s">
        <v>301</v>
      </c>
      <c r="R29" t="s">
        <v>305</v>
      </c>
      <c r="S29">
        <v>148</v>
      </c>
      <c r="T29" t="s">
        <v>311</v>
      </c>
      <c r="U29" s="2">
        <v>33970</v>
      </c>
      <c r="V29" t="s">
        <v>315</v>
      </c>
      <c r="W29" t="s">
        <v>327</v>
      </c>
      <c r="X29" t="s">
        <v>331</v>
      </c>
      <c r="Y29" t="s">
        <v>343</v>
      </c>
      <c r="Z29" t="s">
        <v>352</v>
      </c>
      <c r="AA29" t="s">
        <v>358</v>
      </c>
      <c r="AB29">
        <v>44114</v>
      </c>
      <c r="AC29" t="s">
        <v>358</v>
      </c>
      <c r="AD29" t="s">
        <v>362</v>
      </c>
      <c r="AE29" s="2">
        <v>44917</v>
      </c>
      <c r="AF29" t="s">
        <v>364</v>
      </c>
      <c r="AG29" t="s">
        <v>371</v>
      </c>
      <c r="AH29" s="2">
        <v>45756</v>
      </c>
      <c r="AI29" t="s">
        <v>376</v>
      </c>
      <c r="AJ29" t="s">
        <v>388</v>
      </c>
      <c r="AK29" t="s">
        <v>400</v>
      </c>
      <c r="AM29" t="s">
        <v>409</v>
      </c>
      <c r="AN29" s="2">
        <v>46422</v>
      </c>
      <c r="AO29">
        <v>0</v>
      </c>
      <c r="AP29">
        <v>0</v>
      </c>
      <c r="AQ29" t="s">
        <v>371</v>
      </c>
      <c r="AR29" t="s">
        <v>410</v>
      </c>
      <c r="AS29" s="2">
        <v>45432</v>
      </c>
      <c r="AT29" t="s">
        <v>412</v>
      </c>
      <c r="AU29" t="s">
        <v>413</v>
      </c>
      <c r="AX29" s="2">
        <v>45432</v>
      </c>
      <c r="AY29" t="s">
        <v>414</v>
      </c>
      <c r="AZ29" t="s">
        <v>415</v>
      </c>
      <c r="BB29" t="s">
        <v>416</v>
      </c>
      <c r="BC29" t="s">
        <v>417</v>
      </c>
      <c r="BD29" t="s">
        <v>183</v>
      </c>
      <c r="BF29" s="2">
        <v>45432</v>
      </c>
      <c r="BG29" t="s">
        <v>418</v>
      </c>
      <c r="BH29" t="s">
        <v>420</v>
      </c>
      <c r="BI29" t="s">
        <v>421</v>
      </c>
      <c r="BJ29" s="2">
        <v>45432</v>
      </c>
      <c r="BK29" t="s">
        <v>422</v>
      </c>
      <c r="BL29" s="2">
        <v>45425</v>
      </c>
      <c r="BM29" t="s">
        <v>426</v>
      </c>
      <c r="BN29" t="s">
        <v>436</v>
      </c>
      <c r="BO29" t="s">
        <v>439</v>
      </c>
      <c r="BP29" t="s">
        <v>444</v>
      </c>
      <c r="BQ29">
        <v>4</v>
      </c>
      <c r="BR29">
        <v>4</v>
      </c>
      <c r="BS29">
        <v>4</v>
      </c>
      <c r="BT29">
        <v>5</v>
      </c>
      <c r="BU29">
        <v>4</v>
      </c>
      <c r="BV29">
        <v>4</v>
      </c>
      <c r="BW29">
        <v>4</v>
      </c>
      <c r="BX29">
        <v>5</v>
      </c>
      <c r="BY29">
        <v>4</v>
      </c>
      <c r="BZ29" t="s">
        <v>450</v>
      </c>
      <c r="CA29" t="s">
        <v>452</v>
      </c>
      <c r="CB29" t="s">
        <v>456</v>
      </c>
      <c r="CC29" t="s">
        <v>457</v>
      </c>
      <c r="CD29" t="s">
        <v>458</v>
      </c>
      <c r="CE29" s="2">
        <v>46037</v>
      </c>
      <c r="CF29" s="2">
        <v>46218</v>
      </c>
      <c r="CH29" t="s">
        <v>459</v>
      </c>
      <c r="CJ29" t="s">
        <v>463</v>
      </c>
      <c r="CK29" t="s">
        <v>475</v>
      </c>
      <c r="CL29" t="s">
        <v>506</v>
      </c>
      <c r="CM29" t="s">
        <v>358</v>
      </c>
      <c r="CN29" t="s">
        <v>555</v>
      </c>
      <c r="CO29" t="s">
        <v>147</v>
      </c>
      <c r="CP29" s="2">
        <v>45756</v>
      </c>
      <c r="CQ29" s="2">
        <v>46486</v>
      </c>
      <c r="CR29" t="s">
        <v>559</v>
      </c>
      <c r="CS29" t="s">
        <v>388</v>
      </c>
      <c r="CT29" s="2">
        <v>45756</v>
      </c>
      <c r="CU29" t="s">
        <v>571</v>
      </c>
      <c r="CV29" t="s">
        <v>400</v>
      </c>
      <c r="CW29" t="s">
        <v>581</v>
      </c>
      <c r="CX29" t="s">
        <v>358</v>
      </c>
      <c r="CY29" t="s">
        <v>585</v>
      </c>
      <c r="DA29" t="s">
        <v>587</v>
      </c>
      <c r="DB29" t="s">
        <v>587</v>
      </c>
      <c r="DC29" t="s">
        <v>587</v>
      </c>
      <c r="DD29" t="s">
        <v>587</v>
      </c>
      <c r="DE29" t="s">
        <v>587</v>
      </c>
      <c r="DF29" t="s">
        <v>587</v>
      </c>
      <c r="DG29" t="s">
        <v>590</v>
      </c>
      <c r="DH29" t="s">
        <v>592</v>
      </c>
      <c r="DI29" t="s">
        <v>594</v>
      </c>
      <c r="DJ29" t="s">
        <v>587</v>
      </c>
      <c r="DK29" t="s">
        <v>587</v>
      </c>
      <c r="DL29" t="s">
        <v>587</v>
      </c>
      <c r="DM29" t="s">
        <v>587</v>
      </c>
      <c r="DN29" t="s">
        <v>595</v>
      </c>
      <c r="DO29" t="s">
        <v>596</v>
      </c>
      <c r="DP29" t="s">
        <v>596</v>
      </c>
      <c r="DQ29" t="s">
        <v>450</v>
      </c>
      <c r="DR29" t="s">
        <v>597</v>
      </c>
      <c r="DS29" t="s">
        <v>598</v>
      </c>
      <c r="DT29" t="s">
        <v>599</v>
      </c>
      <c r="DU29" t="s">
        <v>600</v>
      </c>
      <c r="DV29" s="2">
        <v>45392</v>
      </c>
      <c r="DW29" s="2">
        <v>45394</v>
      </c>
      <c r="DX29" t="s">
        <v>601</v>
      </c>
      <c r="DY29" s="2">
        <v>45397</v>
      </c>
      <c r="DZ29" t="s">
        <v>602</v>
      </c>
      <c r="EA29" t="s">
        <v>415</v>
      </c>
      <c r="EB29" s="2">
        <v>45413</v>
      </c>
    </row>
    <row r="30" spans="1:132">
      <c r="A30" t="s">
        <v>136</v>
      </c>
      <c r="B30" t="s">
        <v>148</v>
      </c>
      <c r="C30" t="s">
        <v>160</v>
      </c>
      <c r="D30" t="s">
        <v>172</v>
      </c>
      <c r="E30" t="s">
        <v>184</v>
      </c>
      <c r="F30" t="s">
        <v>193</v>
      </c>
      <c r="G30">
        <v>000000105</v>
      </c>
      <c r="H30">
        <v>999900206</v>
      </c>
      <c r="I30" t="s">
        <v>197</v>
      </c>
      <c r="J30" t="s">
        <v>205</v>
      </c>
      <c r="K30" t="s">
        <v>234</v>
      </c>
      <c r="L30" s="2">
        <v>46577</v>
      </c>
      <c r="M30" s="2">
        <v>46496</v>
      </c>
      <c r="N30" s="2">
        <v>46478</v>
      </c>
      <c r="P30" t="s">
        <v>295</v>
      </c>
      <c r="Q30" t="s">
        <v>299</v>
      </c>
      <c r="R30" t="s">
        <v>302</v>
      </c>
      <c r="S30">
        <v>193</v>
      </c>
      <c r="T30" t="s">
        <v>310</v>
      </c>
      <c r="U30" s="2">
        <v>24108</v>
      </c>
      <c r="V30" t="s">
        <v>316</v>
      </c>
      <c r="W30" t="s">
        <v>326</v>
      </c>
      <c r="X30" t="s">
        <v>332</v>
      </c>
      <c r="Y30" t="s">
        <v>344</v>
      </c>
      <c r="Z30" t="s">
        <v>355</v>
      </c>
      <c r="AA30" t="s">
        <v>358</v>
      </c>
      <c r="AB30">
        <v>43215</v>
      </c>
      <c r="AC30" t="s">
        <v>358</v>
      </c>
      <c r="AD30" t="s">
        <v>362</v>
      </c>
      <c r="AE30" s="2">
        <v>44755</v>
      </c>
      <c r="AF30" t="s">
        <v>367</v>
      </c>
      <c r="AG30" t="s">
        <v>370</v>
      </c>
      <c r="AH30" s="2">
        <v>45766</v>
      </c>
      <c r="AI30" t="s">
        <v>377</v>
      </c>
      <c r="AJ30" t="s">
        <v>389</v>
      </c>
      <c r="AK30" t="s">
        <v>401</v>
      </c>
      <c r="AL30" t="s">
        <v>370</v>
      </c>
      <c r="AM30" t="s">
        <v>409</v>
      </c>
      <c r="AN30" s="2">
        <v>46448</v>
      </c>
      <c r="AO30">
        <v>1</v>
      </c>
      <c r="AP30">
        <v>0</v>
      </c>
      <c r="AQ30" t="s">
        <v>370</v>
      </c>
      <c r="AR30" t="s">
        <v>410</v>
      </c>
      <c r="AS30" s="2">
        <v>45509</v>
      </c>
      <c r="AT30" t="s">
        <v>412</v>
      </c>
      <c r="AU30" t="s">
        <v>413</v>
      </c>
      <c r="AX30" s="2">
        <v>45509</v>
      </c>
      <c r="AY30" t="s">
        <v>414</v>
      </c>
      <c r="AZ30" t="s">
        <v>415</v>
      </c>
      <c r="BB30" t="s">
        <v>416</v>
      </c>
      <c r="BC30" t="s">
        <v>417</v>
      </c>
      <c r="BD30" t="s">
        <v>184</v>
      </c>
      <c r="BF30" s="2">
        <v>45509</v>
      </c>
      <c r="BG30" t="s">
        <v>418</v>
      </c>
      <c r="BH30" t="s">
        <v>419</v>
      </c>
      <c r="BI30" t="s">
        <v>421</v>
      </c>
      <c r="BJ30" s="2">
        <v>45509</v>
      </c>
      <c r="BK30" t="s">
        <v>422</v>
      </c>
      <c r="BL30" s="2">
        <v>45502</v>
      </c>
      <c r="BM30" t="s">
        <v>427</v>
      </c>
      <c r="BN30" t="s">
        <v>436</v>
      </c>
      <c r="BO30" t="s">
        <v>439</v>
      </c>
      <c r="BP30" t="s">
        <v>447</v>
      </c>
      <c r="BQ30">
        <v>5</v>
      </c>
      <c r="BR30">
        <v>4</v>
      </c>
      <c r="BS30">
        <v>4</v>
      </c>
      <c r="BT30">
        <v>4</v>
      </c>
      <c r="BU30">
        <v>4</v>
      </c>
      <c r="BV30">
        <v>5</v>
      </c>
      <c r="BW30">
        <v>4</v>
      </c>
      <c r="BX30">
        <v>4</v>
      </c>
      <c r="BY30">
        <v>4</v>
      </c>
      <c r="BZ30" t="s">
        <v>450</v>
      </c>
      <c r="CA30" t="s">
        <v>370</v>
      </c>
      <c r="CB30" t="s">
        <v>456</v>
      </c>
      <c r="CC30" t="s">
        <v>457</v>
      </c>
      <c r="CD30" t="s">
        <v>458</v>
      </c>
      <c r="CE30" s="2">
        <v>46037</v>
      </c>
      <c r="CF30" s="2">
        <v>46218</v>
      </c>
      <c r="CH30" t="s">
        <v>459</v>
      </c>
      <c r="CJ30" t="s">
        <v>464</v>
      </c>
      <c r="CK30" t="s">
        <v>476</v>
      </c>
      <c r="CL30" t="s">
        <v>234</v>
      </c>
      <c r="CM30" t="s">
        <v>358</v>
      </c>
      <c r="CN30" t="s">
        <v>555</v>
      </c>
      <c r="CO30" t="s">
        <v>148</v>
      </c>
      <c r="CP30" s="2">
        <v>45766</v>
      </c>
      <c r="CQ30" s="2">
        <v>46496</v>
      </c>
      <c r="CR30" t="s">
        <v>560</v>
      </c>
      <c r="CS30" t="s">
        <v>389</v>
      </c>
      <c r="CT30" s="2">
        <v>45766</v>
      </c>
      <c r="CU30" t="s">
        <v>572</v>
      </c>
      <c r="CV30" t="s">
        <v>401</v>
      </c>
      <c r="CW30" t="s">
        <v>582</v>
      </c>
      <c r="CX30" t="s">
        <v>358</v>
      </c>
      <c r="CY30" t="s">
        <v>585</v>
      </c>
      <c r="DA30" t="s">
        <v>588</v>
      </c>
      <c r="DB30" t="s">
        <v>587</v>
      </c>
      <c r="DC30" t="s">
        <v>587</v>
      </c>
      <c r="DD30" t="s">
        <v>587</v>
      </c>
      <c r="DE30" t="s">
        <v>588</v>
      </c>
      <c r="DF30" t="s">
        <v>587</v>
      </c>
      <c r="DG30" t="s">
        <v>590</v>
      </c>
      <c r="DH30" t="s">
        <v>592</v>
      </c>
      <c r="DI30" t="s">
        <v>594</v>
      </c>
      <c r="DJ30" t="s">
        <v>587</v>
      </c>
      <c r="DK30" t="s">
        <v>587</v>
      </c>
      <c r="DL30" t="s">
        <v>587</v>
      </c>
      <c r="DM30" t="s">
        <v>587</v>
      </c>
      <c r="DN30" t="s">
        <v>595</v>
      </c>
      <c r="DO30" t="s">
        <v>596</v>
      </c>
      <c r="DP30" t="s">
        <v>596</v>
      </c>
      <c r="DQ30" t="s">
        <v>450</v>
      </c>
      <c r="DR30" t="s">
        <v>597</v>
      </c>
      <c r="DS30" t="s">
        <v>598</v>
      </c>
      <c r="DT30" t="s">
        <v>599</v>
      </c>
      <c r="DU30" t="s">
        <v>600</v>
      </c>
      <c r="DV30" s="2">
        <v>45392</v>
      </c>
      <c r="DW30" s="2">
        <v>45394</v>
      </c>
      <c r="DX30" t="s">
        <v>601</v>
      </c>
      <c r="DY30" s="2">
        <v>45397</v>
      </c>
      <c r="DZ30" t="s">
        <v>602</v>
      </c>
      <c r="EA30" t="s">
        <v>415</v>
      </c>
      <c r="EB30" s="2">
        <v>45413</v>
      </c>
    </row>
    <row r="31" spans="1:132">
      <c r="A31" t="s">
        <v>136</v>
      </c>
      <c r="B31" t="s">
        <v>148</v>
      </c>
      <c r="C31" t="s">
        <v>160</v>
      </c>
      <c r="D31" t="s">
        <v>172</v>
      </c>
      <c r="E31" t="s">
        <v>184</v>
      </c>
      <c r="F31" t="s">
        <v>193</v>
      </c>
      <c r="G31">
        <v>000000105</v>
      </c>
      <c r="H31">
        <v>999900206</v>
      </c>
      <c r="I31" t="s">
        <v>198</v>
      </c>
      <c r="J31" t="s">
        <v>205</v>
      </c>
      <c r="K31" t="s">
        <v>235</v>
      </c>
      <c r="L31" s="2">
        <v>46577</v>
      </c>
      <c r="M31" s="2">
        <v>46496</v>
      </c>
      <c r="N31" s="2">
        <v>46478</v>
      </c>
      <c r="P31" t="s">
        <v>295</v>
      </c>
      <c r="Q31" t="s">
        <v>299</v>
      </c>
      <c r="R31" t="s">
        <v>302</v>
      </c>
      <c r="S31">
        <v>193</v>
      </c>
      <c r="T31" t="s">
        <v>310</v>
      </c>
      <c r="U31" s="2">
        <v>24108</v>
      </c>
      <c r="V31" t="s">
        <v>316</v>
      </c>
      <c r="W31" t="s">
        <v>326</v>
      </c>
      <c r="X31" t="s">
        <v>332</v>
      </c>
      <c r="Y31" t="s">
        <v>344</v>
      </c>
      <c r="Z31" t="s">
        <v>355</v>
      </c>
      <c r="AA31" t="s">
        <v>358</v>
      </c>
      <c r="AB31">
        <v>43215</v>
      </c>
      <c r="AC31" t="s">
        <v>358</v>
      </c>
      <c r="AD31" t="s">
        <v>362</v>
      </c>
      <c r="AE31" s="2">
        <v>44755</v>
      </c>
      <c r="AF31" t="s">
        <v>367</v>
      </c>
      <c r="AG31" t="s">
        <v>370</v>
      </c>
      <c r="AH31" s="2">
        <v>45766</v>
      </c>
      <c r="AI31" t="s">
        <v>377</v>
      </c>
      <c r="AJ31" t="s">
        <v>389</v>
      </c>
      <c r="AK31" t="s">
        <v>401</v>
      </c>
      <c r="AL31" t="s">
        <v>370</v>
      </c>
      <c r="AM31" t="s">
        <v>409</v>
      </c>
      <c r="AN31" s="2">
        <v>46448</v>
      </c>
      <c r="AO31">
        <v>1</v>
      </c>
      <c r="AP31">
        <v>0</v>
      </c>
      <c r="AQ31" t="s">
        <v>370</v>
      </c>
      <c r="AR31" t="s">
        <v>410</v>
      </c>
      <c r="AS31" s="2">
        <v>45509</v>
      </c>
      <c r="AT31" t="s">
        <v>412</v>
      </c>
      <c r="AU31" t="s">
        <v>413</v>
      </c>
      <c r="AX31" s="2">
        <v>45509</v>
      </c>
      <c r="AY31" t="s">
        <v>414</v>
      </c>
      <c r="AZ31" t="s">
        <v>415</v>
      </c>
      <c r="BB31" t="s">
        <v>416</v>
      </c>
      <c r="BC31" t="s">
        <v>417</v>
      </c>
      <c r="BD31" t="s">
        <v>184</v>
      </c>
      <c r="BF31" s="2">
        <v>45509</v>
      </c>
      <c r="BG31" t="s">
        <v>418</v>
      </c>
      <c r="BH31" t="s">
        <v>419</v>
      </c>
      <c r="BI31" t="s">
        <v>421</v>
      </c>
      <c r="BJ31" s="2">
        <v>45509</v>
      </c>
      <c r="BK31" t="s">
        <v>422</v>
      </c>
      <c r="BL31" s="2">
        <v>45502</v>
      </c>
      <c r="BM31" t="s">
        <v>427</v>
      </c>
      <c r="BN31" t="s">
        <v>436</v>
      </c>
      <c r="BO31" t="s">
        <v>439</v>
      </c>
      <c r="BP31" t="s">
        <v>447</v>
      </c>
      <c r="BQ31">
        <v>5</v>
      </c>
      <c r="BR31">
        <v>4</v>
      </c>
      <c r="BS31">
        <v>4</v>
      </c>
      <c r="BT31">
        <v>4</v>
      </c>
      <c r="BU31">
        <v>4</v>
      </c>
      <c r="BV31">
        <v>5</v>
      </c>
      <c r="BW31">
        <v>4</v>
      </c>
      <c r="BX31">
        <v>4</v>
      </c>
      <c r="BY31">
        <v>4</v>
      </c>
      <c r="BZ31" t="s">
        <v>450</v>
      </c>
      <c r="CA31" t="s">
        <v>370</v>
      </c>
      <c r="CB31" t="s">
        <v>456</v>
      </c>
      <c r="CC31" t="s">
        <v>457</v>
      </c>
      <c r="CD31" t="s">
        <v>458</v>
      </c>
      <c r="CE31" s="2">
        <v>46037</v>
      </c>
      <c r="CF31" s="2">
        <v>46218</v>
      </c>
      <c r="CH31" t="s">
        <v>459</v>
      </c>
      <c r="CJ31" t="s">
        <v>464</v>
      </c>
      <c r="CK31" t="s">
        <v>476</v>
      </c>
      <c r="CL31" t="s">
        <v>507</v>
      </c>
      <c r="CM31" t="s">
        <v>358</v>
      </c>
      <c r="CN31" t="s">
        <v>555</v>
      </c>
      <c r="CO31" t="s">
        <v>148</v>
      </c>
      <c r="CP31" s="2">
        <v>45766</v>
      </c>
      <c r="CQ31" s="2">
        <v>46496</v>
      </c>
      <c r="CR31" t="s">
        <v>560</v>
      </c>
      <c r="CS31" t="s">
        <v>389</v>
      </c>
      <c r="CT31" s="2">
        <v>45766</v>
      </c>
      <c r="CU31" t="s">
        <v>572</v>
      </c>
      <c r="CV31" t="s">
        <v>401</v>
      </c>
      <c r="CW31" t="s">
        <v>582</v>
      </c>
      <c r="CX31" t="s">
        <v>358</v>
      </c>
      <c r="CY31" t="s">
        <v>585</v>
      </c>
      <c r="DA31" t="s">
        <v>588</v>
      </c>
      <c r="DB31" t="s">
        <v>587</v>
      </c>
      <c r="DC31" t="s">
        <v>587</v>
      </c>
      <c r="DD31" t="s">
        <v>587</v>
      </c>
      <c r="DE31" t="s">
        <v>588</v>
      </c>
      <c r="DF31" t="s">
        <v>587</v>
      </c>
      <c r="DG31" t="s">
        <v>590</v>
      </c>
      <c r="DH31" t="s">
        <v>592</v>
      </c>
      <c r="DI31" t="s">
        <v>594</v>
      </c>
      <c r="DJ31" t="s">
        <v>587</v>
      </c>
      <c r="DK31" t="s">
        <v>587</v>
      </c>
      <c r="DL31" t="s">
        <v>587</v>
      </c>
      <c r="DM31" t="s">
        <v>587</v>
      </c>
      <c r="DN31" t="s">
        <v>595</v>
      </c>
      <c r="DO31" t="s">
        <v>596</v>
      </c>
      <c r="DP31" t="s">
        <v>596</v>
      </c>
      <c r="DQ31" t="s">
        <v>450</v>
      </c>
      <c r="DR31" t="s">
        <v>597</v>
      </c>
      <c r="DS31" t="s">
        <v>598</v>
      </c>
      <c r="DT31" t="s">
        <v>599</v>
      </c>
      <c r="DU31" t="s">
        <v>600</v>
      </c>
      <c r="DV31" s="2">
        <v>45392</v>
      </c>
      <c r="DW31" s="2">
        <v>45394</v>
      </c>
      <c r="DX31" t="s">
        <v>601</v>
      </c>
      <c r="DY31" s="2">
        <v>45397</v>
      </c>
      <c r="DZ31" t="s">
        <v>602</v>
      </c>
      <c r="EA31" t="s">
        <v>415</v>
      </c>
      <c r="EB31" s="2">
        <v>45413</v>
      </c>
    </row>
    <row r="32" spans="1:132">
      <c r="A32" t="s">
        <v>136</v>
      </c>
      <c r="B32" t="s">
        <v>148</v>
      </c>
      <c r="C32" t="s">
        <v>160</v>
      </c>
      <c r="D32" t="s">
        <v>172</v>
      </c>
      <c r="E32" t="s">
        <v>184</v>
      </c>
      <c r="F32" t="s">
        <v>193</v>
      </c>
      <c r="G32">
        <v>000000105</v>
      </c>
      <c r="H32">
        <v>999900206</v>
      </c>
      <c r="I32" t="s">
        <v>199</v>
      </c>
      <c r="J32" t="s">
        <v>205</v>
      </c>
      <c r="K32" t="s">
        <v>236</v>
      </c>
      <c r="L32" s="2">
        <v>46577</v>
      </c>
      <c r="M32" s="2">
        <v>46496</v>
      </c>
      <c r="N32" s="2">
        <v>46478</v>
      </c>
      <c r="P32" t="s">
        <v>295</v>
      </c>
      <c r="Q32" t="s">
        <v>299</v>
      </c>
      <c r="R32" t="s">
        <v>302</v>
      </c>
      <c r="S32">
        <v>193</v>
      </c>
      <c r="T32" t="s">
        <v>310</v>
      </c>
      <c r="U32" s="2">
        <v>24108</v>
      </c>
      <c r="V32" t="s">
        <v>316</v>
      </c>
      <c r="W32" t="s">
        <v>326</v>
      </c>
      <c r="X32" t="s">
        <v>332</v>
      </c>
      <c r="Y32" t="s">
        <v>344</v>
      </c>
      <c r="Z32" t="s">
        <v>355</v>
      </c>
      <c r="AA32" t="s">
        <v>358</v>
      </c>
      <c r="AB32">
        <v>43215</v>
      </c>
      <c r="AC32" t="s">
        <v>358</v>
      </c>
      <c r="AD32" t="s">
        <v>362</v>
      </c>
      <c r="AE32" s="2">
        <v>44755</v>
      </c>
      <c r="AF32" t="s">
        <v>367</v>
      </c>
      <c r="AG32" t="s">
        <v>370</v>
      </c>
      <c r="AH32" s="2">
        <v>45766</v>
      </c>
      <c r="AI32" t="s">
        <v>377</v>
      </c>
      <c r="AJ32" t="s">
        <v>389</v>
      </c>
      <c r="AK32" t="s">
        <v>401</v>
      </c>
      <c r="AL32" t="s">
        <v>370</v>
      </c>
      <c r="AM32" t="s">
        <v>409</v>
      </c>
      <c r="AN32" s="2">
        <v>46448</v>
      </c>
      <c r="AO32">
        <v>1</v>
      </c>
      <c r="AP32">
        <v>0</v>
      </c>
      <c r="AQ32" t="s">
        <v>370</v>
      </c>
      <c r="AR32" t="s">
        <v>410</v>
      </c>
      <c r="AS32" s="2">
        <v>45509</v>
      </c>
      <c r="AT32" t="s">
        <v>412</v>
      </c>
      <c r="AU32" t="s">
        <v>413</v>
      </c>
      <c r="AX32" s="2">
        <v>45509</v>
      </c>
      <c r="AY32" t="s">
        <v>414</v>
      </c>
      <c r="AZ32" t="s">
        <v>415</v>
      </c>
      <c r="BB32" t="s">
        <v>416</v>
      </c>
      <c r="BC32" t="s">
        <v>417</v>
      </c>
      <c r="BD32" t="s">
        <v>184</v>
      </c>
      <c r="BF32" s="2">
        <v>45509</v>
      </c>
      <c r="BG32" t="s">
        <v>418</v>
      </c>
      <c r="BH32" t="s">
        <v>419</v>
      </c>
      <c r="BI32" t="s">
        <v>421</v>
      </c>
      <c r="BJ32" s="2">
        <v>45509</v>
      </c>
      <c r="BK32" t="s">
        <v>422</v>
      </c>
      <c r="BL32" s="2">
        <v>45502</v>
      </c>
      <c r="BM32" t="s">
        <v>427</v>
      </c>
      <c r="BN32" t="s">
        <v>436</v>
      </c>
      <c r="BO32" t="s">
        <v>439</v>
      </c>
      <c r="BP32" t="s">
        <v>447</v>
      </c>
      <c r="BQ32">
        <v>5</v>
      </c>
      <c r="BR32">
        <v>4</v>
      </c>
      <c r="BS32">
        <v>4</v>
      </c>
      <c r="BT32">
        <v>4</v>
      </c>
      <c r="BU32">
        <v>4</v>
      </c>
      <c r="BV32">
        <v>5</v>
      </c>
      <c r="BW32">
        <v>4</v>
      </c>
      <c r="BX32">
        <v>4</v>
      </c>
      <c r="BY32">
        <v>4</v>
      </c>
      <c r="BZ32" t="s">
        <v>450</v>
      </c>
      <c r="CA32" t="s">
        <v>370</v>
      </c>
      <c r="CB32" t="s">
        <v>456</v>
      </c>
      <c r="CC32" t="s">
        <v>457</v>
      </c>
      <c r="CD32" t="s">
        <v>458</v>
      </c>
      <c r="CE32" s="2">
        <v>46037</v>
      </c>
      <c r="CF32" s="2">
        <v>46218</v>
      </c>
      <c r="CH32" t="s">
        <v>459</v>
      </c>
      <c r="CJ32" t="s">
        <v>464</v>
      </c>
      <c r="CK32" t="s">
        <v>476</v>
      </c>
      <c r="CL32" t="s">
        <v>508</v>
      </c>
      <c r="CM32" t="s">
        <v>358</v>
      </c>
      <c r="CN32" t="s">
        <v>555</v>
      </c>
      <c r="CO32" t="s">
        <v>148</v>
      </c>
      <c r="CP32" s="2">
        <v>45766</v>
      </c>
      <c r="CQ32" s="2">
        <v>46496</v>
      </c>
      <c r="CR32" t="s">
        <v>560</v>
      </c>
      <c r="CS32" t="s">
        <v>389</v>
      </c>
      <c r="CT32" s="2">
        <v>45766</v>
      </c>
      <c r="CU32" t="s">
        <v>572</v>
      </c>
      <c r="CV32" t="s">
        <v>401</v>
      </c>
      <c r="CW32" t="s">
        <v>582</v>
      </c>
      <c r="CX32" t="s">
        <v>358</v>
      </c>
      <c r="CY32" t="s">
        <v>585</v>
      </c>
      <c r="DA32" t="s">
        <v>588</v>
      </c>
      <c r="DB32" t="s">
        <v>587</v>
      </c>
      <c r="DC32" t="s">
        <v>587</v>
      </c>
      <c r="DD32" t="s">
        <v>587</v>
      </c>
      <c r="DE32" t="s">
        <v>588</v>
      </c>
      <c r="DF32" t="s">
        <v>587</v>
      </c>
      <c r="DG32" t="s">
        <v>590</v>
      </c>
      <c r="DH32" t="s">
        <v>592</v>
      </c>
      <c r="DI32" t="s">
        <v>594</v>
      </c>
      <c r="DJ32" t="s">
        <v>587</v>
      </c>
      <c r="DK32" t="s">
        <v>587</v>
      </c>
      <c r="DL32" t="s">
        <v>587</v>
      </c>
      <c r="DM32" t="s">
        <v>587</v>
      </c>
      <c r="DN32" t="s">
        <v>595</v>
      </c>
      <c r="DO32" t="s">
        <v>596</v>
      </c>
      <c r="DP32" t="s">
        <v>596</v>
      </c>
      <c r="DQ32" t="s">
        <v>450</v>
      </c>
      <c r="DR32" t="s">
        <v>597</v>
      </c>
      <c r="DS32" t="s">
        <v>598</v>
      </c>
      <c r="DT32" t="s">
        <v>599</v>
      </c>
      <c r="DU32" t="s">
        <v>600</v>
      </c>
      <c r="DV32" s="2">
        <v>45392</v>
      </c>
      <c r="DW32" s="2">
        <v>45394</v>
      </c>
      <c r="DX32" t="s">
        <v>601</v>
      </c>
      <c r="DY32" s="2">
        <v>45397</v>
      </c>
      <c r="DZ32" t="s">
        <v>602</v>
      </c>
      <c r="EA32" t="s">
        <v>415</v>
      </c>
      <c r="EB32" s="2">
        <v>45413</v>
      </c>
    </row>
    <row r="33" spans="1:132">
      <c r="A33" t="s">
        <v>136</v>
      </c>
      <c r="B33" t="s">
        <v>148</v>
      </c>
      <c r="C33" t="s">
        <v>160</v>
      </c>
      <c r="D33" t="s">
        <v>172</v>
      </c>
      <c r="E33" t="s">
        <v>184</v>
      </c>
      <c r="F33" t="s">
        <v>193</v>
      </c>
      <c r="G33">
        <v>000000105</v>
      </c>
      <c r="H33">
        <v>999900206</v>
      </c>
      <c r="I33" t="s">
        <v>200</v>
      </c>
      <c r="J33" t="s">
        <v>205</v>
      </c>
      <c r="K33" t="s">
        <v>237</v>
      </c>
      <c r="L33" s="2">
        <v>46577</v>
      </c>
      <c r="M33" s="2">
        <v>46496</v>
      </c>
      <c r="N33" s="2">
        <v>46478</v>
      </c>
      <c r="P33" t="s">
        <v>295</v>
      </c>
      <c r="Q33" t="s">
        <v>299</v>
      </c>
      <c r="R33" t="s">
        <v>302</v>
      </c>
      <c r="S33">
        <v>193</v>
      </c>
      <c r="T33" t="s">
        <v>310</v>
      </c>
      <c r="U33" s="2">
        <v>24108</v>
      </c>
      <c r="V33" t="s">
        <v>316</v>
      </c>
      <c r="W33" t="s">
        <v>326</v>
      </c>
      <c r="X33" t="s">
        <v>332</v>
      </c>
      <c r="Y33" t="s">
        <v>344</v>
      </c>
      <c r="Z33" t="s">
        <v>355</v>
      </c>
      <c r="AA33" t="s">
        <v>358</v>
      </c>
      <c r="AB33">
        <v>43215</v>
      </c>
      <c r="AC33" t="s">
        <v>358</v>
      </c>
      <c r="AD33" t="s">
        <v>362</v>
      </c>
      <c r="AE33" s="2">
        <v>44755</v>
      </c>
      <c r="AF33" t="s">
        <v>367</v>
      </c>
      <c r="AG33" t="s">
        <v>370</v>
      </c>
      <c r="AH33" s="2">
        <v>45766</v>
      </c>
      <c r="AI33" t="s">
        <v>377</v>
      </c>
      <c r="AJ33" t="s">
        <v>389</v>
      </c>
      <c r="AK33" t="s">
        <v>401</v>
      </c>
      <c r="AL33" t="s">
        <v>370</v>
      </c>
      <c r="AM33" t="s">
        <v>409</v>
      </c>
      <c r="AN33" s="2">
        <v>46448</v>
      </c>
      <c r="AO33">
        <v>1</v>
      </c>
      <c r="AP33">
        <v>0</v>
      </c>
      <c r="AQ33" t="s">
        <v>370</v>
      </c>
      <c r="AR33" t="s">
        <v>410</v>
      </c>
      <c r="AS33" s="2">
        <v>45509</v>
      </c>
      <c r="AT33" t="s">
        <v>412</v>
      </c>
      <c r="AU33" t="s">
        <v>413</v>
      </c>
      <c r="AX33" s="2">
        <v>45509</v>
      </c>
      <c r="AY33" t="s">
        <v>414</v>
      </c>
      <c r="AZ33" t="s">
        <v>415</v>
      </c>
      <c r="BB33" t="s">
        <v>416</v>
      </c>
      <c r="BC33" t="s">
        <v>417</v>
      </c>
      <c r="BD33" t="s">
        <v>184</v>
      </c>
      <c r="BF33" s="2">
        <v>45509</v>
      </c>
      <c r="BG33" t="s">
        <v>418</v>
      </c>
      <c r="BH33" t="s">
        <v>419</v>
      </c>
      <c r="BI33" t="s">
        <v>421</v>
      </c>
      <c r="BJ33" s="2">
        <v>45509</v>
      </c>
      <c r="BK33" t="s">
        <v>422</v>
      </c>
      <c r="BL33" s="2">
        <v>45502</v>
      </c>
      <c r="BM33" t="s">
        <v>427</v>
      </c>
      <c r="BN33" t="s">
        <v>436</v>
      </c>
      <c r="BO33" t="s">
        <v>439</v>
      </c>
      <c r="BP33" t="s">
        <v>447</v>
      </c>
      <c r="BQ33">
        <v>5</v>
      </c>
      <c r="BR33">
        <v>4</v>
      </c>
      <c r="BS33">
        <v>4</v>
      </c>
      <c r="BT33">
        <v>4</v>
      </c>
      <c r="BU33">
        <v>4</v>
      </c>
      <c r="BV33">
        <v>5</v>
      </c>
      <c r="BW33">
        <v>4</v>
      </c>
      <c r="BX33">
        <v>4</v>
      </c>
      <c r="BY33">
        <v>4</v>
      </c>
      <c r="BZ33" t="s">
        <v>450</v>
      </c>
      <c r="CA33" t="s">
        <v>370</v>
      </c>
      <c r="CB33" t="s">
        <v>456</v>
      </c>
      <c r="CC33" t="s">
        <v>457</v>
      </c>
      <c r="CD33" t="s">
        <v>458</v>
      </c>
      <c r="CE33" s="2">
        <v>46037</v>
      </c>
      <c r="CF33" s="2">
        <v>46218</v>
      </c>
      <c r="CH33" t="s">
        <v>459</v>
      </c>
      <c r="CJ33" t="s">
        <v>464</v>
      </c>
      <c r="CK33" t="s">
        <v>476</v>
      </c>
      <c r="CL33" t="s">
        <v>509</v>
      </c>
      <c r="CM33" t="s">
        <v>358</v>
      </c>
      <c r="CN33" t="s">
        <v>555</v>
      </c>
      <c r="CO33" t="s">
        <v>148</v>
      </c>
      <c r="CP33" s="2">
        <v>45766</v>
      </c>
      <c r="CQ33" s="2">
        <v>46496</v>
      </c>
      <c r="CR33" t="s">
        <v>560</v>
      </c>
      <c r="CS33" t="s">
        <v>389</v>
      </c>
      <c r="CT33" s="2">
        <v>45766</v>
      </c>
      <c r="CU33" t="s">
        <v>572</v>
      </c>
      <c r="CV33" t="s">
        <v>401</v>
      </c>
      <c r="CW33" t="s">
        <v>582</v>
      </c>
      <c r="CX33" t="s">
        <v>358</v>
      </c>
      <c r="CY33" t="s">
        <v>585</v>
      </c>
      <c r="DA33" t="s">
        <v>588</v>
      </c>
      <c r="DB33" t="s">
        <v>587</v>
      </c>
      <c r="DC33" t="s">
        <v>587</v>
      </c>
      <c r="DD33" t="s">
        <v>587</v>
      </c>
      <c r="DE33" t="s">
        <v>588</v>
      </c>
      <c r="DF33" t="s">
        <v>587</v>
      </c>
      <c r="DG33" t="s">
        <v>590</v>
      </c>
      <c r="DH33" t="s">
        <v>592</v>
      </c>
      <c r="DI33" t="s">
        <v>594</v>
      </c>
      <c r="DJ33" t="s">
        <v>587</v>
      </c>
      <c r="DK33" t="s">
        <v>587</v>
      </c>
      <c r="DL33" t="s">
        <v>587</v>
      </c>
      <c r="DM33" t="s">
        <v>587</v>
      </c>
      <c r="DN33" t="s">
        <v>595</v>
      </c>
      <c r="DO33" t="s">
        <v>596</v>
      </c>
      <c r="DP33" t="s">
        <v>596</v>
      </c>
      <c r="DQ33" t="s">
        <v>450</v>
      </c>
      <c r="DR33" t="s">
        <v>597</v>
      </c>
      <c r="DS33" t="s">
        <v>598</v>
      </c>
      <c r="DT33" t="s">
        <v>599</v>
      </c>
      <c r="DU33" t="s">
        <v>600</v>
      </c>
      <c r="DV33" s="2">
        <v>45392</v>
      </c>
      <c r="DW33" s="2">
        <v>45394</v>
      </c>
      <c r="DX33" t="s">
        <v>601</v>
      </c>
      <c r="DY33" s="2">
        <v>45397</v>
      </c>
      <c r="DZ33" t="s">
        <v>602</v>
      </c>
      <c r="EA33" t="s">
        <v>415</v>
      </c>
      <c r="EB33" s="2">
        <v>45413</v>
      </c>
    </row>
    <row r="34" spans="1:132">
      <c r="A34" t="s">
        <v>136</v>
      </c>
      <c r="B34" t="s">
        <v>148</v>
      </c>
      <c r="C34" t="s">
        <v>160</v>
      </c>
      <c r="D34" t="s">
        <v>172</v>
      </c>
      <c r="E34" t="s">
        <v>184</v>
      </c>
      <c r="F34" t="s">
        <v>193</v>
      </c>
      <c r="G34">
        <v>000000105</v>
      </c>
      <c r="H34">
        <v>999900206</v>
      </c>
      <c r="I34" t="s">
        <v>201</v>
      </c>
      <c r="J34" t="s">
        <v>205</v>
      </c>
      <c r="K34" t="s">
        <v>238</v>
      </c>
      <c r="L34" s="2">
        <v>46577</v>
      </c>
      <c r="M34" s="2">
        <v>46496</v>
      </c>
      <c r="N34" s="2">
        <v>46478</v>
      </c>
      <c r="P34" t="s">
        <v>295</v>
      </c>
      <c r="Q34" t="s">
        <v>299</v>
      </c>
      <c r="R34" t="s">
        <v>302</v>
      </c>
      <c r="S34">
        <v>193</v>
      </c>
      <c r="T34" t="s">
        <v>310</v>
      </c>
      <c r="U34" s="2">
        <v>24108</v>
      </c>
      <c r="V34" t="s">
        <v>316</v>
      </c>
      <c r="W34" t="s">
        <v>326</v>
      </c>
      <c r="X34" t="s">
        <v>332</v>
      </c>
      <c r="Y34" t="s">
        <v>344</v>
      </c>
      <c r="Z34" t="s">
        <v>355</v>
      </c>
      <c r="AA34" t="s">
        <v>358</v>
      </c>
      <c r="AB34">
        <v>43215</v>
      </c>
      <c r="AC34" t="s">
        <v>358</v>
      </c>
      <c r="AD34" t="s">
        <v>362</v>
      </c>
      <c r="AE34" s="2">
        <v>44755</v>
      </c>
      <c r="AF34" t="s">
        <v>367</v>
      </c>
      <c r="AG34" t="s">
        <v>370</v>
      </c>
      <c r="AH34" s="2">
        <v>45766</v>
      </c>
      <c r="AI34" t="s">
        <v>377</v>
      </c>
      <c r="AJ34" t="s">
        <v>389</v>
      </c>
      <c r="AK34" t="s">
        <v>401</v>
      </c>
      <c r="AL34" t="s">
        <v>370</v>
      </c>
      <c r="AM34" t="s">
        <v>409</v>
      </c>
      <c r="AN34" s="2">
        <v>46448</v>
      </c>
      <c r="AO34">
        <v>1</v>
      </c>
      <c r="AP34">
        <v>0</v>
      </c>
      <c r="AQ34" t="s">
        <v>370</v>
      </c>
      <c r="AR34" t="s">
        <v>410</v>
      </c>
      <c r="AS34" s="2">
        <v>45509</v>
      </c>
      <c r="AT34" t="s">
        <v>412</v>
      </c>
      <c r="AU34" t="s">
        <v>413</v>
      </c>
      <c r="AX34" s="2">
        <v>45509</v>
      </c>
      <c r="AY34" t="s">
        <v>414</v>
      </c>
      <c r="AZ34" t="s">
        <v>415</v>
      </c>
      <c r="BB34" t="s">
        <v>416</v>
      </c>
      <c r="BC34" t="s">
        <v>417</v>
      </c>
      <c r="BD34" t="s">
        <v>184</v>
      </c>
      <c r="BF34" s="2">
        <v>45509</v>
      </c>
      <c r="BG34" t="s">
        <v>418</v>
      </c>
      <c r="BH34" t="s">
        <v>419</v>
      </c>
      <c r="BI34" t="s">
        <v>421</v>
      </c>
      <c r="BJ34" s="2">
        <v>45509</v>
      </c>
      <c r="BK34" t="s">
        <v>422</v>
      </c>
      <c r="BL34" s="2">
        <v>45502</v>
      </c>
      <c r="BM34" t="s">
        <v>427</v>
      </c>
      <c r="BN34" t="s">
        <v>436</v>
      </c>
      <c r="BO34" t="s">
        <v>439</v>
      </c>
      <c r="BP34" t="s">
        <v>447</v>
      </c>
      <c r="BQ34">
        <v>5</v>
      </c>
      <c r="BR34">
        <v>4</v>
      </c>
      <c r="BS34">
        <v>4</v>
      </c>
      <c r="BT34">
        <v>4</v>
      </c>
      <c r="BU34">
        <v>4</v>
      </c>
      <c r="BV34">
        <v>5</v>
      </c>
      <c r="BW34">
        <v>4</v>
      </c>
      <c r="BX34">
        <v>4</v>
      </c>
      <c r="BY34">
        <v>4</v>
      </c>
      <c r="BZ34" t="s">
        <v>450</v>
      </c>
      <c r="CA34" t="s">
        <v>370</v>
      </c>
      <c r="CB34" t="s">
        <v>456</v>
      </c>
      <c r="CC34" t="s">
        <v>457</v>
      </c>
      <c r="CD34" t="s">
        <v>458</v>
      </c>
      <c r="CE34" s="2">
        <v>46037</v>
      </c>
      <c r="CF34" s="2">
        <v>46218</v>
      </c>
      <c r="CH34" t="s">
        <v>459</v>
      </c>
      <c r="CJ34" t="s">
        <v>464</v>
      </c>
      <c r="CK34" t="s">
        <v>476</v>
      </c>
      <c r="CL34" t="s">
        <v>510</v>
      </c>
      <c r="CM34" t="s">
        <v>358</v>
      </c>
      <c r="CN34" t="s">
        <v>555</v>
      </c>
      <c r="CO34" t="s">
        <v>148</v>
      </c>
      <c r="CP34" s="2">
        <v>45766</v>
      </c>
      <c r="CQ34" s="2">
        <v>46496</v>
      </c>
      <c r="CR34" t="s">
        <v>560</v>
      </c>
      <c r="CS34" t="s">
        <v>389</v>
      </c>
      <c r="CT34" s="2">
        <v>45766</v>
      </c>
      <c r="CU34" t="s">
        <v>572</v>
      </c>
      <c r="CV34" t="s">
        <v>401</v>
      </c>
      <c r="CW34" t="s">
        <v>582</v>
      </c>
      <c r="CX34" t="s">
        <v>358</v>
      </c>
      <c r="CY34" t="s">
        <v>585</v>
      </c>
      <c r="DA34" t="s">
        <v>588</v>
      </c>
      <c r="DB34" t="s">
        <v>587</v>
      </c>
      <c r="DC34" t="s">
        <v>587</v>
      </c>
      <c r="DD34" t="s">
        <v>587</v>
      </c>
      <c r="DE34" t="s">
        <v>588</v>
      </c>
      <c r="DF34" t="s">
        <v>587</v>
      </c>
      <c r="DG34" t="s">
        <v>590</v>
      </c>
      <c r="DH34" t="s">
        <v>592</v>
      </c>
      <c r="DI34" t="s">
        <v>594</v>
      </c>
      <c r="DJ34" t="s">
        <v>587</v>
      </c>
      <c r="DK34" t="s">
        <v>587</v>
      </c>
      <c r="DL34" t="s">
        <v>587</v>
      </c>
      <c r="DM34" t="s">
        <v>587</v>
      </c>
      <c r="DN34" t="s">
        <v>595</v>
      </c>
      <c r="DO34" t="s">
        <v>596</v>
      </c>
      <c r="DP34" t="s">
        <v>596</v>
      </c>
      <c r="DQ34" t="s">
        <v>450</v>
      </c>
      <c r="DR34" t="s">
        <v>597</v>
      </c>
      <c r="DS34" t="s">
        <v>598</v>
      </c>
      <c r="DT34" t="s">
        <v>599</v>
      </c>
      <c r="DU34" t="s">
        <v>600</v>
      </c>
      <c r="DV34" s="2">
        <v>45392</v>
      </c>
      <c r="DW34" s="2">
        <v>45394</v>
      </c>
      <c r="DX34" t="s">
        <v>601</v>
      </c>
      <c r="DY34" s="2">
        <v>45397</v>
      </c>
      <c r="DZ34" t="s">
        <v>602</v>
      </c>
      <c r="EA34" t="s">
        <v>415</v>
      </c>
      <c r="EB34" s="2">
        <v>45413</v>
      </c>
    </row>
    <row r="35" spans="1:132">
      <c r="A35" t="s">
        <v>136</v>
      </c>
      <c r="B35" t="s">
        <v>148</v>
      </c>
      <c r="C35" t="s">
        <v>160</v>
      </c>
      <c r="D35" t="s">
        <v>172</v>
      </c>
      <c r="E35" t="s">
        <v>184</v>
      </c>
      <c r="F35" t="s">
        <v>193</v>
      </c>
      <c r="G35">
        <v>000000105</v>
      </c>
      <c r="H35">
        <v>999900206</v>
      </c>
      <c r="I35" t="s">
        <v>202</v>
      </c>
      <c r="J35" t="s">
        <v>205</v>
      </c>
      <c r="K35" t="s">
        <v>239</v>
      </c>
      <c r="L35" s="2">
        <v>46577</v>
      </c>
      <c r="M35" s="2">
        <v>46496</v>
      </c>
      <c r="N35" s="2">
        <v>46478</v>
      </c>
      <c r="O35" t="s">
        <v>291</v>
      </c>
      <c r="P35" t="s">
        <v>295</v>
      </c>
      <c r="Q35" t="s">
        <v>299</v>
      </c>
      <c r="R35" t="s">
        <v>302</v>
      </c>
      <c r="S35">
        <v>193</v>
      </c>
      <c r="T35" t="s">
        <v>310</v>
      </c>
      <c r="U35" s="2">
        <v>24108</v>
      </c>
      <c r="V35" t="s">
        <v>316</v>
      </c>
      <c r="W35" t="s">
        <v>326</v>
      </c>
      <c r="X35" t="s">
        <v>332</v>
      </c>
      <c r="Y35" t="s">
        <v>344</v>
      </c>
      <c r="Z35" t="s">
        <v>355</v>
      </c>
      <c r="AA35" t="s">
        <v>358</v>
      </c>
      <c r="AB35">
        <v>43215</v>
      </c>
      <c r="AC35" t="s">
        <v>358</v>
      </c>
      <c r="AD35" t="s">
        <v>362</v>
      </c>
      <c r="AE35" s="2">
        <v>44755</v>
      </c>
      <c r="AF35" t="s">
        <v>367</v>
      </c>
      <c r="AG35" t="s">
        <v>370</v>
      </c>
      <c r="AH35" s="2">
        <v>45766</v>
      </c>
      <c r="AI35" t="s">
        <v>377</v>
      </c>
      <c r="AJ35" t="s">
        <v>389</v>
      </c>
      <c r="AK35" t="s">
        <v>401</v>
      </c>
      <c r="AL35" t="s">
        <v>370</v>
      </c>
      <c r="AM35" t="s">
        <v>409</v>
      </c>
      <c r="AN35" s="2">
        <v>46448</v>
      </c>
      <c r="AO35">
        <v>1</v>
      </c>
      <c r="AP35">
        <v>0</v>
      </c>
      <c r="AQ35" t="s">
        <v>370</v>
      </c>
      <c r="AR35" t="s">
        <v>410</v>
      </c>
      <c r="AS35" s="2">
        <v>45509</v>
      </c>
      <c r="AT35" t="s">
        <v>412</v>
      </c>
      <c r="AU35" t="s">
        <v>413</v>
      </c>
      <c r="AX35" s="2">
        <v>45509</v>
      </c>
      <c r="AY35" t="s">
        <v>414</v>
      </c>
      <c r="AZ35" t="s">
        <v>415</v>
      </c>
      <c r="BB35" t="s">
        <v>416</v>
      </c>
      <c r="BC35" t="s">
        <v>417</v>
      </c>
      <c r="BD35" t="s">
        <v>184</v>
      </c>
      <c r="BF35" s="2">
        <v>45509</v>
      </c>
      <c r="BG35" t="s">
        <v>418</v>
      </c>
      <c r="BH35" t="s">
        <v>419</v>
      </c>
      <c r="BI35" t="s">
        <v>421</v>
      </c>
      <c r="BJ35" s="2">
        <v>45509</v>
      </c>
      <c r="BK35" t="s">
        <v>422</v>
      </c>
      <c r="BL35" s="2">
        <v>45502</v>
      </c>
      <c r="BM35" t="s">
        <v>427</v>
      </c>
      <c r="BN35" t="s">
        <v>436</v>
      </c>
      <c r="BO35" t="s">
        <v>439</v>
      </c>
      <c r="BP35" t="s">
        <v>447</v>
      </c>
      <c r="BQ35">
        <v>5</v>
      </c>
      <c r="BR35">
        <v>4</v>
      </c>
      <c r="BS35">
        <v>4</v>
      </c>
      <c r="BT35">
        <v>4</v>
      </c>
      <c r="BU35">
        <v>4</v>
      </c>
      <c r="BV35">
        <v>5</v>
      </c>
      <c r="BW35">
        <v>4</v>
      </c>
      <c r="BX35">
        <v>4</v>
      </c>
      <c r="BY35">
        <v>4</v>
      </c>
      <c r="BZ35" t="s">
        <v>450</v>
      </c>
      <c r="CA35" t="s">
        <v>370</v>
      </c>
      <c r="CB35" t="s">
        <v>456</v>
      </c>
      <c r="CC35" t="s">
        <v>457</v>
      </c>
      <c r="CD35" t="s">
        <v>458</v>
      </c>
      <c r="CE35" s="2">
        <v>46037</v>
      </c>
      <c r="CF35" s="2">
        <v>46218</v>
      </c>
      <c r="CH35" t="s">
        <v>459</v>
      </c>
      <c r="CJ35" t="s">
        <v>464</v>
      </c>
      <c r="CK35" t="s">
        <v>476</v>
      </c>
      <c r="CL35" t="s">
        <v>511</v>
      </c>
      <c r="CM35" t="s">
        <v>358</v>
      </c>
      <c r="CN35" t="s">
        <v>555</v>
      </c>
      <c r="CO35" t="s">
        <v>148</v>
      </c>
      <c r="CP35" s="2">
        <v>45766</v>
      </c>
      <c r="CQ35" s="2">
        <v>46496</v>
      </c>
      <c r="CR35" t="s">
        <v>560</v>
      </c>
      <c r="CS35" t="s">
        <v>389</v>
      </c>
      <c r="CT35" s="2">
        <v>45766</v>
      </c>
      <c r="CU35" t="s">
        <v>572</v>
      </c>
      <c r="CV35" t="s">
        <v>401</v>
      </c>
      <c r="CW35" t="s">
        <v>582</v>
      </c>
      <c r="CX35" t="s">
        <v>358</v>
      </c>
      <c r="CY35" t="s">
        <v>585</v>
      </c>
      <c r="DA35" t="s">
        <v>588</v>
      </c>
      <c r="DB35" t="s">
        <v>587</v>
      </c>
      <c r="DC35" t="s">
        <v>587</v>
      </c>
      <c r="DD35" t="s">
        <v>587</v>
      </c>
      <c r="DE35" t="s">
        <v>588</v>
      </c>
      <c r="DF35" t="s">
        <v>587</v>
      </c>
      <c r="DG35" t="s">
        <v>590</v>
      </c>
      <c r="DH35" t="s">
        <v>592</v>
      </c>
      <c r="DI35" t="s">
        <v>594</v>
      </c>
      <c r="DJ35" t="s">
        <v>587</v>
      </c>
      <c r="DK35" t="s">
        <v>587</v>
      </c>
      <c r="DL35" t="s">
        <v>587</v>
      </c>
      <c r="DM35" t="s">
        <v>587</v>
      </c>
      <c r="DN35" t="s">
        <v>595</v>
      </c>
      <c r="DO35" t="s">
        <v>596</v>
      </c>
      <c r="DP35" t="s">
        <v>596</v>
      </c>
      <c r="DQ35" t="s">
        <v>450</v>
      </c>
      <c r="DR35" t="s">
        <v>597</v>
      </c>
      <c r="DS35" t="s">
        <v>598</v>
      </c>
      <c r="DT35" t="s">
        <v>599</v>
      </c>
      <c r="DU35" t="s">
        <v>600</v>
      </c>
      <c r="DV35" s="2">
        <v>45392</v>
      </c>
      <c r="DW35" s="2">
        <v>45394</v>
      </c>
      <c r="DX35" t="s">
        <v>601</v>
      </c>
      <c r="DY35" s="2">
        <v>45397</v>
      </c>
      <c r="DZ35" t="s">
        <v>602</v>
      </c>
      <c r="EA35" t="s">
        <v>415</v>
      </c>
      <c r="EB35" s="2">
        <v>45413</v>
      </c>
    </row>
    <row r="36" spans="1:132">
      <c r="A36" t="s">
        <v>136</v>
      </c>
      <c r="B36" t="s">
        <v>148</v>
      </c>
      <c r="C36" t="s">
        <v>160</v>
      </c>
      <c r="D36" t="s">
        <v>172</v>
      </c>
      <c r="E36" t="s">
        <v>184</v>
      </c>
      <c r="F36" t="s">
        <v>193</v>
      </c>
      <c r="G36">
        <v>000000105</v>
      </c>
      <c r="H36">
        <v>999900206</v>
      </c>
      <c r="I36" t="s">
        <v>203</v>
      </c>
      <c r="J36" t="s">
        <v>205</v>
      </c>
      <c r="K36" t="s">
        <v>240</v>
      </c>
      <c r="L36" s="2">
        <v>46577</v>
      </c>
      <c r="M36" s="2">
        <v>46496</v>
      </c>
      <c r="N36" s="2">
        <v>46478</v>
      </c>
      <c r="P36" t="s">
        <v>295</v>
      </c>
      <c r="Q36" t="s">
        <v>299</v>
      </c>
      <c r="R36" t="s">
        <v>302</v>
      </c>
      <c r="S36">
        <v>193</v>
      </c>
      <c r="T36" t="s">
        <v>310</v>
      </c>
      <c r="U36" s="2">
        <v>24108</v>
      </c>
      <c r="V36" t="s">
        <v>316</v>
      </c>
      <c r="W36" t="s">
        <v>326</v>
      </c>
      <c r="X36" t="s">
        <v>332</v>
      </c>
      <c r="Y36" t="s">
        <v>344</v>
      </c>
      <c r="Z36" t="s">
        <v>355</v>
      </c>
      <c r="AA36" t="s">
        <v>358</v>
      </c>
      <c r="AB36">
        <v>43215</v>
      </c>
      <c r="AC36" t="s">
        <v>358</v>
      </c>
      <c r="AD36" t="s">
        <v>362</v>
      </c>
      <c r="AE36" s="2">
        <v>44755</v>
      </c>
      <c r="AF36" t="s">
        <v>367</v>
      </c>
      <c r="AG36" t="s">
        <v>370</v>
      </c>
      <c r="AH36" s="2">
        <v>45766</v>
      </c>
      <c r="AI36" t="s">
        <v>377</v>
      </c>
      <c r="AJ36" t="s">
        <v>389</v>
      </c>
      <c r="AK36" t="s">
        <v>401</v>
      </c>
      <c r="AL36" t="s">
        <v>370</v>
      </c>
      <c r="AM36" t="s">
        <v>409</v>
      </c>
      <c r="AN36" s="2">
        <v>46448</v>
      </c>
      <c r="AO36">
        <v>1</v>
      </c>
      <c r="AP36">
        <v>0</v>
      </c>
      <c r="AQ36" t="s">
        <v>370</v>
      </c>
      <c r="AR36" t="s">
        <v>410</v>
      </c>
      <c r="AS36" s="2">
        <v>45509</v>
      </c>
      <c r="AT36" t="s">
        <v>412</v>
      </c>
      <c r="AU36" t="s">
        <v>413</v>
      </c>
      <c r="AX36" s="2">
        <v>45509</v>
      </c>
      <c r="AY36" t="s">
        <v>414</v>
      </c>
      <c r="AZ36" t="s">
        <v>415</v>
      </c>
      <c r="BB36" t="s">
        <v>416</v>
      </c>
      <c r="BC36" t="s">
        <v>417</v>
      </c>
      <c r="BD36" t="s">
        <v>184</v>
      </c>
      <c r="BF36" s="2">
        <v>45509</v>
      </c>
      <c r="BG36" t="s">
        <v>418</v>
      </c>
      <c r="BH36" t="s">
        <v>419</v>
      </c>
      <c r="BI36" t="s">
        <v>421</v>
      </c>
      <c r="BJ36" s="2">
        <v>45509</v>
      </c>
      <c r="BK36" t="s">
        <v>422</v>
      </c>
      <c r="BL36" s="2">
        <v>45502</v>
      </c>
      <c r="BM36" t="s">
        <v>427</v>
      </c>
      <c r="BN36" t="s">
        <v>436</v>
      </c>
      <c r="BO36" t="s">
        <v>439</v>
      </c>
      <c r="BP36" t="s">
        <v>447</v>
      </c>
      <c r="BQ36">
        <v>5</v>
      </c>
      <c r="BR36">
        <v>4</v>
      </c>
      <c r="BS36">
        <v>4</v>
      </c>
      <c r="BT36">
        <v>4</v>
      </c>
      <c r="BU36">
        <v>4</v>
      </c>
      <c r="BV36">
        <v>5</v>
      </c>
      <c r="BW36">
        <v>4</v>
      </c>
      <c r="BX36">
        <v>4</v>
      </c>
      <c r="BY36">
        <v>4</v>
      </c>
      <c r="BZ36" t="s">
        <v>450</v>
      </c>
      <c r="CA36" t="s">
        <v>370</v>
      </c>
      <c r="CB36" t="s">
        <v>456</v>
      </c>
      <c r="CC36" t="s">
        <v>457</v>
      </c>
      <c r="CD36" t="s">
        <v>458</v>
      </c>
      <c r="CE36" s="2">
        <v>46037</v>
      </c>
      <c r="CF36" s="2">
        <v>46218</v>
      </c>
      <c r="CH36" t="s">
        <v>459</v>
      </c>
      <c r="CJ36" t="s">
        <v>464</v>
      </c>
      <c r="CK36" t="s">
        <v>476</v>
      </c>
      <c r="CL36" t="s">
        <v>512</v>
      </c>
      <c r="CM36" t="s">
        <v>358</v>
      </c>
      <c r="CN36" t="s">
        <v>555</v>
      </c>
      <c r="CO36" t="s">
        <v>148</v>
      </c>
      <c r="CP36" s="2">
        <v>45766</v>
      </c>
      <c r="CQ36" s="2">
        <v>46496</v>
      </c>
      <c r="CR36" t="s">
        <v>560</v>
      </c>
      <c r="CS36" t="s">
        <v>389</v>
      </c>
      <c r="CT36" s="2">
        <v>45766</v>
      </c>
      <c r="CU36" t="s">
        <v>572</v>
      </c>
      <c r="CV36" t="s">
        <v>401</v>
      </c>
      <c r="CW36" t="s">
        <v>582</v>
      </c>
      <c r="CX36" t="s">
        <v>358</v>
      </c>
      <c r="CY36" t="s">
        <v>585</v>
      </c>
      <c r="DA36" t="s">
        <v>588</v>
      </c>
      <c r="DB36" t="s">
        <v>587</v>
      </c>
      <c r="DC36" t="s">
        <v>587</v>
      </c>
      <c r="DD36" t="s">
        <v>587</v>
      </c>
      <c r="DE36" t="s">
        <v>588</v>
      </c>
      <c r="DF36" t="s">
        <v>587</v>
      </c>
      <c r="DG36" t="s">
        <v>590</v>
      </c>
      <c r="DH36" t="s">
        <v>592</v>
      </c>
      <c r="DI36" t="s">
        <v>594</v>
      </c>
      <c r="DJ36" t="s">
        <v>587</v>
      </c>
      <c r="DK36" t="s">
        <v>587</v>
      </c>
      <c r="DL36" t="s">
        <v>587</v>
      </c>
      <c r="DM36" t="s">
        <v>587</v>
      </c>
      <c r="DN36" t="s">
        <v>595</v>
      </c>
      <c r="DO36" t="s">
        <v>596</v>
      </c>
      <c r="DP36" t="s">
        <v>596</v>
      </c>
      <c r="DQ36" t="s">
        <v>450</v>
      </c>
      <c r="DR36" t="s">
        <v>597</v>
      </c>
      <c r="DS36" t="s">
        <v>598</v>
      </c>
      <c r="DT36" t="s">
        <v>599</v>
      </c>
      <c r="DU36" t="s">
        <v>600</v>
      </c>
      <c r="DV36" s="2">
        <v>45392</v>
      </c>
      <c r="DW36" s="2">
        <v>45394</v>
      </c>
      <c r="DX36" t="s">
        <v>601</v>
      </c>
      <c r="DY36" s="2">
        <v>45397</v>
      </c>
      <c r="DZ36" t="s">
        <v>602</v>
      </c>
      <c r="EA36" t="s">
        <v>415</v>
      </c>
      <c r="EB36" s="2">
        <v>45413</v>
      </c>
    </row>
    <row r="37" spans="1:132">
      <c r="A37" t="s">
        <v>137</v>
      </c>
      <c r="B37" t="s">
        <v>149</v>
      </c>
      <c r="C37" t="s">
        <v>161</v>
      </c>
      <c r="D37" t="s">
        <v>173</v>
      </c>
      <c r="E37" t="s">
        <v>185</v>
      </c>
      <c r="F37" t="s">
        <v>193</v>
      </c>
      <c r="G37">
        <v>000000112</v>
      </c>
      <c r="H37">
        <v>999900207</v>
      </c>
      <c r="I37" t="s">
        <v>197</v>
      </c>
      <c r="J37" t="s">
        <v>205</v>
      </c>
      <c r="K37" t="s">
        <v>241</v>
      </c>
      <c r="L37" s="2">
        <v>45826</v>
      </c>
      <c r="M37" s="2">
        <v>46394</v>
      </c>
      <c r="N37" s="2">
        <v>46455</v>
      </c>
      <c r="P37" t="s">
        <v>297</v>
      </c>
      <c r="Q37" t="s">
        <v>296</v>
      </c>
      <c r="R37" t="s">
        <v>306</v>
      </c>
      <c r="S37">
        <v>238</v>
      </c>
      <c r="T37" t="s">
        <v>310</v>
      </c>
      <c r="U37" s="2">
        <v>25569</v>
      </c>
      <c r="V37" t="s">
        <v>317</v>
      </c>
      <c r="W37" t="s">
        <v>326</v>
      </c>
      <c r="X37" t="s">
        <v>333</v>
      </c>
      <c r="Y37" t="s">
        <v>345</v>
      </c>
      <c r="Z37" t="s">
        <v>356</v>
      </c>
      <c r="AA37" t="s">
        <v>361</v>
      </c>
      <c r="AB37">
        <v>75202</v>
      </c>
      <c r="AC37" t="s">
        <v>361</v>
      </c>
      <c r="AD37" t="s">
        <v>362</v>
      </c>
      <c r="AE37" s="2">
        <v>44004</v>
      </c>
      <c r="AF37" t="s">
        <v>368</v>
      </c>
      <c r="AH37" s="2">
        <v>45664</v>
      </c>
      <c r="AI37" t="s">
        <v>378</v>
      </c>
      <c r="AJ37" t="s">
        <v>390</v>
      </c>
      <c r="AK37" t="s">
        <v>402</v>
      </c>
      <c r="AM37" t="s">
        <v>409</v>
      </c>
      <c r="AN37" s="2">
        <v>46425</v>
      </c>
      <c r="AO37">
        <v>2</v>
      </c>
      <c r="AP37">
        <v>1</v>
      </c>
      <c r="AR37" t="s">
        <v>411</v>
      </c>
      <c r="AS37" s="2">
        <v>45544</v>
      </c>
      <c r="AT37" t="s">
        <v>412</v>
      </c>
      <c r="AU37" t="s">
        <v>413</v>
      </c>
      <c r="AX37" s="2">
        <v>45544</v>
      </c>
      <c r="AY37" t="s">
        <v>414</v>
      </c>
      <c r="AZ37" t="s">
        <v>415</v>
      </c>
      <c r="BB37" t="s">
        <v>416</v>
      </c>
      <c r="BC37" t="s">
        <v>417</v>
      </c>
      <c r="BD37" t="s">
        <v>185</v>
      </c>
      <c r="BF37" s="2">
        <v>45544</v>
      </c>
      <c r="BG37" t="s">
        <v>418</v>
      </c>
      <c r="BH37" t="s">
        <v>419</v>
      </c>
      <c r="BI37" t="s">
        <v>421</v>
      </c>
      <c r="BJ37" s="2">
        <v>45544</v>
      </c>
      <c r="BK37" t="s">
        <v>422</v>
      </c>
      <c r="BL37" s="2">
        <v>45537</v>
      </c>
      <c r="BM37" t="s">
        <v>428</v>
      </c>
      <c r="BN37" t="s">
        <v>435</v>
      </c>
      <c r="BO37" t="s">
        <v>440</v>
      </c>
      <c r="BP37" t="s">
        <v>448</v>
      </c>
      <c r="BQ37">
        <v>4</v>
      </c>
      <c r="BR37">
        <v>4</v>
      </c>
      <c r="BS37">
        <v>3</v>
      </c>
      <c r="BT37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 t="s">
        <v>450</v>
      </c>
      <c r="CA37" t="s">
        <v>453</v>
      </c>
      <c r="CB37" t="s">
        <v>456</v>
      </c>
      <c r="CC37" t="s">
        <v>457</v>
      </c>
      <c r="CD37" t="s">
        <v>458</v>
      </c>
      <c r="CE37" s="2">
        <v>46037</v>
      </c>
      <c r="CF37" s="2">
        <v>46218</v>
      </c>
      <c r="CH37" t="s">
        <v>459</v>
      </c>
      <c r="CJ37" t="s">
        <v>465</v>
      </c>
      <c r="CK37" t="s">
        <v>477</v>
      </c>
      <c r="CL37" t="s">
        <v>241</v>
      </c>
      <c r="CM37" t="s">
        <v>361</v>
      </c>
      <c r="CN37" t="s">
        <v>555</v>
      </c>
      <c r="CO37" t="s">
        <v>149</v>
      </c>
      <c r="CP37" s="2">
        <v>45664</v>
      </c>
      <c r="CQ37" s="2">
        <v>46394</v>
      </c>
      <c r="CR37" t="s">
        <v>561</v>
      </c>
      <c r="CS37" t="s">
        <v>390</v>
      </c>
      <c r="CT37" s="2">
        <v>45664</v>
      </c>
      <c r="CU37" t="s">
        <v>573</v>
      </c>
      <c r="CV37" t="s">
        <v>402</v>
      </c>
      <c r="CW37" t="s">
        <v>583</v>
      </c>
      <c r="CX37" t="s">
        <v>361</v>
      </c>
      <c r="CY37" t="s">
        <v>585</v>
      </c>
      <c r="DA37" t="s">
        <v>587</v>
      </c>
      <c r="DB37" t="s">
        <v>587</v>
      </c>
      <c r="DC37" t="s">
        <v>587</v>
      </c>
      <c r="DD37" t="s">
        <v>587</v>
      </c>
      <c r="DE37" t="s">
        <v>587</v>
      </c>
      <c r="DF37" t="s">
        <v>587</v>
      </c>
      <c r="DG37" t="s">
        <v>590</v>
      </c>
      <c r="DH37" t="s">
        <v>592</v>
      </c>
      <c r="DI37" t="s">
        <v>594</v>
      </c>
      <c r="DJ37" t="s">
        <v>587</v>
      </c>
      <c r="DK37" t="s">
        <v>587</v>
      </c>
      <c r="DL37" t="s">
        <v>587</v>
      </c>
      <c r="DM37" t="s">
        <v>587</v>
      </c>
      <c r="DN37" t="s">
        <v>595</v>
      </c>
      <c r="DO37" t="s">
        <v>596</v>
      </c>
      <c r="DP37" t="s">
        <v>596</v>
      </c>
      <c r="DQ37" t="s">
        <v>450</v>
      </c>
      <c r="DR37" t="s">
        <v>597</v>
      </c>
      <c r="DS37" t="s">
        <v>598</v>
      </c>
      <c r="DT37" t="s">
        <v>599</v>
      </c>
      <c r="DU37" t="s">
        <v>600</v>
      </c>
      <c r="DV37" s="2">
        <v>45392</v>
      </c>
      <c r="DW37" s="2">
        <v>45394</v>
      </c>
      <c r="DX37" t="s">
        <v>601</v>
      </c>
      <c r="DY37" s="2">
        <v>45397</v>
      </c>
      <c r="DZ37" t="s">
        <v>602</v>
      </c>
      <c r="EA37" t="s">
        <v>415</v>
      </c>
      <c r="EB37" s="2">
        <v>45413</v>
      </c>
    </row>
    <row r="38" spans="1:132">
      <c r="A38" t="s">
        <v>137</v>
      </c>
      <c r="B38" t="s">
        <v>149</v>
      </c>
      <c r="C38" t="s">
        <v>161</v>
      </c>
      <c r="D38" t="s">
        <v>173</v>
      </c>
      <c r="E38" t="s">
        <v>185</v>
      </c>
      <c r="F38" t="s">
        <v>193</v>
      </c>
      <c r="G38">
        <v>000000112</v>
      </c>
      <c r="H38">
        <v>999900207</v>
      </c>
      <c r="I38" t="s">
        <v>198</v>
      </c>
      <c r="J38" t="s">
        <v>205</v>
      </c>
      <c r="K38" t="s">
        <v>242</v>
      </c>
      <c r="L38" s="2">
        <v>45826</v>
      </c>
      <c r="M38" s="2">
        <v>46394</v>
      </c>
      <c r="N38" s="2">
        <v>46455</v>
      </c>
      <c r="P38" t="s">
        <v>297</v>
      </c>
      <c r="Q38" t="s">
        <v>296</v>
      </c>
      <c r="R38" t="s">
        <v>306</v>
      </c>
      <c r="S38">
        <v>238</v>
      </c>
      <c r="T38" t="s">
        <v>310</v>
      </c>
      <c r="U38" s="2">
        <v>25569</v>
      </c>
      <c r="V38" t="s">
        <v>317</v>
      </c>
      <c r="W38" t="s">
        <v>326</v>
      </c>
      <c r="X38" t="s">
        <v>333</v>
      </c>
      <c r="Y38" t="s">
        <v>345</v>
      </c>
      <c r="Z38" t="s">
        <v>356</v>
      </c>
      <c r="AA38" t="s">
        <v>361</v>
      </c>
      <c r="AB38">
        <v>75202</v>
      </c>
      <c r="AC38" t="s">
        <v>361</v>
      </c>
      <c r="AD38" t="s">
        <v>362</v>
      </c>
      <c r="AE38" s="2">
        <v>44004</v>
      </c>
      <c r="AF38" t="s">
        <v>368</v>
      </c>
      <c r="AH38" s="2">
        <v>45664</v>
      </c>
      <c r="AI38" t="s">
        <v>378</v>
      </c>
      <c r="AJ38" t="s">
        <v>390</v>
      </c>
      <c r="AK38" t="s">
        <v>402</v>
      </c>
      <c r="AM38" t="s">
        <v>409</v>
      </c>
      <c r="AN38" s="2">
        <v>46425</v>
      </c>
      <c r="AO38">
        <v>2</v>
      </c>
      <c r="AP38">
        <v>1</v>
      </c>
      <c r="AR38" t="s">
        <v>411</v>
      </c>
      <c r="AS38" s="2">
        <v>45544</v>
      </c>
      <c r="AT38" t="s">
        <v>412</v>
      </c>
      <c r="AU38" t="s">
        <v>413</v>
      </c>
      <c r="AX38" s="2">
        <v>45544</v>
      </c>
      <c r="AY38" t="s">
        <v>414</v>
      </c>
      <c r="AZ38" t="s">
        <v>415</v>
      </c>
      <c r="BB38" t="s">
        <v>416</v>
      </c>
      <c r="BC38" t="s">
        <v>417</v>
      </c>
      <c r="BD38" t="s">
        <v>185</v>
      </c>
      <c r="BF38" s="2">
        <v>45544</v>
      </c>
      <c r="BG38" t="s">
        <v>418</v>
      </c>
      <c r="BH38" t="s">
        <v>419</v>
      </c>
      <c r="BI38" t="s">
        <v>421</v>
      </c>
      <c r="BJ38" s="2">
        <v>45544</v>
      </c>
      <c r="BK38" t="s">
        <v>422</v>
      </c>
      <c r="BL38" s="2">
        <v>45537</v>
      </c>
      <c r="BM38" t="s">
        <v>428</v>
      </c>
      <c r="BN38" t="s">
        <v>435</v>
      </c>
      <c r="BO38" t="s">
        <v>440</v>
      </c>
      <c r="BP38" t="s">
        <v>448</v>
      </c>
      <c r="BQ38">
        <v>4</v>
      </c>
      <c r="BR38">
        <v>4</v>
      </c>
      <c r="BS38">
        <v>3</v>
      </c>
      <c r="BT38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 t="s">
        <v>450</v>
      </c>
      <c r="CA38" t="s">
        <v>453</v>
      </c>
      <c r="CB38" t="s">
        <v>456</v>
      </c>
      <c r="CC38" t="s">
        <v>457</v>
      </c>
      <c r="CD38" t="s">
        <v>458</v>
      </c>
      <c r="CE38" s="2">
        <v>46037</v>
      </c>
      <c r="CF38" s="2">
        <v>46218</v>
      </c>
      <c r="CH38" t="s">
        <v>459</v>
      </c>
      <c r="CJ38" t="s">
        <v>465</v>
      </c>
      <c r="CK38" t="s">
        <v>477</v>
      </c>
      <c r="CL38" t="s">
        <v>513</v>
      </c>
      <c r="CM38" t="s">
        <v>361</v>
      </c>
      <c r="CN38" t="s">
        <v>555</v>
      </c>
      <c r="CO38" t="s">
        <v>149</v>
      </c>
      <c r="CP38" s="2">
        <v>45664</v>
      </c>
      <c r="CQ38" s="2">
        <v>46394</v>
      </c>
      <c r="CR38" t="s">
        <v>561</v>
      </c>
      <c r="CS38" t="s">
        <v>390</v>
      </c>
      <c r="CT38" s="2">
        <v>45664</v>
      </c>
      <c r="CU38" t="s">
        <v>573</v>
      </c>
      <c r="CV38" t="s">
        <v>402</v>
      </c>
      <c r="CW38" t="s">
        <v>583</v>
      </c>
      <c r="CX38" t="s">
        <v>361</v>
      </c>
      <c r="CY38" t="s">
        <v>585</v>
      </c>
      <c r="DA38" t="s">
        <v>587</v>
      </c>
      <c r="DB38" t="s">
        <v>587</v>
      </c>
      <c r="DC38" t="s">
        <v>587</v>
      </c>
      <c r="DD38" t="s">
        <v>587</v>
      </c>
      <c r="DE38" t="s">
        <v>587</v>
      </c>
      <c r="DF38" t="s">
        <v>587</v>
      </c>
      <c r="DG38" t="s">
        <v>590</v>
      </c>
      <c r="DH38" t="s">
        <v>592</v>
      </c>
      <c r="DI38" t="s">
        <v>594</v>
      </c>
      <c r="DJ38" t="s">
        <v>587</v>
      </c>
      <c r="DK38" t="s">
        <v>587</v>
      </c>
      <c r="DL38" t="s">
        <v>587</v>
      </c>
      <c r="DM38" t="s">
        <v>587</v>
      </c>
      <c r="DN38" t="s">
        <v>595</v>
      </c>
      <c r="DO38" t="s">
        <v>596</v>
      </c>
      <c r="DP38" t="s">
        <v>596</v>
      </c>
      <c r="DQ38" t="s">
        <v>450</v>
      </c>
      <c r="DR38" t="s">
        <v>597</v>
      </c>
      <c r="DS38" t="s">
        <v>598</v>
      </c>
      <c r="DT38" t="s">
        <v>599</v>
      </c>
      <c r="DU38" t="s">
        <v>600</v>
      </c>
      <c r="DV38" s="2">
        <v>45392</v>
      </c>
      <c r="DW38" s="2">
        <v>45394</v>
      </c>
      <c r="DX38" t="s">
        <v>601</v>
      </c>
      <c r="DY38" s="2">
        <v>45397</v>
      </c>
      <c r="DZ38" t="s">
        <v>602</v>
      </c>
      <c r="EA38" t="s">
        <v>415</v>
      </c>
      <c r="EB38" s="2">
        <v>45413</v>
      </c>
    </row>
    <row r="39" spans="1:132">
      <c r="A39" t="s">
        <v>137</v>
      </c>
      <c r="B39" t="s">
        <v>149</v>
      </c>
      <c r="C39" t="s">
        <v>161</v>
      </c>
      <c r="D39" t="s">
        <v>173</v>
      </c>
      <c r="E39" t="s">
        <v>185</v>
      </c>
      <c r="F39" t="s">
        <v>193</v>
      </c>
      <c r="G39">
        <v>000000112</v>
      </c>
      <c r="H39">
        <v>999900207</v>
      </c>
      <c r="I39" t="s">
        <v>199</v>
      </c>
      <c r="J39" t="s">
        <v>205</v>
      </c>
      <c r="K39" t="s">
        <v>243</v>
      </c>
      <c r="L39" s="2">
        <v>45826</v>
      </c>
      <c r="M39" s="2">
        <v>46394</v>
      </c>
      <c r="N39" s="2">
        <v>46455</v>
      </c>
      <c r="P39" t="s">
        <v>297</v>
      </c>
      <c r="Q39" t="s">
        <v>296</v>
      </c>
      <c r="R39" t="s">
        <v>306</v>
      </c>
      <c r="S39">
        <v>238</v>
      </c>
      <c r="T39" t="s">
        <v>310</v>
      </c>
      <c r="U39" s="2">
        <v>25569</v>
      </c>
      <c r="V39" t="s">
        <v>317</v>
      </c>
      <c r="W39" t="s">
        <v>326</v>
      </c>
      <c r="X39" t="s">
        <v>333</v>
      </c>
      <c r="Y39" t="s">
        <v>345</v>
      </c>
      <c r="Z39" t="s">
        <v>356</v>
      </c>
      <c r="AA39" t="s">
        <v>361</v>
      </c>
      <c r="AB39">
        <v>75202</v>
      </c>
      <c r="AC39" t="s">
        <v>361</v>
      </c>
      <c r="AD39" t="s">
        <v>362</v>
      </c>
      <c r="AE39" s="2">
        <v>44004</v>
      </c>
      <c r="AF39" t="s">
        <v>368</v>
      </c>
      <c r="AH39" s="2">
        <v>45664</v>
      </c>
      <c r="AI39" t="s">
        <v>378</v>
      </c>
      <c r="AJ39" t="s">
        <v>390</v>
      </c>
      <c r="AK39" t="s">
        <v>402</v>
      </c>
      <c r="AM39" t="s">
        <v>409</v>
      </c>
      <c r="AN39" s="2">
        <v>46425</v>
      </c>
      <c r="AO39">
        <v>2</v>
      </c>
      <c r="AP39">
        <v>1</v>
      </c>
      <c r="AR39" t="s">
        <v>411</v>
      </c>
      <c r="AS39" s="2">
        <v>45544</v>
      </c>
      <c r="AT39" t="s">
        <v>412</v>
      </c>
      <c r="AU39" t="s">
        <v>413</v>
      </c>
      <c r="AX39" s="2">
        <v>45544</v>
      </c>
      <c r="AY39" t="s">
        <v>414</v>
      </c>
      <c r="AZ39" t="s">
        <v>415</v>
      </c>
      <c r="BB39" t="s">
        <v>416</v>
      </c>
      <c r="BC39" t="s">
        <v>417</v>
      </c>
      <c r="BD39" t="s">
        <v>185</v>
      </c>
      <c r="BF39" s="2">
        <v>45544</v>
      </c>
      <c r="BG39" t="s">
        <v>418</v>
      </c>
      <c r="BH39" t="s">
        <v>419</v>
      </c>
      <c r="BI39" t="s">
        <v>421</v>
      </c>
      <c r="BJ39" s="2">
        <v>45544</v>
      </c>
      <c r="BK39" t="s">
        <v>422</v>
      </c>
      <c r="BL39" s="2">
        <v>45537</v>
      </c>
      <c r="BM39" t="s">
        <v>428</v>
      </c>
      <c r="BN39" t="s">
        <v>435</v>
      </c>
      <c r="BO39" t="s">
        <v>440</v>
      </c>
      <c r="BP39" t="s">
        <v>448</v>
      </c>
      <c r="BQ39">
        <v>4</v>
      </c>
      <c r="BR39">
        <v>4</v>
      </c>
      <c r="BS39">
        <v>3</v>
      </c>
      <c r="BT39">
        <v>4</v>
      </c>
      <c r="BU39">
        <v>4</v>
      </c>
      <c r="BV39">
        <v>4</v>
      </c>
      <c r="BW39">
        <v>4</v>
      </c>
      <c r="BX39">
        <v>4</v>
      </c>
      <c r="BY39">
        <v>4</v>
      </c>
      <c r="BZ39" t="s">
        <v>450</v>
      </c>
      <c r="CA39" t="s">
        <v>453</v>
      </c>
      <c r="CB39" t="s">
        <v>456</v>
      </c>
      <c r="CC39" t="s">
        <v>457</v>
      </c>
      <c r="CD39" t="s">
        <v>458</v>
      </c>
      <c r="CE39" s="2">
        <v>46037</v>
      </c>
      <c r="CF39" s="2">
        <v>46218</v>
      </c>
      <c r="CH39" t="s">
        <v>459</v>
      </c>
      <c r="CJ39" t="s">
        <v>465</v>
      </c>
      <c r="CK39" t="s">
        <v>477</v>
      </c>
      <c r="CL39" t="s">
        <v>514</v>
      </c>
      <c r="CM39" t="s">
        <v>361</v>
      </c>
      <c r="CN39" t="s">
        <v>555</v>
      </c>
      <c r="CO39" t="s">
        <v>149</v>
      </c>
      <c r="CP39" s="2">
        <v>45664</v>
      </c>
      <c r="CQ39" s="2">
        <v>46394</v>
      </c>
      <c r="CR39" t="s">
        <v>561</v>
      </c>
      <c r="CS39" t="s">
        <v>390</v>
      </c>
      <c r="CT39" s="2">
        <v>45664</v>
      </c>
      <c r="CU39" t="s">
        <v>573</v>
      </c>
      <c r="CV39" t="s">
        <v>402</v>
      </c>
      <c r="CW39" t="s">
        <v>583</v>
      </c>
      <c r="CX39" t="s">
        <v>361</v>
      </c>
      <c r="CY39" t="s">
        <v>585</v>
      </c>
      <c r="DA39" t="s">
        <v>587</v>
      </c>
      <c r="DB39" t="s">
        <v>587</v>
      </c>
      <c r="DC39" t="s">
        <v>587</v>
      </c>
      <c r="DD39" t="s">
        <v>587</v>
      </c>
      <c r="DE39" t="s">
        <v>587</v>
      </c>
      <c r="DF39" t="s">
        <v>587</v>
      </c>
      <c r="DG39" t="s">
        <v>590</v>
      </c>
      <c r="DH39" t="s">
        <v>592</v>
      </c>
      <c r="DI39" t="s">
        <v>594</v>
      </c>
      <c r="DJ39" t="s">
        <v>587</v>
      </c>
      <c r="DK39" t="s">
        <v>587</v>
      </c>
      <c r="DL39" t="s">
        <v>587</v>
      </c>
      <c r="DM39" t="s">
        <v>587</v>
      </c>
      <c r="DN39" t="s">
        <v>595</v>
      </c>
      <c r="DO39" t="s">
        <v>596</v>
      </c>
      <c r="DP39" t="s">
        <v>596</v>
      </c>
      <c r="DQ39" t="s">
        <v>450</v>
      </c>
      <c r="DR39" t="s">
        <v>597</v>
      </c>
      <c r="DS39" t="s">
        <v>598</v>
      </c>
      <c r="DT39" t="s">
        <v>599</v>
      </c>
      <c r="DU39" t="s">
        <v>600</v>
      </c>
      <c r="DV39" s="2">
        <v>45392</v>
      </c>
      <c r="DW39" s="2">
        <v>45394</v>
      </c>
      <c r="DX39" t="s">
        <v>601</v>
      </c>
      <c r="DY39" s="2">
        <v>45397</v>
      </c>
      <c r="DZ39" t="s">
        <v>602</v>
      </c>
      <c r="EA39" t="s">
        <v>415</v>
      </c>
      <c r="EB39" s="2">
        <v>45413</v>
      </c>
    </row>
    <row r="40" spans="1:132">
      <c r="A40" t="s">
        <v>137</v>
      </c>
      <c r="B40" t="s">
        <v>149</v>
      </c>
      <c r="C40" t="s">
        <v>161</v>
      </c>
      <c r="D40" t="s">
        <v>173</v>
      </c>
      <c r="E40" t="s">
        <v>185</v>
      </c>
      <c r="F40" t="s">
        <v>193</v>
      </c>
      <c r="G40">
        <v>000000112</v>
      </c>
      <c r="H40">
        <v>999900207</v>
      </c>
      <c r="I40" t="s">
        <v>200</v>
      </c>
      <c r="J40" t="s">
        <v>205</v>
      </c>
      <c r="K40" t="s">
        <v>244</v>
      </c>
      <c r="L40" s="2">
        <v>45826</v>
      </c>
      <c r="M40" s="2">
        <v>46394</v>
      </c>
      <c r="N40" s="2">
        <v>46455</v>
      </c>
      <c r="P40" t="s">
        <v>297</v>
      </c>
      <c r="Q40" t="s">
        <v>296</v>
      </c>
      <c r="R40" t="s">
        <v>306</v>
      </c>
      <c r="S40">
        <v>238</v>
      </c>
      <c r="T40" t="s">
        <v>310</v>
      </c>
      <c r="U40" s="2">
        <v>25569</v>
      </c>
      <c r="V40" t="s">
        <v>317</v>
      </c>
      <c r="W40" t="s">
        <v>326</v>
      </c>
      <c r="X40" t="s">
        <v>333</v>
      </c>
      <c r="Y40" t="s">
        <v>345</v>
      </c>
      <c r="Z40" t="s">
        <v>356</v>
      </c>
      <c r="AA40" t="s">
        <v>361</v>
      </c>
      <c r="AB40">
        <v>75202</v>
      </c>
      <c r="AC40" t="s">
        <v>361</v>
      </c>
      <c r="AD40" t="s">
        <v>362</v>
      </c>
      <c r="AE40" s="2">
        <v>44004</v>
      </c>
      <c r="AF40" t="s">
        <v>368</v>
      </c>
      <c r="AH40" s="2">
        <v>45664</v>
      </c>
      <c r="AI40" t="s">
        <v>378</v>
      </c>
      <c r="AJ40" t="s">
        <v>390</v>
      </c>
      <c r="AK40" t="s">
        <v>402</v>
      </c>
      <c r="AM40" t="s">
        <v>409</v>
      </c>
      <c r="AN40" s="2">
        <v>46425</v>
      </c>
      <c r="AO40">
        <v>2</v>
      </c>
      <c r="AP40">
        <v>1</v>
      </c>
      <c r="AR40" t="s">
        <v>411</v>
      </c>
      <c r="AS40" s="2">
        <v>45544</v>
      </c>
      <c r="AT40" t="s">
        <v>412</v>
      </c>
      <c r="AU40" t="s">
        <v>413</v>
      </c>
      <c r="AX40" s="2">
        <v>45544</v>
      </c>
      <c r="AY40" t="s">
        <v>414</v>
      </c>
      <c r="AZ40" t="s">
        <v>415</v>
      </c>
      <c r="BB40" t="s">
        <v>416</v>
      </c>
      <c r="BC40" t="s">
        <v>417</v>
      </c>
      <c r="BD40" t="s">
        <v>185</v>
      </c>
      <c r="BF40" s="2">
        <v>45544</v>
      </c>
      <c r="BG40" t="s">
        <v>418</v>
      </c>
      <c r="BH40" t="s">
        <v>419</v>
      </c>
      <c r="BI40" t="s">
        <v>421</v>
      </c>
      <c r="BJ40" s="2">
        <v>45544</v>
      </c>
      <c r="BK40" t="s">
        <v>422</v>
      </c>
      <c r="BL40" s="2">
        <v>45537</v>
      </c>
      <c r="BM40" t="s">
        <v>428</v>
      </c>
      <c r="BN40" t="s">
        <v>435</v>
      </c>
      <c r="BO40" t="s">
        <v>440</v>
      </c>
      <c r="BP40" t="s">
        <v>448</v>
      </c>
      <c r="BQ40">
        <v>4</v>
      </c>
      <c r="BR40">
        <v>4</v>
      </c>
      <c r="BS40">
        <v>3</v>
      </c>
      <c r="BT40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 t="s">
        <v>450</v>
      </c>
      <c r="CA40" t="s">
        <v>453</v>
      </c>
      <c r="CB40" t="s">
        <v>456</v>
      </c>
      <c r="CC40" t="s">
        <v>457</v>
      </c>
      <c r="CD40" t="s">
        <v>458</v>
      </c>
      <c r="CE40" s="2">
        <v>46037</v>
      </c>
      <c r="CF40" s="2">
        <v>46218</v>
      </c>
      <c r="CH40" t="s">
        <v>459</v>
      </c>
      <c r="CJ40" t="s">
        <v>465</v>
      </c>
      <c r="CK40" t="s">
        <v>477</v>
      </c>
      <c r="CL40" t="s">
        <v>515</v>
      </c>
      <c r="CM40" t="s">
        <v>361</v>
      </c>
      <c r="CN40" t="s">
        <v>555</v>
      </c>
      <c r="CO40" t="s">
        <v>149</v>
      </c>
      <c r="CP40" s="2">
        <v>45664</v>
      </c>
      <c r="CQ40" s="2">
        <v>46394</v>
      </c>
      <c r="CR40" t="s">
        <v>561</v>
      </c>
      <c r="CS40" t="s">
        <v>390</v>
      </c>
      <c r="CT40" s="2">
        <v>45664</v>
      </c>
      <c r="CU40" t="s">
        <v>573</v>
      </c>
      <c r="CV40" t="s">
        <v>402</v>
      </c>
      <c r="CW40" t="s">
        <v>583</v>
      </c>
      <c r="CX40" t="s">
        <v>361</v>
      </c>
      <c r="CY40" t="s">
        <v>585</v>
      </c>
      <c r="DA40" t="s">
        <v>587</v>
      </c>
      <c r="DB40" t="s">
        <v>587</v>
      </c>
      <c r="DC40" t="s">
        <v>587</v>
      </c>
      <c r="DD40" t="s">
        <v>587</v>
      </c>
      <c r="DE40" t="s">
        <v>587</v>
      </c>
      <c r="DF40" t="s">
        <v>587</v>
      </c>
      <c r="DG40" t="s">
        <v>590</v>
      </c>
      <c r="DH40" t="s">
        <v>592</v>
      </c>
      <c r="DI40" t="s">
        <v>594</v>
      </c>
      <c r="DJ40" t="s">
        <v>587</v>
      </c>
      <c r="DK40" t="s">
        <v>587</v>
      </c>
      <c r="DL40" t="s">
        <v>587</v>
      </c>
      <c r="DM40" t="s">
        <v>587</v>
      </c>
      <c r="DN40" t="s">
        <v>595</v>
      </c>
      <c r="DO40" t="s">
        <v>596</v>
      </c>
      <c r="DP40" t="s">
        <v>596</v>
      </c>
      <c r="DQ40" t="s">
        <v>450</v>
      </c>
      <c r="DR40" t="s">
        <v>597</v>
      </c>
      <c r="DS40" t="s">
        <v>598</v>
      </c>
      <c r="DT40" t="s">
        <v>599</v>
      </c>
      <c r="DU40" t="s">
        <v>600</v>
      </c>
      <c r="DV40" s="2">
        <v>45392</v>
      </c>
      <c r="DW40" s="2">
        <v>45394</v>
      </c>
      <c r="DX40" t="s">
        <v>601</v>
      </c>
      <c r="DY40" s="2">
        <v>45397</v>
      </c>
      <c r="DZ40" t="s">
        <v>602</v>
      </c>
      <c r="EA40" t="s">
        <v>415</v>
      </c>
      <c r="EB40" s="2">
        <v>45413</v>
      </c>
    </row>
    <row r="41" spans="1:132">
      <c r="A41" t="s">
        <v>137</v>
      </c>
      <c r="B41" t="s">
        <v>149</v>
      </c>
      <c r="C41" t="s">
        <v>161</v>
      </c>
      <c r="D41" t="s">
        <v>173</v>
      </c>
      <c r="E41" t="s">
        <v>185</v>
      </c>
      <c r="F41" t="s">
        <v>193</v>
      </c>
      <c r="G41">
        <v>000000112</v>
      </c>
      <c r="H41">
        <v>999900207</v>
      </c>
      <c r="I41" t="s">
        <v>201</v>
      </c>
      <c r="J41" t="s">
        <v>205</v>
      </c>
      <c r="K41" t="s">
        <v>245</v>
      </c>
      <c r="L41" s="2">
        <v>45826</v>
      </c>
      <c r="M41" s="2">
        <v>46394</v>
      </c>
      <c r="N41" s="2">
        <v>46455</v>
      </c>
      <c r="P41" t="s">
        <v>297</v>
      </c>
      <c r="Q41" t="s">
        <v>296</v>
      </c>
      <c r="R41" t="s">
        <v>306</v>
      </c>
      <c r="S41">
        <v>238</v>
      </c>
      <c r="T41" t="s">
        <v>310</v>
      </c>
      <c r="U41" s="2">
        <v>25569</v>
      </c>
      <c r="V41" t="s">
        <v>317</v>
      </c>
      <c r="W41" t="s">
        <v>326</v>
      </c>
      <c r="X41" t="s">
        <v>333</v>
      </c>
      <c r="Y41" t="s">
        <v>345</v>
      </c>
      <c r="Z41" t="s">
        <v>356</v>
      </c>
      <c r="AA41" t="s">
        <v>361</v>
      </c>
      <c r="AB41">
        <v>75202</v>
      </c>
      <c r="AC41" t="s">
        <v>361</v>
      </c>
      <c r="AD41" t="s">
        <v>362</v>
      </c>
      <c r="AE41" s="2">
        <v>44004</v>
      </c>
      <c r="AF41" t="s">
        <v>368</v>
      </c>
      <c r="AH41" s="2">
        <v>45664</v>
      </c>
      <c r="AI41" t="s">
        <v>378</v>
      </c>
      <c r="AJ41" t="s">
        <v>390</v>
      </c>
      <c r="AK41" t="s">
        <v>402</v>
      </c>
      <c r="AM41" t="s">
        <v>409</v>
      </c>
      <c r="AN41" s="2">
        <v>46425</v>
      </c>
      <c r="AO41">
        <v>2</v>
      </c>
      <c r="AP41">
        <v>1</v>
      </c>
      <c r="AR41" t="s">
        <v>411</v>
      </c>
      <c r="AS41" s="2">
        <v>45544</v>
      </c>
      <c r="AT41" t="s">
        <v>412</v>
      </c>
      <c r="AU41" t="s">
        <v>413</v>
      </c>
      <c r="AX41" s="2">
        <v>45544</v>
      </c>
      <c r="AY41" t="s">
        <v>414</v>
      </c>
      <c r="AZ41" t="s">
        <v>415</v>
      </c>
      <c r="BB41" t="s">
        <v>416</v>
      </c>
      <c r="BC41" t="s">
        <v>417</v>
      </c>
      <c r="BD41" t="s">
        <v>185</v>
      </c>
      <c r="BF41" s="2">
        <v>45544</v>
      </c>
      <c r="BG41" t="s">
        <v>418</v>
      </c>
      <c r="BH41" t="s">
        <v>419</v>
      </c>
      <c r="BI41" t="s">
        <v>421</v>
      </c>
      <c r="BJ41" s="2">
        <v>45544</v>
      </c>
      <c r="BK41" t="s">
        <v>422</v>
      </c>
      <c r="BL41" s="2">
        <v>45537</v>
      </c>
      <c r="BM41" t="s">
        <v>428</v>
      </c>
      <c r="BN41" t="s">
        <v>435</v>
      </c>
      <c r="BO41" t="s">
        <v>440</v>
      </c>
      <c r="BP41" t="s">
        <v>448</v>
      </c>
      <c r="BQ41">
        <v>4</v>
      </c>
      <c r="BR41">
        <v>4</v>
      </c>
      <c r="BS41">
        <v>3</v>
      </c>
      <c r="BT41">
        <v>4</v>
      </c>
      <c r="BU41">
        <v>4</v>
      </c>
      <c r="BV41">
        <v>4</v>
      </c>
      <c r="BW41">
        <v>4</v>
      </c>
      <c r="BX41">
        <v>4</v>
      </c>
      <c r="BY41">
        <v>4</v>
      </c>
      <c r="BZ41" t="s">
        <v>450</v>
      </c>
      <c r="CA41" t="s">
        <v>453</v>
      </c>
      <c r="CB41" t="s">
        <v>456</v>
      </c>
      <c r="CC41" t="s">
        <v>457</v>
      </c>
      <c r="CD41" t="s">
        <v>458</v>
      </c>
      <c r="CE41" s="2">
        <v>46037</v>
      </c>
      <c r="CF41" s="2">
        <v>46218</v>
      </c>
      <c r="CH41" t="s">
        <v>459</v>
      </c>
      <c r="CJ41" t="s">
        <v>465</v>
      </c>
      <c r="CK41" t="s">
        <v>477</v>
      </c>
      <c r="CL41" t="s">
        <v>516</v>
      </c>
      <c r="CM41" t="s">
        <v>361</v>
      </c>
      <c r="CN41" t="s">
        <v>555</v>
      </c>
      <c r="CO41" t="s">
        <v>149</v>
      </c>
      <c r="CP41" s="2">
        <v>45664</v>
      </c>
      <c r="CQ41" s="2">
        <v>46394</v>
      </c>
      <c r="CR41" t="s">
        <v>561</v>
      </c>
      <c r="CS41" t="s">
        <v>390</v>
      </c>
      <c r="CT41" s="2">
        <v>45664</v>
      </c>
      <c r="CU41" t="s">
        <v>573</v>
      </c>
      <c r="CV41" t="s">
        <v>402</v>
      </c>
      <c r="CW41" t="s">
        <v>583</v>
      </c>
      <c r="CX41" t="s">
        <v>361</v>
      </c>
      <c r="CY41" t="s">
        <v>585</v>
      </c>
      <c r="DA41" t="s">
        <v>587</v>
      </c>
      <c r="DB41" t="s">
        <v>587</v>
      </c>
      <c r="DC41" t="s">
        <v>587</v>
      </c>
      <c r="DD41" t="s">
        <v>587</v>
      </c>
      <c r="DE41" t="s">
        <v>587</v>
      </c>
      <c r="DF41" t="s">
        <v>587</v>
      </c>
      <c r="DG41" t="s">
        <v>590</v>
      </c>
      <c r="DH41" t="s">
        <v>592</v>
      </c>
      <c r="DI41" t="s">
        <v>594</v>
      </c>
      <c r="DJ41" t="s">
        <v>587</v>
      </c>
      <c r="DK41" t="s">
        <v>587</v>
      </c>
      <c r="DL41" t="s">
        <v>587</v>
      </c>
      <c r="DM41" t="s">
        <v>587</v>
      </c>
      <c r="DN41" t="s">
        <v>595</v>
      </c>
      <c r="DO41" t="s">
        <v>596</v>
      </c>
      <c r="DP41" t="s">
        <v>596</v>
      </c>
      <c r="DQ41" t="s">
        <v>450</v>
      </c>
      <c r="DR41" t="s">
        <v>597</v>
      </c>
      <c r="DS41" t="s">
        <v>598</v>
      </c>
      <c r="DT41" t="s">
        <v>599</v>
      </c>
      <c r="DU41" t="s">
        <v>600</v>
      </c>
      <c r="DV41" s="2">
        <v>45392</v>
      </c>
      <c r="DW41" s="2">
        <v>45394</v>
      </c>
      <c r="DX41" t="s">
        <v>601</v>
      </c>
      <c r="DY41" s="2">
        <v>45397</v>
      </c>
      <c r="DZ41" t="s">
        <v>602</v>
      </c>
      <c r="EA41" t="s">
        <v>415</v>
      </c>
      <c r="EB41" s="2">
        <v>45413</v>
      </c>
    </row>
    <row r="42" spans="1:132">
      <c r="A42" t="s">
        <v>137</v>
      </c>
      <c r="B42" t="s">
        <v>149</v>
      </c>
      <c r="C42" t="s">
        <v>161</v>
      </c>
      <c r="D42" t="s">
        <v>173</v>
      </c>
      <c r="E42" t="s">
        <v>185</v>
      </c>
      <c r="F42" t="s">
        <v>193</v>
      </c>
      <c r="G42">
        <v>000000112</v>
      </c>
      <c r="H42">
        <v>999900207</v>
      </c>
      <c r="I42" t="s">
        <v>202</v>
      </c>
      <c r="J42" t="s">
        <v>205</v>
      </c>
      <c r="K42" t="s">
        <v>246</v>
      </c>
      <c r="L42" s="2">
        <v>45826</v>
      </c>
      <c r="M42" s="2">
        <v>46394</v>
      </c>
      <c r="N42" s="2">
        <v>46455</v>
      </c>
      <c r="O42" t="s">
        <v>291</v>
      </c>
      <c r="P42" t="s">
        <v>297</v>
      </c>
      <c r="Q42" t="s">
        <v>296</v>
      </c>
      <c r="R42" t="s">
        <v>306</v>
      </c>
      <c r="S42">
        <v>238</v>
      </c>
      <c r="T42" t="s">
        <v>310</v>
      </c>
      <c r="U42" s="2">
        <v>25569</v>
      </c>
      <c r="V42" t="s">
        <v>317</v>
      </c>
      <c r="W42" t="s">
        <v>326</v>
      </c>
      <c r="X42" t="s">
        <v>333</v>
      </c>
      <c r="Y42" t="s">
        <v>345</v>
      </c>
      <c r="Z42" t="s">
        <v>356</v>
      </c>
      <c r="AA42" t="s">
        <v>361</v>
      </c>
      <c r="AB42">
        <v>75202</v>
      </c>
      <c r="AC42" t="s">
        <v>361</v>
      </c>
      <c r="AD42" t="s">
        <v>362</v>
      </c>
      <c r="AE42" s="2">
        <v>44004</v>
      </c>
      <c r="AF42" t="s">
        <v>368</v>
      </c>
      <c r="AH42" s="2">
        <v>45664</v>
      </c>
      <c r="AI42" t="s">
        <v>378</v>
      </c>
      <c r="AJ42" t="s">
        <v>390</v>
      </c>
      <c r="AK42" t="s">
        <v>402</v>
      </c>
      <c r="AM42" t="s">
        <v>409</v>
      </c>
      <c r="AN42" s="2">
        <v>46425</v>
      </c>
      <c r="AO42">
        <v>2</v>
      </c>
      <c r="AP42">
        <v>1</v>
      </c>
      <c r="AR42" t="s">
        <v>411</v>
      </c>
      <c r="AS42" s="2">
        <v>45544</v>
      </c>
      <c r="AT42" t="s">
        <v>412</v>
      </c>
      <c r="AU42" t="s">
        <v>413</v>
      </c>
      <c r="AX42" s="2">
        <v>45544</v>
      </c>
      <c r="AY42" t="s">
        <v>414</v>
      </c>
      <c r="AZ42" t="s">
        <v>415</v>
      </c>
      <c r="BB42" t="s">
        <v>416</v>
      </c>
      <c r="BC42" t="s">
        <v>417</v>
      </c>
      <c r="BD42" t="s">
        <v>185</v>
      </c>
      <c r="BF42" s="2">
        <v>45544</v>
      </c>
      <c r="BG42" t="s">
        <v>418</v>
      </c>
      <c r="BH42" t="s">
        <v>419</v>
      </c>
      <c r="BI42" t="s">
        <v>421</v>
      </c>
      <c r="BJ42" s="2">
        <v>45544</v>
      </c>
      <c r="BK42" t="s">
        <v>422</v>
      </c>
      <c r="BL42" s="2">
        <v>45537</v>
      </c>
      <c r="BM42" t="s">
        <v>428</v>
      </c>
      <c r="BN42" t="s">
        <v>435</v>
      </c>
      <c r="BO42" t="s">
        <v>440</v>
      </c>
      <c r="BP42" t="s">
        <v>448</v>
      </c>
      <c r="BQ42">
        <v>4</v>
      </c>
      <c r="BR42">
        <v>4</v>
      </c>
      <c r="BS42">
        <v>3</v>
      </c>
      <c r="BT42">
        <v>4</v>
      </c>
      <c r="BU42">
        <v>4</v>
      </c>
      <c r="BV42">
        <v>4</v>
      </c>
      <c r="BW42">
        <v>4</v>
      </c>
      <c r="BX42">
        <v>4</v>
      </c>
      <c r="BY42">
        <v>4</v>
      </c>
      <c r="BZ42" t="s">
        <v>450</v>
      </c>
      <c r="CA42" t="s">
        <v>453</v>
      </c>
      <c r="CB42" t="s">
        <v>456</v>
      </c>
      <c r="CC42" t="s">
        <v>457</v>
      </c>
      <c r="CD42" t="s">
        <v>458</v>
      </c>
      <c r="CE42" s="2">
        <v>46037</v>
      </c>
      <c r="CF42" s="2">
        <v>46218</v>
      </c>
      <c r="CH42" t="s">
        <v>459</v>
      </c>
      <c r="CJ42" t="s">
        <v>465</v>
      </c>
      <c r="CK42" t="s">
        <v>477</v>
      </c>
      <c r="CL42" t="s">
        <v>517</v>
      </c>
      <c r="CM42" t="s">
        <v>361</v>
      </c>
      <c r="CN42" t="s">
        <v>555</v>
      </c>
      <c r="CO42" t="s">
        <v>149</v>
      </c>
      <c r="CP42" s="2">
        <v>45664</v>
      </c>
      <c r="CQ42" s="2">
        <v>46394</v>
      </c>
      <c r="CR42" t="s">
        <v>561</v>
      </c>
      <c r="CS42" t="s">
        <v>390</v>
      </c>
      <c r="CT42" s="2">
        <v>45664</v>
      </c>
      <c r="CU42" t="s">
        <v>573</v>
      </c>
      <c r="CV42" t="s">
        <v>402</v>
      </c>
      <c r="CW42" t="s">
        <v>583</v>
      </c>
      <c r="CX42" t="s">
        <v>361</v>
      </c>
      <c r="CY42" t="s">
        <v>585</v>
      </c>
      <c r="DA42" t="s">
        <v>587</v>
      </c>
      <c r="DB42" t="s">
        <v>587</v>
      </c>
      <c r="DC42" t="s">
        <v>587</v>
      </c>
      <c r="DD42" t="s">
        <v>587</v>
      </c>
      <c r="DE42" t="s">
        <v>587</v>
      </c>
      <c r="DF42" t="s">
        <v>587</v>
      </c>
      <c r="DG42" t="s">
        <v>590</v>
      </c>
      <c r="DH42" t="s">
        <v>592</v>
      </c>
      <c r="DI42" t="s">
        <v>594</v>
      </c>
      <c r="DJ42" t="s">
        <v>587</v>
      </c>
      <c r="DK42" t="s">
        <v>587</v>
      </c>
      <c r="DL42" t="s">
        <v>587</v>
      </c>
      <c r="DM42" t="s">
        <v>587</v>
      </c>
      <c r="DN42" t="s">
        <v>595</v>
      </c>
      <c r="DO42" t="s">
        <v>596</v>
      </c>
      <c r="DP42" t="s">
        <v>596</v>
      </c>
      <c r="DQ42" t="s">
        <v>450</v>
      </c>
      <c r="DR42" t="s">
        <v>597</v>
      </c>
      <c r="DS42" t="s">
        <v>598</v>
      </c>
      <c r="DT42" t="s">
        <v>599</v>
      </c>
      <c r="DU42" t="s">
        <v>600</v>
      </c>
      <c r="DV42" s="2">
        <v>45392</v>
      </c>
      <c r="DW42" s="2">
        <v>45394</v>
      </c>
      <c r="DX42" t="s">
        <v>601</v>
      </c>
      <c r="DY42" s="2">
        <v>45397</v>
      </c>
      <c r="DZ42" t="s">
        <v>602</v>
      </c>
      <c r="EA42" t="s">
        <v>415</v>
      </c>
      <c r="EB42" s="2">
        <v>45413</v>
      </c>
    </row>
    <row r="43" spans="1:132">
      <c r="A43" t="s">
        <v>137</v>
      </c>
      <c r="B43" t="s">
        <v>149</v>
      </c>
      <c r="C43" t="s">
        <v>161</v>
      </c>
      <c r="D43" t="s">
        <v>173</v>
      </c>
      <c r="E43" t="s">
        <v>185</v>
      </c>
      <c r="F43" t="s">
        <v>193</v>
      </c>
      <c r="G43">
        <v>000000112</v>
      </c>
      <c r="H43">
        <v>999900207</v>
      </c>
      <c r="I43" t="s">
        <v>203</v>
      </c>
      <c r="J43" t="s">
        <v>205</v>
      </c>
      <c r="K43" t="s">
        <v>247</v>
      </c>
      <c r="L43" s="2">
        <v>45826</v>
      </c>
      <c r="M43" s="2">
        <v>46394</v>
      </c>
      <c r="N43" s="2">
        <v>46455</v>
      </c>
      <c r="P43" t="s">
        <v>297</v>
      </c>
      <c r="Q43" t="s">
        <v>296</v>
      </c>
      <c r="R43" t="s">
        <v>306</v>
      </c>
      <c r="S43">
        <v>238</v>
      </c>
      <c r="T43" t="s">
        <v>310</v>
      </c>
      <c r="U43" s="2">
        <v>25569</v>
      </c>
      <c r="V43" t="s">
        <v>317</v>
      </c>
      <c r="W43" t="s">
        <v>326</v>
      </c>
      <c r="X43" t="s">
        <v>333</v>
      </c>
      <c r="Y43" t="s">
        <v>345</v>
      </c>
      <c r="Z43" t="s">
        <v>356</v>
      </c>
      <c r="AA43" t="s">
        <v>361</v>
      </c>
      <c r="AB43">
        <v>75202</v>
      </c>
      <c r="AC43" t="s">
        <v>361</v>
      </c>
      <c r="AD43" t="s">
        <v>362</v>
      </c>
      <c r="AE43" s="2">
        <v>44004</v>
      </c>
      <c r="AF43" t="s">
        <v>368</v>
      </c>
      <c r="AH43" s="2">
        <v>45664</v>
      </c>
      <c r="AI43" t="s">
        <v>378</v>
      </c>
      <c r="AJ43" t="s">
        <v>390</v>
      </c>
      <c r="AK43" t="s">
        <v>402</v>
      </c>
      <c r="AM43" t="s">
        <v>409</v>
      </c>
      <c r="AN43" s="2">
        <v>46425</v>
      </c>
      <c r="AO43">
        <v>2</v>
      </c>
      <c r="AP43">
        <v>1</v>
      </c>
      <c r="AR43" t="s">
        <v>411</v>
      </c>
      <c r="AS43" s="2">
        <v>45544</v>
      </c>
      <c r="AT43" t="s">
        <v>412</v>
      </c>
      <c r="AU43" t="s">
        <v>413</v>
      </c>
      <c r="AX43" s="2">
        <v>45544</v>
      </c>
      <c r="AY43" t="s">
        <v>414</v>
      </c>
      <c r="AZ43" t="s">
        <v>415</v>
      </c>
      <c r="BB43" t="s">
        <v>416</v>
      </c>
      <c r="BC43" t="s">
        <v>417</v>
      </c>
      <c r="BD43" t="s">
        <v>185</v>
      </c>
      <c r="BF43" s="2">
        <v>45544</v>
      </c>
      <c r="BG43" t="s">
        <v>418</v>
      </c>
      <c r="BH43" t="s">
        <v>419</v>
      </c>
      <c r="BI43" t="s">
        <v>421</v>
      </c>
      <c r="BJ43" s="2">
        <v>45544</v>
      </c>
      <c r="BK43" t="s">
        <v>422</v>
      </c>
      <c r="BL43" s="2">
        <v>45537</v>
      </c>
      <c r="BM43" t="s">
        <v>428</v>
      </c>
      <c r="BN43" t="s">
        <v>435</v>
      </c>
      <c r="BO43" t="s">
        <v>440</v>
      </c>
      <c r="BP43" t="s">
        <v>448</v>
      </c>
      <c r="BQ43">
        <v>4</v>
      </c>
      <c r="BR43">
        <v>4</v>
      </c>
      <c r="BS43">
        <v>3</v>
      </c>
      <c r="BT43">
        <v>4</v>
      </c>
      <c r="BU43">
        <v>4</v>
      </c>
      <c r="BV43">
        <v>4</v>
      </c>
      <c r="BW43">
        <v>4</v>
      </c>
      <c r="BX43">
        <v>4</v>
      </c>
      <c r="BY43">
        <v>4</v>
      </c>
      <c r="BZ43" t="s">
        <v>450</v>
      </c>
      <c r="CA43" t="s">
        <v>453</v>
      </c>
      <c r="CB43" t="s">
        <v>456</v>
      </c>
      <c r="CC43" t="s">
        <v>457</v>
      </c>
      <c r="CD43" t="s">
        <v>458</v>
      </c>
      <c r="CE43" s="2">
        <v>46037</v>
      </c>
      <c r="CF43" s="2">
        <v>46218</v>
      </c>
      <c r="CH43" t="s">
        <v>459</v>
      </c>
      <c r="CJ43" t="s">
        <v>465</v>
      </c>
      <c r="CK43" t="s">
        <v>477</v>
      </c>
      <c r="CL43" t="s">
        <v>518</v>
      </c>
      <c r="CM43" t="s">
        <v>361</v>
      </c>
      <c r="CN43" t="s">
        <v>555</v>
      </c>
      <c r="CO43" t="s">
        <v>149</v>
      </c>
      <c r="CP43" s="2">
        <v>45664</v>
      </c>
      <c r="CQ43" s="2">
        <v>46394</v>
      </c>
      <c r="CR43" t="s">
        <v>561</v>
      </c>
      <c r="CS43" t="s">
        <v>390</v>
      </c>
      <c r="CT43" s="2">
        <v>45664</v>
      </c>
      <c r="CU43" t="s">
        <v>573</v>
      </c>
      <c r="CV43" t="s">
        <v>402</v>
      </c>
      <c r="CW43" t="s">
        <v>583</v>
      </c>
      <c r="CX43" t="s">
        <v>361</v>
      </c>
      <c r="CY43" t="s">
        <v>585</v>
      </c>
      <c r="DA43" t="s">
        <v>587</v>
      </c>
      <c r="DB43" t="s">
        <v>587</v>
      </c>
      <c r="DC43" t="s">
        <v>587</v>
      </c>
      <c r="DD43" t="s">
        <v>587</v>
      </c>
      <c r="DE43" t="s">
        <v>587</v>
      </c>
      <c r="DF43" t="s">
        <v>587</v>
      </c>
      <c r="DG43" t="s">
        <v>590</v>
      </c>
      <c r="DH43" t="s">
        <v>592</v>
      </c>
      <c r="DI43" t="s">
        <v>594</v>
      </c>
      <c r="DJ43" t="s">
        <v>587</v>
      </c>
      <c r="DK43" t="s">
        <v>587</v>
      </c>
      <c r="DL43" t="s">
        <v>587</v>
      </c>
      <c r="DM43" t="s">
        <v>587</v>
      </c>
      <c r="DN43" t="s">
        <v>595</v>
      </c>
      <c r="DO43" t="s">
        <v>596</v>
      </c>
      <c r="DP43" t="s">
        <v>596</v>
      </c>
      <c r="DQ43" t="s">
        <v>450</v>
      </c>
      <c r="DR43" t="s">
        <v>597</v>
      </c>
      <c r="DS43" t="s">
        <v>598</v>
      </c>
      <c r="DT43" t="s">
        <v>599</v>
      </c>
      <c r="DU43" t="s">
        <v>600</v>
      </c>
      <c r="DV43" s="2">
        <v>45392</v>
      </c>
      <c r="DW43" s="2">
        <v>45394</v>
      </c>
      <c r="DX43" t="s">
        <v>601</v>
      </c>
      <c r="DY43" s="2">
        <v>45397</v>
      </c>
      <c r="DZ43" t="s">
        <v>602</v>
      </c>
      <c r="EA43" t="s">
        <v>415</v>
      </c>
      <c r="EB43" s="2">
        <v>45413</v>
      </c>
    </row>
    <row r="44" spans="1:132">
      <c r="A44" t="s">
        <v>138</v>
      </c>
      <c r="B44" t="s">
        <v>150</v>
      </c>
      <c r="C44" t="s">
        <v>162</v>
      </c>
      <c r="D44" t="s">
        <v>174</v>
      </c>
      <c r="E44" t="s">
        <v>186</v>
      </c>
      <c r="F44" t="s">
        <v>194</v>
      </c>
      <c r="G44">
        <v>000000110</v>
      </c>
      <c r="H44">
        <v>999900212</v>
      </c>
      <c r="I44" t="s">
        <v>197</v>
      </c>
      <c r="J44" t="s">
        <v>205</v>
      </c>
      <c r="K44" t="s">
        <v>248</v>
      </c>
      <c r="L44" s="2">
        <v>46530</v>
      </c>
      <c r="M44" s="2">
        <v>45739</v>
      </c>
      <c r="N44" s="2">
        <v>46456</v>
      </c>
      <c r="P44" t="s">
        <v>298</v>
      </c>
      <c r="Q44" t="s">
        <v>301</v>
      </c>
      <c r="R44" t="s">
        <v>307</v>
      </c>
      <c r="S44">
        <v>122</v>
      </c>
      <c r="T44" t="s">
        <v>311</v>
      </c>
      <c r="U44" s="2">
        <v>36161</v>
      </c>
      <c r="V44" t="s">
        <v>318</v>
      </c>
      <c r="W44" t="s">
        <v>325</v>
      </c>
      <c r="X44" t="s">
        <v>334</v>
      </c>
      <c r="Y44" t="s">
        <v>346</v>
      </c>
      <c r="Z44" t="s">
        <v>352</v>
      </c>
      <c r="AA44" t="s">
        <v>358</v>
      </c>
      <c r="AB44">
        <v>44115</v>
      </c>
      <c r="AC44" t="s">
        <v>358</v>
      </c>
      <c r="AD44" t="s">
        <v>362</v>
      </c>
      <c r="AE44" s="2">
        <v>44708</v>
      </c>
      <c r="AF44" t="s">
        <v>365</v>
      </c>
      <c r="AH44" s="2">
        <v>45009</v>
      </c>
      <c r="AI44" t="s">
        <v>379</v>
      </c>
      <c r="AJ44" t="s">
        <v>391</v>
      </c>
      <c r="AK44" t="s">
        <v>403</v>
      </c>
      <c r="AM44" t="s">
        <v>409</v>
      </c>
      <c r="AN44" s="2">
        <v>46426</v>
      </c>
      <c r="AO44">
        <v>0</v>
      </c>
      <c r="AP44">
        <v>0</v>
      </c>
      <c r="AR44" t="s">
        <v>410</v>
      </c>
      <c r="AS44" s="2">
        <v>45566</v>
      </c>
      <c r="AT44" t="s">
        <v>412</v>
      </c>
      <c r="AU44" t="s">
        <v>413</v>
      </c>
      <c r="AX44" s="2">
        <v>45566</v>
      </c>
      <c r="AY44" t="s">
        <v>414</v>
      </c>
      <c r="AZ44" t="s">
        <v>415</v>
      </c>
      <c r="BB44" t="s">
        <v>416</v>
      </c>
      <c r="BC44" t="s">
        <v>417</v>
      </c>
      <c r="BD44" t="s">
        <v>186</v>
      </c>
      <c r="BF44" s="2">
        <v>45566</v>
      </c>
      <c r="BG44" t="s">
        <v>418</v>
      </c>
      <c r="BH44" t="s">
        <v>419</v>
      </c>
      <c r="BI44" t="s">
        <v>421</v>
      </c>
      <c r="BJ44" s="2">
        <v>45566</v>
      </c>
      <c r="BK44" t="s">
        <v>422</v>
      </c>
      <c r="BL44" s="2">
        <v>45559</v>
      </c>
      <c r="BM44" t="s">
        <v>429</v>
      </c>
      <c r="BN44" t="s">
        <v>437</v>
      </c>
      <c r="BO44" t="s">
        <v>442</v>
      </c>
      <c r="BP44" t="s">
        <v>444</v>
      </c>
      <c r="BQ44">
        <v>5</v>
      </c>
      <c r="BR44">
        <v>5</v>
      </c>
      <c r="BS44">
        <v>4</v>
      </c>
      <c r="BT44">
        <v>5</v>
      </c>
      <c r="BU44">
        <v>5</v>
      </c>
      <c r="BV44">
        <v>5</v>
      </c>
      <c r="BX44">
        <v>5</v>
      </c>
      <c r="BY44">
        <v>5</v>
      </c>
      <c r="BZ44" t="s">
        <v>450</v>
      </c>
      <c r="CB44" t="s">
        <v>456</v>
      </c>
      <c r="CC44" t="s">
        <v>457</v>
      </c>
      <c r="CD44" t="s">
        <v>458</v>
      </c>
      <c r="CE44" s="2">
        <v>46037</v>
      </c>
      <c r="CF44" s="2">
        <v>46218</v>
      </c>
      <c r="CH44" t="s">
        <v>459</v>
      </c>
      <c r="CJ44" t="s">
        <v>466</v>
      </c>
      <c r="CK44" t="s">
        <v>478</v>
      </c>
      <c r="CL44" t="s">
        <v>248</v>
      </c>
      <c r="CM44" t="s">
        <v>358</v>
      </c>
      <c r="CN44" t="s">
        <v>555</v>
      </c>
      <c r="CO44" t="s">
        <v>150</v>
      </c>
      <c r="CP44" s="2">
        <v>45009</v>
      </c>
      <c r="CQ44" s="2">
        <v>45739</v>
      </c>
      <c r="CR44" t="s">
        <v>562</v>
      </c>
      <c r="CS44" t="s">
        <v>391</v>
      </c>
      <c r="CT44" s="2">
        <v>45009</v>
      </c>
      <c r="CU44" t="s">
        <v>574</v>
      </c>
      <c r="CV44" t="s">
        <v>403</v>
      </c>
      <c r="CW44" t="s">
        <v>584</v>
      </c>
      <c r="CX44" t="s">
        <v>358</v>
      </c>
      <c r="CY44" t="s">
        <v>585</v>
      </c>
      <c r="DA44" t="s">
        <v>587</v>
      </c>
      <c r="DB44" t="s">
        <v>587</v>
      </c>
      <c r="DC44" t="s">
        <v>587</v>
      </c>
      <c r="DD44" t="s">
        <v>587</v>
      </c>
      <c r="DE44" t="s">
        <v>587</v>
      </c>
      <c r="DF44" t="s">
        <v>587</v>
      </c>
      <c r="DG44" t="s">
        <v>590</v>
      </c>
      <c r="DH44" t="s">
        <v>592</v>
      </c>
      <c r="DI44" t="s">
        <v>594</v>
      </c>
      <c r="DJ44" t="s">
        <v>587</v>
      </c>
      <c r="DK44" t="s">
        <v>587</v>
      </c>
      <c r="DL44" t="s">
        <v>587</v>
      </c>
      <c r="DM44" t="s">
        <v>587</v>
      </c>
      <c r="DN44" t="s">
        <v>595</v>
      </c>
      <c r="DO44" t="s">
        <v>596</v>
      </c>
      <c r="DP44" t="s">
        <v>596</v>
      </c>
      <c r="DQ44" t="s">
        <v>450</v>
      </c>
      <c r="DR44" t="s">
        <v>597</v>
      </c>
      <c r="DS44" t="s">
        <v>598</v>
      </c>
      <c r="DT44" t="s">
        <v>599</v>
      </c>
      <c r="DU44" t="s">
        <v>600</v>
      </c>
      <c r="DV44" s="2">
        <v>45392</v>
      </c>
      <c r="DW44" s="2">
        <v>45394</v>
      </c>
      <c r="DX44" t="s">
        <v>601</v>
      </c>
      <c r="DY44" s="2">
        <v>45397</v>
      </c>
      <c r="DZ44" t="s">
        <v>602</v>
      </c>
      <c r="EA44" t="s">
        <v>415</v>
      </c>
      <c r="EB44" s="2">
        <v>45413</v>
      </c>
    </row>
    <row r="45" spans="1:132">
      <c r="A45" t="s">
        <v>138</v>
      </c>
      <c r="B45" t="s">
        <v>150</v>
      </c>
      <c r="C45" t="s">
        <v>162</v>
      </c>
      <c r="D45" t="s">
        <v>174</v>
      </c>
      <c r="E45" t="s">
        <v>186</v>
      </c>
      <c r="F45" t="s">
        <v>194</v>
      </c>
      <c r="G45">
        <v>000000110</v>
      </c>
      <c r="H45">
        <v>999900212</v>
      </c>
      <c r="I45" t="s">
        <v>198</v>
      </c>
      <c r="J45" t="s">
        <v>205</v>
      </c>
      <c r="K45" t="s">
        <v>249</v>
      </c>
      <c r="L45" s="2">
        <v>46530</v>
      </c>
      <c r="M45" s="2">
        <v>45739</v>
      </c>
      <c r="N45" s="2">
        <v>46456</v>
      </c>
      <c r="P45" t="s">
        <v>298</v>
      </c>
      <c r="Q45" t="s">
        <v>301</v>
      </c>
      <c r="R45" t="s">
        <v>307</v>
      </c>
      <c r="S45">
        <v>122</v>
      </c>
      <c r="T45" t="s">
        <v>311</v>
      </c>
      <c r="U45" s="2">
        <v>36161</v>
      </c>
      <c r="V45" t="s">
        <v>318</v>
      </c>
      <c r="W45" t="s">
        <v>325</v>
      </c>
      <c r="X45" t="s">
        <v>334</v>
      </c>
      <c r="Y45" t="s">
        <v>346</v>
      </c>
      <c r="Z45" t="s">
        <v>352</v>
      </c>
      <c r="AA45" t="s">
        <v>358</v>
      </c>
      <c r="AB45">
        <v>44115</v>
      </c>
      <c r="AC45" t="s">
        <v>358</v>
      </c>
      <c r="AD45" t="s">
        <v>362</v>
      </c>
      <c r="AE45" s="2">
        <v>44708</v>
      </c>
      <c r="AF45" t="s">
        <v>365</v>
      </c>
      <c r="AH45" s="2">
        <v>45009</v>
      </c>
      <c r="AI45" t="s">
        <v>379</v>
      </c>
      <c r="AJ45" t="s">
        <v>391</v>
      </c>
      <c r="AK45" t="s">
        <v>403</v>
      </c>
      <c r="AM45" t="s">
        <v>409</v>
      </c>
      <c r="AN45" s="2">
        <v>46426</v>
      </c>
      <c r="AO45">
        <v>0</v>
      </c>
      <c r="AP45">
        <v>0</v>
      </c>
      <c r="AR45" t="s">
        <v>410</v>
      </c>
      <c r="AS45" s="2">
        <v>45566</v>
      </c>
      <c r="AT45" t="s">
        <v>412</v>
      </c>
      <c r="AU45" t="s">
        <v>413</v>
      </c>
      <c r="AX45" s="2">
        <v>45566</v>
      </c>
      <c r="AY45" t="s">
        <v>414</v>
      </c>
      <c r="AZ45" t="s">
        <v>415</v>
      </c>
      <c r="BB45" t="s">
        <v>416</v>
      </c>
      <c r="BC45" t="s">
        <v>417</v>
      </c>
      <c r="BD45" t="s">
        <v>186</v>
      </c>
      <c r="BF45" s="2">
        <v>45566</v>
      </c>
      <c r="BG45" t="s">
        <v>418</v>
      </c>
      <c r="BH45" t="s">
        <v>419</v>
      </c>
      <c r="BI45" t="s">
        <v>421</v>
      </c>
      <c r="BJ45" s="2">
        <v>45566</v>
      </c>
      <c r="BK45" t="s">
        <v>422</v>
      </c>
      <c r="BL45" s="2">
        <v>45559</v>
      </c>
      <c r="BM45" t="s">
        <v>429</v>
      </c>
      <c r="BN45" t="s">
        <v>437</v>
      </c>
      <c r="BO45" t="s">
        <v>442</v>
      </c>
      <c r="BP45" t="s">
        <v>444</v>
      </c>
      <c r="BQ45">
        <v>5</v>
      </c>
      <c r="BR45">
        <v>5</v>
      </c>
      <c r="BS45">
        <v>4</v>
      </c>
      <c r="BT45">
        <v>5</v>
      </c>
      <c r="BU45">
        <v>5</v>
      </c>
      <c r="BV45">
        <v>5</v>
      </c>
      <c r="BX45">
        <v>5</v>
      </c>
      <c r="BY45">
        <v>5</v>
      </c>
      <c r="BZ45" t="s">
        <v>450</v>
      </c>
      <c r="CB45" t="s">
        <v>456</v>
      </c>
      <c r="CC45" t="s">
        <v>457</v>
      </c>
      <c r="CD45" t="s">
        <v>458</v>
      </c>
      <c r="CE45" s="2">
        <v>46037</v>
      </c>
      <c r="CF45" s="2">
        <v>46218</v>
      </c>
      <c r="CH45" t="s">
        <v>459</v>
      </c>
      <c r="CJ45" t="s">
        <v>466</v>
      </c>
      <c r="CK45" t="s">
        <v>478</v>
      </c>
      <c r="CL45" t="s">
        <v>519</v>
      </c>
      <c r="CM45" t="s">
        <v>358</v>
      </c>
      <c r="CN45" t="s">
        <v>555</v>
      </c>
      <c r="CO45" t="s">
        <v>150</v>
      </c>
      <c r="CP45" s="2">
        <v>45009</v>
      </c>
      <c r="CQ45" s="2">
        <v>45739</v>
      </c>
      <c r="CR45" t="s">
        <v>562</v>
      </c>
      <c r="CS45" t="s">
        <v>391</v>
      </c>
      <c r="CT45" s="2">
        <v>45009</v>
      </c>
      <c r="CU45" t="s">
        <v>574</v>
      </c>
      <c r="CV45" t="s">
        <v>403</v>
      </c>
      <c r="CW45" t="s">
        <v>584</v>
      </c>
      <c r="CX45" t="s">
        <v>358</v>
      </c>
      <c r="CY45" t="s">
        <v>585</v>
      </c>
      <c r="DA45" t="s">
        <v>587</v>
      </c>
      <c r="DB45" t="s">
        <v>587</v>
      </c>
      <c r="DC45" t="s">
        <v>587</v>
      </c>
      <c r="DD45" t="s">
        <v>587</v>
      </c>
      <c r="DE45" t="s">
        <v>587</v>
      </c>
      <c r="DF45" t="s">
        <v>587</v>
      </c>
      <c r="DG45" t="s">
        <v>590</v>
      </c>
      <c r="DH45" t="s">
        <v>592</v>
      </c>
      <c r="DI45" t="s">
        <v>594</v>
      </c>
      <c r="DJ45" t="s">
        <v>587</v>
      </c>
      <c r="DK45" t="s">
        <v>587</v>
      </c>
      <c r="DL45" t="s">
        <v>587</v>
      </c>
      <c r="DM45" t="s">
        <v>587</v>
      </c>
      <c r="DN45" t="s">
        <v>595</v>
      </c>
      <c r="DO45" t="s">
        <v>596</v>
      </c>
      <c r="DP45" t="s">
        <v>596</v>
      </c>
      <c r="DQ45" t="s">
        <v>450</v>
      </c>
      <c r="DR45" t="s">
        <v>597</v>
      </c>
      <c r="DS45" t="s">
        <v>598</v>
      </c>
      <c r="DT45" t="s">
        <v>599</v>
      </c>
      <c r="DU45" t="s">
        <v>600</v>
      </c>
      <c r="DV45" s="2">
        <v>45392</v>
      </c>
      <c r="DW45" s="2">
        <v>45394</v>
      </c>
      <c r="DX45" t="s">
        <v>601</v>
      </c>
      <c r="DY45" s="2">
        <v>45397</v>
      </c>
      <c r="DZ45" t="s">
        <v>602</v>
      </c>
      <c r="EA45" t="s">
        <v>415</v>
      </c>
      <c r="EB45" s="2">
        <v>45413</v>
      </c>
    </row>
    <row r="46" spans="1:132">
      <c r="A46" t="s">
        <v>138</v>
      </c>
      <c r="B46" t="s">
        <v>150</v>
      </c>
      <c r="C46" t="s">
        <v>162</v>
      </c>
      <c r="D46" t="s">
        <v>174</v>
      </c>
      <c r="E46" t="s">
        <v>186</v>
      </c>
      <c r="F46" t="s">
        <v>194</v>
      </c>
      <c r="G46">
        <v>000000110</v>
      </c>
      <c r="H46">
        <v>999900212</v>
      </c>
      <c r="I46" t="s">
        <v>199</v>
      </c>
      <c r="J46" t="s">
        <v>205</v>
      </c>
      <c r="K46" t="s">
        <v>250</v>
      </c>
      <c r="L46" s="2">
        <v>46530</v>
      </c>
      <c r="M46" s="2">
        <v>45739</v>
      </c>
      <c r="N46" s="2">
        <v>46456</v>
      </c>
      <c r="P46" t="s">
        <v>298</v>
      </c>
      <c r="Q46" t="s">
        <v>301</v>
      </c>
      <c r="R46" t="s">
        <v>307</v>
      </c>
      <c r="S46">
        <v>122</v>
      </c>
      <c r="T46" t="s">
        <v>311</v>
      </c>
      <c r="U46" s="2">
        <v>36161</v>
      </c>
      <c r="V46" t="s">
        <v>318</v>
      </c>
      <c r="W46" t="s">
        <v>325</v>
      </c>
      <c r="X46" t="s">
        <v>334</v>
      </c>
      <c r="Y46" t="s">
        <v>346</v>
      </c>
      <c r="Z46" t="s">
        <v>352</v>
      </c>
      <c r="AA46" t="s">
        <v>358</v>
      </c>
      <c r="AB46">
        <v>44115</v>
      </c>
      <c r="AC46" t="s">
        <v>358</v>
      </c>
      <c r="AD46" t="s">
        <v>362</v>
      </c>
      <c r="AE46" s="2">
        <v>44708</v>
      </c>
      <c r="AF46" t="s">
        <v>365</v>
      </c>
      <c r="AH46" s="2">
        <v>45009</v>
      </c>
      <c r="AI46" t="s">
        <v>379</v>
      </c>
      <c r="AJ46" t="s">
        <v>391</v>
      </c>
      <c r="AK46" t="s">
        <v>403</v>
      </c>
      <c r="AM46" t="s">
        <v>409</v>
      </c>
      <c r="AN46" s="2">
        <v>46426</v>
      </c>
      <c r="AO46">
        <v>0</v>
      </c>
      <c r="AP46">
        <v>0</v>
      </c>
      <c r="AR46" t="s">
        <v>410</v>
      </c>
      <c r="AS46" s="2">
        <v>45566</v>
      </c>
      <c r="AT46" t="s">
        <v>412</v>
      </c>
      <c r="AU46" t="s">
        <v>413</v>
      </c>
      <c r="AX46" s="2">
        <v>45566</v>
      </c>
      <c r="AY46" t="s">
        <v>414</v>
      </c>
      <c r="AZ46" t="s">
        <v>415</v>
      </c>
      <c r="BB46" t="s">
        <v>416</v>
      </c>
      <c r="BC46" t="s">
        <v>417</v>
      </c>
      <c r="BD46" t="s">
        <v>186</v>
      </c>
      <c r="BF46" s="2">
        <v>45566</v>
      </c>
      <c r="BG46" t="s">
        <v>418</v>
      </c>
      <c r="BH46" t="s">
        <v>419</v>
      </c>
      <c r="BI46" t="s">
        <v>421</v>
      </c>
      <c r="BJ46" s="2">
        <v>45566</v>
      </c>
      <c r="BK46" t="s">
        <v>422</v>
      </c>
      <c r="BL46" s="2">
        <v>45559</v>
      </c>
      <c r="BM46" t="s">
        <v>429</v>
      </c>
      <c r="BN46" t="s">
        <v>437</v>
      </c>
      <c r="BO46" t="s">
        <v>442</v>
      </c>
      <c r="BP46" t="s">
        <v>444</v>
      </c>
      <c r="BQ46">
        <v>5</v>
      </c>
      <c r="BR46">
        <v>5</v>
      </c>
      <c r="BS46">
        <v>4</v>
      </c>
      <c r="BT46">
        <v>5</v>
      </c>
      <c r="BU46">
        <v>5</v>
      </c>
      <c r="BV46">
        <v>5</v>
      </c>
      <c r="BX46">
        <v>5</v>
      </c>
      <c r="BY46">
        <v>5</v>
      </c>
      <c r="BZ46" t="s">
        <v>450</v>
      </c>
      <c r="CB46" t="s">
        <v>456</v>
      </c>
      <c r="CC46" t="s">
        <v>457</v>
      </c>
      <c r="CD46" t="s">
        <v>458</v>
      </c>
      <c r="CE46" s="2">
        <v>46037</v>
      </c>
      <c r="CF46" s="2">
        <v>46218</v>
      </c>
      <c r="CH46" t="s">
        <v>459</v>
      </c>
      <c r="CJ46" t="s">
        <v>466</v>
      </c>
      <c r="CK46" t="s">
        <v>478</v>
      </c>
      <c r="CL46" t="s">
        <v>520</v>
      </c>
      <c r="CM46" t="s">
        <v>358</v>
      </c>
      <c r="CN46" t="s">
        <v>555</v>
      </c>
      <c r="CO46" t="s">
        <v>150</v>
      </c>
      <c r="CP46" s="2">
        <v>45009</v>
      </c>
      <c r="CQ46" s="2">
        <v>45739</v>
      </c>
      <c r="CR46" t="s">
        <v>562</v>
      </c>
      <c r="CS46" t="s">
        <v>391</v>
      </c>
      <c r="CT46" s="2">
        <v>45009</v>
      </c>
      <c r="CU46" t="s">
        <v>574</v>
      </c>
      <c r="CV46" t="s">
        <v>403</v>
      </c>
      <c r="CW46" t="s">
        <v>584</v>
      </c>
      <c r="CX46" t="s">
        <v>358</v>
      </c>
      <c r="CY46" t="s">
        <v>585</v>
      </c>
      <c r="DA46" t="s">
        <v>587</v>
      </c>
      <c r="DB46" t="s">
        <v>587</v>
      </c>
      <c r="DC46" t="s">
        <v>587</v>
      </c>
      <c r="DD46" t="s">
        <v>587</v>
      </c>
      <c r="DE46" t="s">
        <v>587</v>
      </c>
      <c r="DF46" t="s">
        <v>587</v>
      </c>
      <c r="DG46" t="s">
        <v>590</v>
      </c>
      <c r="DH46" t="s">
        <v>592</v>
      </c>
      <c r="DI46" t="s">
        <v>594</v>
      </c>
      <c r="DJ46" t="s">
        <v>587</v>
      </c>
      <c r="DK46" t="s">
        <v>587</v>
      </c>
      <c r="DL46" t="s">
        <v>587</v>
      </c>
      <c r="DM46" t="s">
        <v>587</v>
      </c>
      <c r="DN46" t="s">
        <v>595</v>
      </c>
      <c r="DO46" t="s">
        <v>596</v>
      </c>
      <c r="DP46" t="s">
        <v>596</v>
      </c>
      <c r="DQ46" t="s">
        <v>450</v>
      </c>
      <c r="DR46" t="s">
        <v>597</v>
      </c>
      <c r="DS46" t="s">
        <v>598</v>
      </c>
      <c r="DT46" t="s">
        <v>599</v>
      </c>
      <c r="DU46" t="s">
        <v>600</v>
      </c>
      <c r="DV46" s="2">
        <v>45392</v>
      </c>
      <c r="DW46" s="2">
        <v>45394</v>
      </c>
      <c r="DX46" t="s">
        <v>601</v>
      </c>
      <c r="DY46" s="2">
        <v>45397</v>
      </c>
      <c r="DZ46" t="s">
        <v>602</v>
      </c>
      <c r="EA46" t="s">
        <v>415</v>
      </c>
      <c r="EB46" s="2">
        <v>45413</v>
      </c>
    </row>
    <row r="47" spans="1:132">
      <c r="A47" t="s">
        <v>138</v>
      </c>
      <c r="B47" t="s">
        <v>150</v>
      </c>
      <c r="C47" t="s">
        <v>162</v>
      </c>
      <c r="D47" t="s">
        <v>174</v>
      </c>
      <c r="E47" t="s">
        <v>186</v>
      </c>
      <c r="F47" t="s">
        <v>194</v>
      </c>
      <c r="G47">
        <v>000000110</v>
      </c>
      <c r="H47">
        <v>999900212</v>
      </c>
      <c r="I47" t="s">
        <v>200</v>
      </c>
      <c r="J47" t="s">
        <v>205</v>
      </c>
      <c r="K47" t="s">
        <v>251</v>
      </c>
      <c r="L47" s="2">
        <v>46530</v>
      </c>
      <c r="M47" s="2">
        <v>45739</v>
      </c>
      <c r="N47" s="2">
        <v>46456</v>
      </c>
      <c r="P47" t="s">
        <v>298</v>
      </c>
      <c r="Q47" t="s">
        <v>301</v>
      </c>
      <c r="R47" t="s">
        <v>307</v>
      </c>
      <c r="S47">
        <v>122</v>
      </c>
      <c r="T47" t="s">
        <v>311</v>
      </c>
      <c r="U47" s="2">
        <v>36161</v>
      </c>
      <c r="V47" t="s">
        <v>318</v>
      </c>
      <c r="W47" t="s">
        <v>325</v>
      </c>
      <c r="X47" t="s">
        <v>334</v>
      </c>
      <c r="Y47" t="s">
        <v>346</v>
      </c>
      <c r="Z47" t="s">
        <v>352</v>
      </c>
      <c r="AA47" t="s">
        <v>358</v>
      </c>
      <c r="AB47">
        <v>44115</v>
      </c>
      <c r="AC47" t="s">
        <v>358</v>
      </c>
      <c r="AD47" t="s">
        <v>362</v>
      </c>
      <c r="AE47" s="2">
        <v>44708</v>
      </c>
      <c r="AF47" t="s">
        <v>365</v>
      </c>
      <c r="AH47" s="2">
        <v>45009</v>
      </c>
      <c r="AI47" t="s">
        <v>379</v>
      </c>
      <c r="AJ47" t="s">
        <v>391</v>
      </c>
      <c r="AK47" t="s">
        <v>403</v>
      </c>
      <c r="AM47" t="s">
        <v>409</v>
      </c>
      <c r="AN47" s="2">
        <v>46426</v>
      </c>
      <c r="AO47">
        <v>0</v>
      </c>
      <c r="AP47">
        <v>0</v>
      </c>
      <c r="AR47" t="s">
        <v>410</v>
      </c>
      <c r="AS47" s="2">
        <v>45566</v>
      </c>
      <c r="AT47" t="s">
        <v>412</v>
      </c>
      <c r="AU47" t="s">
        <v>413</v>
      </c>
      <c r="AX47" s="2">
        <v>45566</v>
      </c>
      <c r="AY47" t="s">
        <v>414</v>
      </c>
      <c r="AZ47" t="s">
        <v>415</v>
      </c>
      <c r="BB47" t="s">
        <v>416</v>
      </c>
      <c r="BC47" t="s">
        <v>417</v>
      </c>
      <c r="BD47" t="s">
        <v>186</v>
      </c>
      <c r="BF47" s="2">
        <v>45566</v>
      </c>
      <c r="BG47" t="s">
        <v>418</v>
      </c>
      <c r="BH47" t="s">
        <v>419</v>
      </c>
      <c r="BI47" t="s">
        <v>421</v>
      </c>
      <c r="BJ47" s="2">
        <v>45566</v>
      </c>
      <c r="BK47" t="s">
        <v>422</v>
      </c>
      <c r="BL47" s="2">
        <v>45559</v>
      </c>
      <c r="BM47" t="s">
        <v>429</v>
      </c>
      <c r="BN47" t="s">
        <v>437</v>
      </c>
      <c r="BO47" t="s">
        <v>442</v>
      </c>
      <c r="BP47" t="s">
        <v>444</v>
      </c>
      <c r="BQ47">
        <v>5</v>
      </c>
      <c r="BR47">
        <v>5</v>
      </c>
      <c r="BS47">
        <v>4</v>
      </c>
      <c r="BT47">
        <v>5</v>
      </c>
      <c r="BU47">
        <v>5</v>
      </c>
      <c r="BV47">
        <v>5</v>
      </c>
      <c r="BX47">
        <v>5</v>
      </c>
      <c r="BY47">
        <v>5</v>
      </c>
      <c r="BZ47" t="s">
        <v>450</v>
      </c>
      <c r="CB47" t="s">
        <v>456</v>
      </c>
      <c r="CC47" t="s">
        <v>457</v>
      </c>
      <c r="CD47" t="s">
        <v>458</v>
      </c>
      <c r="CE47" s="2">
        <v>46037</v>
      </c>
      <c r="CF47" s="2">
        <v>46218</v>
      </c>
      <c r="CH47" t="s">
        <v>459</v>
      </c>
      <c r="CJ47" t="s">
        <v>466</v>
      </c>
      <c r="CK47" t="s">
        <v>478</v>
      </c>
      <c r="CL47" t="s">
        <v>521</v>
      </c>
      <c r="CM47" t="s">
        <v>358</v>
      </c>
      <c r="CN47" t="s">
        <v>555</v>
      </c>
      <c r="CO47" t="s">
        <v>150</v>
      </c>
      <c r="CP47" s="2">
        <v>45009</v>
      </c>
      <c r="CQ47" s="2">
        <v>45739</v>
      </c>
      <c r="CR47" t="s">
        <v>562</v>
      </c>
      <c r="CS47" t="s">
        <v>391</v>
      </c>
      <c r="CT47" s="2">
        <v>45009</v>
      </c>
      <c r="CU47" t="s">
        <v>574</v>
      </c>
      <c r="CV47" t="s">
        <v>403</v>
      </c>
      <c r="CW47" t="s">
        <v>584</v>
      </c>
      <c r="CX47" t="s">
        <v>358</v>
      </c>
      <c r="CY47" t="s">
        <v>585</v>
      </c>
      <c r="DA47" t="s">
        <v>587</v>
      </c>
      <c r="DB47" t="s">
        <v>587</v>
      </c>
      <c r="DC47" t="s">
        <v>587</v>
      </c>
      <c r="DD47" t="s">
        <v>587</v>
      </c>
      <c r="DE47" t="s">
        <v>587</v>
      </c>
      <c r="DF47" t="s">
        <v>587</v>
      </c>
      <c r="DG47" t="s">
        <v>590</v>
      </c>
      <c r="DH47" t="s">
        <v>592</v>
      </c>
      <c r="DI47" t="s">
        <v>594</v>
      </c>
      <c r="DJ47" t="s">
        <v>587</v>
      </c>
      <c r="DK47" t="s">
        <v>587</v>
      </c>
      <c r="DL47" t="s">
        <v>587</v>
      </c>
      <c r="DM47" t="s">
        <v>587</v>
      </c>
      <c r="DN47" t="s">
        <v>595</v>
      </c>
      <c r="DO47" t="s">
        <v>596</v>
      </c>
      <c r="DP47" t="s">
        <v>596</v>
      </c>
      <c r="DQ47" t="s">
        <v>450</v>
      </c>
      <c r="DR47" t="s">
        <v>597</v>
      </c>
      <c r="DS47" t="s">
        <v>598</v>
      </c>
      <c r="DT47" t="s">
        <v>599</v>
      </c>
      <c r="DU47" t="s">
        <v>600</v>
      </c>
      <c r="DV47" s="2">
        <v>45392</v>
      </c>
      <c r="DW47" s="2">
        <v>45394</v>
      </c>
      <c r="DX47" t="s">
        <v>601</v>
      </c>
      <c r="DY47" s="2">
        <v>45397</v>
      </c>
      <c r="DZ47" t="s">
        <v>602</v>
      </c>
      <c r="EA47" t="s">
        <v>415</v>
      </c>
      <c r="EB47" s="2">
        <v>45413</v>
      </c>
    </row>
    <row r="48" spans="1:132">
      <c r="A48" t="s">
        <v>138</v>
      </c>
      <c r="B48" t="s">
        <v>150</v>
      </c>
      <c r="C48" t="s">
        <v>162</v>
      </c>
      <c r="D48" t="s">
        <v>174</v>
      </c>
      <c r="E48" t="s">
        <v>186</v>
      </c>
      <c r="F48" t="s">
        <v>194</v>
      </c>
      <c r="G48">
        <v>000000110</v>
      </c>
      <c r="H48">
        <v>999900212</v>
      </c>
      <c r="I48" t="s">
        <v>201</v>
      </c>
      <c r="J48" t="s">
        <v>205</v>
      </c>
      <c r="K48" t="s">
        <v>252</v>
      </c>
      <c r="L48" s="2">
        <v>46530</v>
      </c>
      <c r="M48" s="2">
        <v>45739</v>
      </c>
      <c r="N48" s="2">
        <v>46456</v>
      </c>
      <c r="P48" t="s">
        <v>298</v>
      </c>
      <c r="Q48" t="s">
        <v>301</v>
      </c>
      <c r="R48" t="s">
        <v>307</v>
      </c>
      <c r="S48">
        <v>122</v>
      </c>
      <c r="T48" t="s">
        <v>311</v>
      </c>
      <c r="U48" s="2">
        <v>36161</v>
      </c>
      <c r="V48" t="s">
        <v>318</v>
      </c>
      <c r="W48" t="s">
        <v>325</v>
      </c>
      <c r="X48" t="s">
        <v>334</v>
      </c>
      <c r="Y48" t="s">
        <v>346</v>
      </c>
      <c r="Z48" t="s">
        <v>352</v>
      </c>
      <c r="AA48" t="s">
        <v>358</v>
      </c>
      <c r="AB48">
        <v>44115</v>
      </c>
      <c r="AC48" t="s">
        <v>358</v>
      </c>
      <c r="AD48" t="s">
        <v>362</v>
      </c>
      <c r="AE48" s="2">
        <v>44708</v>
      </c>
      <c r="AF48" t="s">
        <v>365</v>
      </c>
      <c r="AH48" s="2">
        <v>45009</v>
      </c>
      <c r="AI48" t="s">
        <v>379</v>
      </c>
      <c r="AJ48" t="s">
        <v>391</v>
      </c>
      <c r="AK48" t="s">
        <v>403</v>
      </c>
      <c r="AM48" t="s">
        <v>409</v>
      </c>
      <c r="AN48" s="2">
        <v>46426</v>
      </c>
      <c r="AO48">
        <v>0</v>
      </c>
      <c r="AP48">
        <v>0</v>
      </c>
      <c r="AR48" t="s">
        <v>410</v>
      </c>
      <c r="AS48" s="2">
        <v>45566</v>
      </c>
      <c r="AT48" t="s">
        <v>412</v>
      </c>
      <c r="AU48" t="s">
        <v>413</v>
      </c>
      <c r="AX48" s="2">
        <v>45566</v>
      </c>
      <c r="AY48" t="s">
        <v>414</v>
      </c>
      <c r="AZ48" t="s">
        <v>415</v>
      </c>
      <c r="BB48" t="s">
        <v>416</v>
      </c>
      <c r="BC48" t="s">
        <v>417</v>
      </c>
      <c r="BD48" t="s">
        <v>186</v>
      </c>
      <c r="BF48" s="2">
        <v>45566</v>
      </c>
      <c r="BG48" t="s">
        <v>418</v>
      </c>
      <c r="BH48" t="s">
        <v>419</v>
      </c>
      <c r="BI48" t="s">
        <v>421</v>
      </c>
      <c r="BJ48" s="2">
        <v>45566</v>
      </c>
      <c r="BK48" t="s">
        <v>422</v>
      </c>
      <c r="BL48" s="2">
        <v>45559</v>
      </c>
      <c r="BM48" t="s">
        <v>429</v>
      </c>
      <c r="BN48" t="s">
        <v>437</v>
      </c>
      <c r="BO48" t="s">
        <v>442</v>
      </c>
      <c r="BP48" t="s">
        <v>444</v>
      </c>
      <c r="BQ48">
        <v>5</v>
      </c>
      <c r="BR48">
        <v>5</v>
      </c>
      <c r="BS48">
        <v>4</v>
      </c>
      <c r="BT48">
        <v>5</v>
      </c>
      <c r="BU48">
        <v>5</v>
      </c>
      <c r="BV48">
        <v>5</v>
      </c>
      <c r="BX48">
        <v>5</v>
      </c>
      <c r="BY48">
        <v>5</v>
      </c>
      <c r="BZ48" t="s">
        <v>450</v>
      </c>
      <c r="CB48" t="s">
        <v>456</v>
      </c>
      <c r="CC48" t="s">
        <v>457</v>
      </c>
      <c r="CD48" t="s">
        <v>458</v>
      </c>
      <c r="CE48" s="2">
        <v>46037</v>
      </c>
      <c r="CF48" s="2">
        <v>46218</v>
      </c>
      <c r="CH48" t="s">
        <v>459</v>
      </c>
      <c r="CJ48" t="s">
        <v>466</v>
      </c>
      <c r="CK48" t="s">
        <v>478</v>
      </c>
      <c r="CL48" t="s">
        <v>522</v>
      </c>
      <c r="CM48" t="s">
        <v>358</v>
      </c>
      <c r="CN48" t="s">
        <v>555</v>
      </c>
      <c r="CO48" t="s">
        <v>150</v>
      </c>
      <c r="CP48" s="2">
        <v>45009</v>
      </c>
      <c r="CQ48" s="2">
        <v>45739</v>
      </c>
      <c r="CR48" t="s">
        <v>562</v>
      </c>
      <c r="CS48" t="s">
        <v>391</v>
      </c>
      <c r="CT48" s="2">
        <v>45009</v>
      </c>
      <c r="CU48" t="s">
        <v>574</v>
      </c>
      <c r="CV48" t="s">
        <v>403</v>
      </c>
      <c r="CW48" t="s">
        <v>584</v>
      </c>
      <c r="CX48" t="s">
        <v>358</v>
      </c>
      <c r="CY48" t="s">
        <v>585</v>
      </c>
      <c r="DA48" t="s">
        <v>587</v>
      </c>
      <c r="DB48" t="s">
        <v>587</v>
      </c>
      <c r="DC48" t="s">
        <v>587</v>
      </c>
      <c r="DD48" t="s">
        <v>587</v>
      </c>
      <c r="DE48" t="s">
        <v>587</v>
      </c>
      <c r="DF48" t="s">
        <v>587</v>
      </c>
      <c r="DG48" t="s">
        <v>590</v>
      </c>
      <c r="DH48" t="s">
        <v>592</v>
      </c>
      <c r="DI48" t="s">
        <v>594</v>
      </c>
      <c r="DJ48" t="s">
        <v>587</v>
      </c>
      <c r="DK48" t="s">
        <v>587</v>
      </c>
      <c r="DL48" t="s">
        <v>587</v>
      </c>
      <c r="DM48" t="s">
        <v>587</v>
      </c>
      <c r="DN48" t="s">
        <v>595</v>
      </c>
      <c r="DO48" t="s">
        <v>596</v>
      </c>
      <c r="DP48" t="s">
        <v>596</v>
      </c>
      <c r="DQ48" t="s">
        <v>450</v>
      </c>
      <c r="DR48" t="s">
        <v>597</v>
      </c>
      <c r="DS48" t="s">
        <v>598</v>
      </c>
      <c r="DT48" t="s">
        <v>599</v>
      </c>
      <c r="DU48" t="s">
        <v>600</v>
      </c>
      <c r="DV48" s="2">
        <v>45392</v>
      </c>
      <c r="DW48" s="2">
        <v>45394</v>
      </c>
      <c r="DX48" t="s">
        <v>601</v>
      </c>
      <c r="DY48" s="2">
        <v>45397</v>
      </c>
      <c r="DZ48" t="s">
        <v>602</v>
      </c>
      <c r="EA48" t="s">
        <v>415</v>
      </c>
      <c r="EB48" s="2">
        <v>45413</v>
      </c>
    </row>
    <row r="49" spans="1:132">
      <c r="A49" t="s">
        <v>138</v>
      </c>
      <c r="B49" t="s">
        <v>150</v>
      </c>
      <c r="C49" t="s">
        <v>162</v>
      </c>
      <c r="D49" t="s">
        <v>174</v>
      </c>
      <c r="E49" t="s">
        <v>186</v>
      </c>
      <c r="F49" t="s">
        <v>194</v>
      </c>
      <c r="G49">
        <v>000000110</v>
      </c>
      <c r="H49">
        <v>999900212</v>
      </c>
      <c r="I49" t="s">
        <v>202</v>
      </c>
      <c r="J49" t="s">
        <v>205</v>
      </c>
      <c r="K49" t="s">
        <v>253</v>
      </c>
      <c r="L49" s="2">
        <v>46530</v>
      </c>
      <c r="M49" s="2">
        <v>45739</v>
      </c>
      <c r="N49" s="2">
        <v>46456</v>
      </c>
      <c r="O49" t="s">
        <v>293</v>
      </c>
      <c r="P49" t="s">
        <v>298</v>
      </c>
      <c r="Q49" t="s">
        <v>301</v>
      </c>
      <c r="R49" t="s">
        <v>307</v>
      </c>
      <c r="S49">
        <v>122</v>
      </c>
      <c r="T49" t="s">
        <v>311</v>
      </c>
      <c r="U49" s="2">
        <v>36161</v>
      </c>
      <c r="V49" t="s">
        <v>318</v>
      </c>
      <c r="W49" t="s">
        <v>325</v>
      </c>
      <c r="X49" t="s">
        <v>334</v>
      </c>
      <c r="Y49" t="s">
        <v>346</v>
      </c>
      <c r="Z49" t="s">
        <v>352</v>
      </c>
      <c r="AA49" t="s">
        <v>358</v>
      </c>
      <c r="AB49">
        <v>44115</v>
      </c>
      <c r="AC49" t="s">
        <v>358</v>
      </c>
      <c r="AD49" t="s">
        <v>362</v>
      </c>
      <c r="AE49" s="2">
        <v>44708</v>
      </c>
      <c r="AF49" t="s">
        <v>365</v>
      </c>
      <c r="AH49" s="2">
        <v>45009</v>
      </c>
      <c r="AI49" t="s">
        <v>379</v>
      </c>
      <c r="AJ49" t="s">
        <v>391</v>
      </c>
      <c r="AK49" t="s">
        <v>403</v>
      </c>
      <c r="AM49" t="s">
        <v>409</v>
      </c>
      <c r="AN49" s="2">
        <v>46426</v>
      </c>
      <c r="AO49">
        <v>0</v>
      </c>
      <c r="AP49">
        <v>0</v>
      </c>
      <c r="AR49" t="s">
        <v>410</v>
      </c>
      <c r="AS49" s="2">
        <v>45566</v>
      </c>
      <c r="AT49" t="s">
        <v>412</v>
      </c>
      <c r="AU49" t="s">
        <v>413</v>
      </c>
      <c r="AX49" s="2">
        <v>45566</v>
      </c>
      <c r="AY49" t="s">
        <v>414</v>
      </c>
      <c r="AZ49" t="s">
        <v>415</v>
      </c>
      <c r="BB49" t="s">
        <v>416</v>
      </c>
      <c r="BC49" t="s">
        <v>417</v>
      </c>
      <c r="BD49" t="s">
        <v>186</v>
      </c>
      <c r="BF49" s="2">
        <v>45566</v>
      </c>
      <c r="BG49" t="s">
        <v>418</v>
      </c>
      <c r="BH49" t="s">
        <v>419</v>
      </c>
      <c r="BI49" t="s">
        <v>421</v>
      </c>
      <c r="BJ49" s="2">
        <v>45566</v>
      </c>
      <c r="BK49" t="s">
        <v>422</v>
      </c>
      <c r="BL49" s="2">
        <v>45559</v>
      </c>
      <c r="BM49" t="s">
        <v>429</v>
      </c>
      <c r="BN49" t="s">
        <v>437</v>
      </c>
      <c r="BO49" t="s">
        <v>442</v>
      </c>
      <c r="BP49" t="s">
        <v>444</v>
      </c>
      <c r="BQ49">
        <v>5</v>
      </c>
      <c r="BR49">
        <v>5</v>
      </c>
      <c r="BS49">
        <v>4</v>
      </c>
      <c r="BT49">
        <v>5</v>
      </c>
      <c r="BU49">
        <v>5</v>
      </c>
      <c r="BV49">
        <v>5</v>
      </c>
      <c r="BX49">
        <v>5</v>
      </c>
      <c r="BY49">
        <v>5</v>
      </c>
      <c r="BZ49" t="s">
        <v>450</v>
      </c>
      <c r="CB49" t="s">
        <v>456</v>
      </c>
      <c r="CC49" t="s">
        <v>457</v>
      </c>
      <c r="CD49" t="s">
        <v>458</v>
      </c>
      <c r="CE49" s="2">
        <v>46037</v>
      </c>
      <c r="CF49" s="2">
        <v>46218</v>
      </c>
      <c r="CH49" t="s">
        <v>459</v>
      </c>
      <c r="CJ49" t="s">
        <v>466</v>
      </c>
      <c r="CK49" t="s">
        <v>478</v>
      </c>
      <c r="CL49" t="s">
        <v>523</v>
      </c>
      <c r="CM49" t="s">
        <v>358</v>
      </c>
      <c r="CN49" t="s">
        <v>555</v>
      </c>
      <c r="CO49" t="s">
        <v>150</v>
      </c>
      <c r="CP49" s="2">
        <v>45009</v>
      </c>
      <c r="CQ49" s="2">
        <v>45739</v>
      </c>
      <c r="CR49" t="s">
        <v>562</v>
      </c>
      <c r="CS49" t="s">
        <v>391</v>
      </c>
      <c r="CT49" s="2">
        <v>45009</v>
      </c>
      <c r="CU49" t="s">
        <v>574</v>
      </c>
      <c r="CV49" t="s">
        <v>403</v>
      </c>
      <c r="CW49" t="s">
        <v>584</v>
      </c>
      <c r="CX49" t="s">
        <v>358</v>
      </c>
      <c r="CY49" t="s">
        <v>585</v>
      </c>
      <c r="DA49" t="s">
        <v>587</v>
      </c>
      <c r="DB49" t="s">
        <v>587</v>
      </c>
      <c r="DC49" t="s">
        <v>587</v>
      </c>
      <c r="DD49" t="s">
        <v>587</v>
      </c>
      <c r="DE49" t="s">
        <v>587</v>
      </c>
      <c r="DF49" t="s">
        <v>587</v>
      </c>
      <c r="DG49" t="s">
        <v>590</v>
      </c>
      <c r="DH49" t="s">
        <v>592</v>
      </c>
      <c r="DI49" t="s">
        <v>594</v>
      </c>
      <c r="DJ49" t="s">
        <v>587</v>
      </c>
      <c r="DK49" t="s">
        <v>587</v>
      </c>
      <c r="DL49" t="s">
        <v>587</v>
      </c>
      <c r="DM49" t="s">
        <v>587</v>
      </c>
      <c r="DN49" t="s">
        <v>595</v>
      </c>
      <c r="DO49" t="s">
        <v>596</v>
      </c>
      <c r="DP49" t="s">
        <v>596</v>
      </c>
      <c r="DQ49" t="s">
        <v>450</v>
      </c>
      <c r="DR49" t="s">
        <v>597</v>
      </c>
      <c r="DS49" t="s">
        <v>598</v>
      </c>
      <c r="DT49" t="s">
        <v>599</v>
      </c>
      <c r="DU49" t="s">
        <v>600</v>
      </c>
      <c r="DV49" s="2">
        <v>45392</v>
      </c>
      <c r="DW49" s="2">
        <v>45394</v>
      </c>
      <c r="DX49" t="s">
        <v>601</v>
      </c>
      <c r="DY49" s="2">
        <v>45397</v>
      </c>
      <c r="DZ49" t="s">
        <v>602</v>
      </c>
      <c r="EA49" t="s">
        <v>415</v>
      </c>
      <c r="EB49" s="2">
        <v>45413</v>
      </c>
    </row>
    <row r="50" spans="1:132">
      <c r="A50" t="s">
        <v>138</v>
      </c>
      <c r="B50" t="s">
        <v>150</v>
      </c>
      <c r="C50" t="s">
        <v>162</v>
      </c>
      <c r="D50" t="s">
        <v>174</v>
      </c>
      <c r="E50" t="s">
        <v>186</v>
      </c>
      <c r="F50" t="s">
        <v>194</v>
      </c>
      <c r="G50">
        <v>000000110</v>
      </c>
      <c r="H50">
        <v>999900212</v>
      </c>
      <c r="I50" t="s">
        <v>203</v>
      </c>
      <c r="J50" t="s">
        <v>205</v>
      </c>
      <c r="K50" t="s">
        <v>254</v>
      </c>
      <c r="L50" s="2">
        <v>46530</v>
      </c>
      <c r="M50" s="2">
        <v>45739</v>
      </c>
      <c r="N50" s="2">
        <v>46456</v>
      </c>
      <c r="P50" t="s">
        <v>298</v>
      </c>
      <c r="Q50" t="s">
        <v>301</v>
      </c>
      <c r="R50" t="s">
        <v>307</v>
      </c>
      <c r="S50">
        <v>122</v>
      </c>
      <c r="T50" t="s">
        <v>311</v>
      </c>
      <c r="U50" s="2">
        <v>36161</v>
      </c>
      <c r="V50" t="s">
        <v>318</v>
      </c>
      <c r="W50" t="s">
        <v>325</v>
      </c>
      <c r="X50" t="s">
        <v>334</v>
      </c>
      <c r="Y50" t="s">
        <v>346</v>
      </c>
      <c r="Z50" t="s">
        <v>352</v>
      </c>
      <c r="AA50" t="s">
        <v>358</v>
      </c>
      <c r="AB50">
        <v>44115</v>
      </c>
      <c r="AC50" t="s">
        <v>358</v>
      </c>
      <c r="AD50" t="s">
        <v>362</v>
      </c>
      <c r="AE50" s="2">
        <v>44708</v>
      </c>
      <c r="AF50" t="s">
        <v>365</v>
      </c>
      <c r="AH50" s="2">
        <v>45009</v>
      </c>
      <c r="AI50" t="s">
        <v>379</v>
      </c>
      <c r="AJ50" t="s">
        <v>391</v>
      </c>
      <c r="AK50" t="s">
        <v>403</v>
      </c>
      <c r="AM50" t="s">
        <v>409</v>
      </c>
      <c r="AN50" s="2">
        <v>46426</v>
      </c>
      <c r="AO50">
        <v>0</v>
      </c>
      <c r="AP50">
        <v>0</v>
      </c>
      <c r="AR50" t="s">
        <v>410</v>
      </c>
      <c r="AS50" s="2">
        <v>45566</v>
      </c>
      <c r="AT50" t="s">
        <v>412</v>
      </c>
      <c r="AU50" t="s">
        <v>413</v>
      </c>
      <c r="AX50" s="2">
        <v>45566</v>
      </c>
      <c r="AY50" t="s">
        <v>414</v>
      </c>
      <c r="AZ50" t="s">
        <v>415</v>
      </c>
      <c r="BB50" t="s">
        <v>416</v>
      </c>
      <c r="BC50" t="s">
        <v>417</v>
      </c>
      <c r="BD50" t="s">
        <v>186</v>
      </c>
      <c r="BF50" s="2">
        <v>45566</v>
      </c>
      <c r="BG50" t="s">
        <v>418</v>
      </c>
      <c r="BH50" t="s">
        <v>419</v>
      </c>
      <c r="BI50" t="s">
        <v>421</v>
      </c>
      <c r="BJ50" s="2">
        <v>45566</v>
      </c>
      <c r="BK50" t="s">
        <v>422</v>
      </c>
      <c r="BL50" s="2">
        <v>45559</v>
      </c>
      <c r="BM50" t="s">
        <v>429</v>
      </c>
      <c r="BN50" t="s">
        <v>437</v>
      </c>
      <c r="BO50" t="s">
        <v>442</v>
      </c>
      <c r="BP50" t="s">
        <v>444</v>
      </c>
      <c r="BQ50">
        <v>5</v>
      </c>
      <c r="BR50">
        <v>5</v>
      </c>
      <c r="BS50">
        <v>4</v>
      </c>
      <c r="BT50">
        <v>5</v>
      </c>
      <c r="BU50">
        <v>5</v>
      </c>
      <c r="BV50">
        <v>5</v>
      </c>
      <c r="BX50">
        <v>5</v>
      </c>
      <c r="BY50">
        <v>5</v>
      </c>
      <c r="BZ50" t="s">
        <v>450</v>
      </c>
      <c r="CB50" t="s">
        <v>456</v>
      </c>
      <c r="CC50" t="s">
        <v>457</v>
      </c>
      <c r="CD50" t="s">
        <v>458</v>
      </c>
      <c r="CE50" s="2">
        <v>46037</v>
      </c>
      <c r="CF50" s="2">
        <v>46218</v>
      </c>
      <c r="CH50" t="s">
        <v>459</v>
      </c>
      <c r="CJ50" t="s">
        <v>466</v>
      </c>
      <c r="CK50" t="s">
        <v>478</v>
      </c>
      <c r="CL50" t="s">
        <v>524</v>
      </c>
      <c r="CM50" t="s">
        <v>358</v>
      </c>
      <c r="CN50" t="s">
        <v>555</v>
      </c>
      <c r="CO50" t="s">
        <v>150</v>
      </c>
      <c r="CP50" s="2">
        <v>45009</v>
      </c>
      <c r="CQ50" s="2">
        <v>45739</v>
      </c>
      <c r="CR50" t="s">
        <v>562</v>
      </c>
      <c r="CS50" t="s">
        <v>391</v>
      </c>
      <c r="CT50" s="2">
        <v>45009</v>
      </c>
      <c r="CU50" t="s">
        <v>574</v>
      </c>
      <c r="CV50" t="s">
        <v>403</v>
      </c>
      <c r="CW50" t="s">
        <v>584</v>
      </c>
      <c r="CX50" t="s">
        <v>358</v>
      </c>
      <c r="CY50" t="s">
        <v>585</v>
      </c>
      <c r="DA50" t="s">
        <v>587</v>
      </c>
      <c r="DB50" t="s">
        <v>587</v>
      </c>
      <c r="DC50" t="s">
        <v>587</v>
      </c>
      <c r="DD50" t="s">
        <v>587</v>
      </c>
      <c r="DE50" t="s">
        <v>587</v>
      </c>
      <c r="DF50" t="s">
        <v>587</v>
      </c>
      <c r="DG50" t="s">
        <v>590</v>
      </c>
      <c r="DH50" t="s">
        <v>592</v>
      </c>
      <c r="DI50" t="s">
        <v>594</v>
      </c>
      <c r="DJ50" t="s">
        <v>587</v>
      </c>
      <c r="DK50" t="s">
        <v>587</v>
      </c>
      <c r="DL50" t="s">
        <v>587</v>
      </c>
      <c r="DM50" t="s">
        <v>587</v>
      </c>
      <c r="DN50" t="s">
        <v>595</v>
      </c>
      <c r="DO50" t="s">
        <v>596</v>
      </c>
      <c r="DP50" t="s">
        <v>596</v>
      </c>
      <c r="DQ50" t="s">
        <v>450</v>
      </c>
      <c r="DR50" t="s">
        <v>597</v>
      </c>
      <c r="DS50" t="s">
        <v>598</v>
      </c>
      <c r="DT50" t="s">
        <v>599</v>
      </c>
      <c r="DU50" t="s">
        <v>600</v>
      </c>
      <c r="DV50" s="2">
        <v>45392</v>
      </c>
      <c r="DW50" s="2">
        <v>45394</v>
      </c>
      <c r="DX50" t="s">
        <v>601</v>
      </c>
      <c r="DY50" s="2">
        <v>45397</v>
      </c>
      <c r="DZ50" t="s">
        <v>602</v>
      </c>
      <c r="EA50" t="s">
        <v>415</v>
      </c>
      <c r="EB50" s="2">
        <v>45413</v>
      </c>
    </row>
    <row r="51" spans="1:132">
      <c r="A51" t="s">
        <v>139</v>
      </c>
      <c r="B51" t="s">
        <v>151</v>
      </c>
      <c r="C51" t="s">
        <v>163</v>
      </c>
      <c r="D51" t="s">
        <v>175</v>
      </c>
      <c r="E51" t="s">
        <v>187</v>
      </c>
      <c r="F51" t="s">
        <v>195</v>
      </c>
      <c r="G51">
        <v>000000108</v>
      </c>
      <c r="H51">
        <v>999900204</v>
      </c>
      <c r="I51" t="s">
        <v>197</v>
      </c>
      <c r="J51" t="s">
        <v>205</v>
      </c>
      <c r="K51" t="s">
        <v>255</v>
      </c>
      <c r="L51" s="2">
        <v>46620</v>
      </c>
      <c r="M51" s="2">
        <v>46670</v>
      </c>
      <c r="N51" s="2">
        <v>46452</v>
      </c>
      <c r="P51" t="s">
        <v>298</v>
      </c>
      <c r="Q51" t="s">
        <v>301</v>
      </c>
      <c r="R51" t="s">
        <v>304</v>
      </c>
      <c r="S51">
        <v>194</v>
      </c>
      <c r="T51" t="s">
        <v>310</v>
      </c>
      <c r="U51" s="2">
        <v>23377</v>
      </c>
      <c r="V51" t="s">
        <v>319</v>
      </c>
      <c r="W51" t="s">
        <v>324</v>
      </c>
      <c r="X51" t="s">
        <v>335</v>
      </c>
      <c r="Y51" t="s">
        <v>347</v>
      </c>
      <c r="Z51" t="s">
        <v>357</v>
      </c>
      <c r="AA51" t="s">
        <v>358</v>
      </c>
      <c r="AB51">
        <v>43604</v>
      </c>
      <c r="AC51" t="s">
        <v>358</v>
      </c>
      <c r="AD51" t="s">
        <v>362</v>
      </c>
      <c r="AE51" s="2">
        <v>44798</v>
      </c>
      <c r="AF51" t="s">
        <v>367</v>
      </c>
      <c r="AG51" t="s">
        <v>372</v>
      </c>
      <c r="AH51" s="2">
        <v>45940</v>
      </c>
      <c r="AI51" t="s">
        <v>380</v>
      </c>
      <c r="AJ51" t="s">
        <v>392</v>
      </c>
      <c r="AK51" t="s">
        <v>404</v>
      </c>
      <c r="AL51" t="s">
        <v>372</v>
      </c>
      <c r="AM51" t="s">
        <v>409</v>
      </c>
      <c r="AN51" s="2">
        <v>46422</v>
      </c>
      <c r="AO51">
        <v>1</v>
      </c>
      <c r="AP51">
        <v>0</v>
      </c>
      <c r="AQ51" t="s">
        <v>372</v>
      </c>
      <c r="AR51" t="s">
        <v>410</v>
      </c>
      <c r="AS51" s="2">
        <v>45467</v>
      </c>
      <c r="AT51" t="s">
        <v>412</v>
      </c>
      <c r="AU51" t="s">
        <v>413</v>
      </c>
      <c r="AX51" s="2">
        <v>45467</v>
      </c>
      <c r="AY51" t="s">
        <v>414</v>
      </c>
      <c r="AZ51" t="s">
        <v>415</v>
      </c>
      <c r="BB51" t="s">
        <v>416</v>
      </c>
      <c r="BC51" t="s">
        <v>417</v>
      </c>
      <c r="BD51" t="s">
        <v>187</v>
      </c>
      <c r="BF51" s="2">
        <v>45467</v>
      </c>
      <c r="BG51" t="s">
        <v>418</v>
      </c>
      <c r="BH51" t="s">
        <v>419</v>
      </c>
      <c r="BI51" t="s">
        <v>421</v>
      </c>
      <c r="BJ51" s="2">
        <v>45467</v>
      </c>
      <c r="BK51" t="s">
        <v>422</v>
      </c>
      <c r="BL51" s="2">
        <v>45460</v>
      </c>
      <c r="BM51" t="s">
        <v>430</v>
      </c>
      <c r="BN51" t="s">
        <v>436</v>
      </c>
      <c r="BO51" t="s">
        <v>443</v>
      </c>
      <c r="BP51" t="s">
        <v>449</v>
      </c>
      <c r="BQ51">
        <v>4</v>
      </c>
      <c r="BR51">
        <v>5</v>
      </c>
      <c r="BS51">
        <v>4</v>
      </c>
      <c r="BT51">
        <v>4</v>
      </c>
      <c r="BU51">
        <v>4</v>
      </c>
      <c r="BV51">
        <v>5</v>
      </c>
      <c r="BW51">
        <v>4</v>
      </c>
      <c r="BX51">
        <v>4</v>
      </c>
      <c r="BY51">
        <v>4</v>
      </c>
      <c r="BZ51" t="s">
        <v>450</v>
      </c>
      <c r="CA51" t="s">
        <v>454</v>
      </c>
      <c r="CB51" t="s">
        <v>456</v>
      </c>
      <c r="CC51" t="s">
        <v>457</v>
      </c>
      <c r="CD51" t="s">
        <v>458</v>
      </c>
      <c r="CE51" s="2">
        <v>46037</v>
      </c>
      <c r="CF51" s="2">
        <v>46218</v>
      </c>
      <c r="CH51" t="s">
        <v>459</v>
      </c>
      <c r="CJ51" t="s">
        <v>467</v>
      </c>
      <c r="CK51" t="s">
        <v>479</v>
      </c>
      <c r="CL51" t="s">
        <v>255</v>
      </c>
      <c r="CM51" t="s">
        <v>358</v>
      </c>
      <c r="CN51" t="s">
        <v>555</v>
      </c>
      <c r="CO51" t="s">
        <v>151</v>
      </c>
      <c r="CP51" s="2">
        <v>45940</v>
      </c>
      <c r="CQ51" s="2">
        <v>46670</v>
      </c>
      <c r="CR51" t="s">
        <v>563</v>
      </c>
      <c r="CS51" t="s">
        <v>392</v>
      </c>
      <c r="CT51" s="2">
        <v>45940</v>
      </c>
      <c r="CU51" t="s">
        <v>575</v>
      </c>
      <c r="CV51" t="s">
        <v>404</v>
      </c>
      <c r="CW51" t="s">
        <v>582</v>
      </c>
      <c r="CX51" t="s">
        <v>358</v>
      </c>
      <c r="CY51" t="s">
        <v>586</v>
      </c>
      <c r="DA51" t="s">
        <v>587</v>
      </c>
      <c r="DB51" t="s">
        <v>587</v>
      </c>
      <c r="DC51" t="s">
        <v>587</v>
      </c>
      <c r="DD51" t="s">
        <v>588</v>
      </c>
      <c r="DE51" t="s">
        <v>587</v>
      </c>
      <c r="DF51" t="s">
        <v>587</v>
      </c>
      <c r="DG51" t="s">
        <v>590</v>
      </c>
      <c r="DH51" t="s">
        <v>592</v>
      </c>
      <c r="DI51" t="s">
        <v>594</v>
      </c>
      <c r="DJ51" t="s">
        <v>587</v>
      </c>
      <c r="DK51" t="s">
        <v>587</v>
      </c>
      <c r="DL51" t="s">
        <v>587</v>
      </c>
      <c r="DM51" t="s">
        <v>587</v>
      </c>
      <c r="DN51" t="s">
        <v>595</v>
      </c>
      <c r="DO51" t="s">
        <v>596</v>
      </c>
      <c r="DP51" t="s">
        <v>596</v>
      </c>
      <c r="DQ51" t="s">
        <v>450</v>
      </c>
      <c r="DR51" t="s">
        <v>597</v>
      </c>
      <c r="DS51" t="s">
        <v>598</v>
      </c>
      <c r="DT51" t="s">
        <v>599</v>
      </c>
      <c r="DU51" t="s">
        <v>600</v>
      </c>
      <c r="DV51" s="2">
        <v>45392</v>
      </c>
      <c r="DW51" s="2">
        <v>45394</v>
      </c>
      <c r="DX51" t="s">
        <v>601</v>
      </c>
      <c r="DY51" s="2">
        <v>45397</v>
      </c>
      <c r="DZ51" t="s">
        <v>602</v>
      </c>
      <c r="EA51" t="s">
        <v>415</v>
      </c>
      <c r="EB51" s="2">
        <v>45413</v>
      </c>
    </row>
    <row r="52" spans="1:132">
      <c r="A52" t="s">
        <v>139</v>
      </c>
      <c r="B52" t="s">
        <v>151</v>
      </c>
      <c r="C52" t="s">
        <v>163</v>
      </c>
      <c r="D52" t="s">
        <v>175</v>
      </c>
      <c r="E52" t="s">
        <v>187</v>
      </c>
      <c r="F52" t="s">
        <v>195</v>
      </c>
      <c r="G52">
        <v>000000108</v>
      </c>
      <c r="H52">
        <v>999900204</v>
      </c>
      <c r="I52" t="s">
        <v>198</v>
      </c>
      <c r="J52" t="s">
        <v>205</v>
      </c>
      <c r="K52" t="s">
        <v>256</v>
      </c>
      <c r="L52" s="2">
        <v>46620</v>
      </c>
      <c r="M52" s="2">
        <v>46670</v>
      </c>
      <c r="N52" s="2">
        <v>46452</v>
      </c>
      <c r="P52" t="s">
        <v>298</v>
      </c>
      <c r="Q52" t="s">
        <v>301</v>
      </c>
      <c r="R52" t="s">
        <v>304</v>
      </c>
      <c r="S52">
        <v>194</v>
      </c>
      <c r="T52" t="s">
        <v>310</v>
      </c>
      <c r="U52" s="2">
        <v>23377</v>
      </c>
      <c r="V52" t="s">
        <v>319</v>
      </c>
      <c r="W52" t="s">
        <v>324</v>
      </c>
      <c r="X52" t="s">
        <v>335</v>
      </c>
      <c r="Y52" t="s">
        <v>347</v>
      </c>
      <c r="Z52" t="s">
        <v>357</v>
      </c>
      <c r="AA52" t="s">
        <v>358</v>
      </c>
      <c r="AB52">
        <v>43604</v>
      </c>
      <c r="AC52" t="s">
        <v>358</v>
      </c>
      <c r="AD52" t="s">
        <v>362</v>
      </c>
      <c r="AE52" s="2">
        <v>44798</v>
      </c>
      <c r="AF52" t="s">
        <v>367</v>
      </c>
      <c r="AG52" t="s">
        <v>372</v>
      </c>
      <c r="AH52" s="2">
        <v>45940</v>
      </c>
      <c r="AI52" t="s">
        <v>380</v>
      </c>
      <c r="AJ52" t="s">
        <v>392</v>
      </c>
      <c r="AK52" t="s">
        <v>404</v>
      </c>
      <c r="AL52" t="s">
        <v>372</v>
      </c>
      <c r="AM52" t="s">
        <v>409</v>
      </c>
      <c r="AN52" s="2">
        <v>46422</v>
      </c>
      <c r="AO52">
        <v>1</v>
      </c>
      <c r="AP52">
        <v>0</v>
      </c>
      <c r="AQ52" t="s">
        <v>372</v>
      </c>
      <c r="AR52" t="s">
        <v>410</v>
      </c>
      <c r="AS52" s="2">
        <v>45467</v>
      </c>
      <c r="AT52" t="s">
        <v>412</v>
      </c>
      <c r="AU52" t="s">
        <v>413</v>
      </c>
      <c r="AX52" s="2">
        <v>45467</v>
      </c>
      <c r="AY52" t="s">
        <v>414</v>
      </c>
      <c r="AZ52" t="s">
        <v>415</v>
      </c>
      <c r="BB52" t="s">
        <v>416</v>
      </c>
      <c r="BC52" t="s">
        <v>417</v>
      </c>
      <c r="BD52" t="s">
        <v>187</v>
      </c>
      <c r="BF52" s="2">
        <v>45467</v>
      </c>
      <c r="BG52" t="s">
        <v>418</v>
      </c>
      <c r="BH52" t="s">
        <v>419</v>
      </c>
      <c r="BI52" t="s">
        <v>421</v>
      </c>
      <c r="BJ52" s="2">
        <v>45467</v>
      </c>
      <c r="BK52" t="s">
        <v>422</v>
      </c>
      <c r="BL52" s="2">
        <v>45460</v>
      </c>
      <c r="BM52" t="s">
        <v>430</v>
      </c>
      <c r="BN52" t="s">
        <v>436</v>
      </c>
      <c r="BO52" t="s">
        <v>443</v>
      </c>
      <c r="BP52" t="s">
        <v>449</v>
      </c>
      <c r="BQ52">
        <v>4</v>
      </c>
      <c r="BR52">
        <v>5</v>
      </c>
      <c r="BS52">
        <v>4</v>
      </c>
      <c r="BT52">
        <v>4</v>
      </c>
      <c r="BU52">
        <v>4</v>
      </c>
      <c r="BV52">
        <v>5</v>
      </c>
      <c r="BW52">
        <v>4</v>
      </c>
      <c r="BX52">
        <v>4</v>
      </c>
      <c r="BY52">
        <v>4</v>
      </c>
      <c r="BZ52" t="s">
        <v>450</v>
      </c>
      <c r="CA52" t="s">
        <v>454</v>
      </c>
      <c r="CB52" t="s">
        <v>456</v>
      </c>
      <c r="CC52" t="s">
        <v>457</v>
      </c>
      <c r="CD52" t="s">
        <v>458</v>
      </c>
      <c r="CE52" s="2">
        <v>46037</v>
      </c>
      <c r="CF52" s="2">
        <v>46218</v>
      </c>
      <c r="CH52" t="s">
        <v>459</v>
      </c>
      <c r="CJ52" t="s">
        <v>467</v>
      </c>
      <c r="CK52" t="s">
        <v>479</v>
      </c>
      <c r="CL52" t="s">
        <v>525</v>
      </c>
      <c r="CM52" t="s">
        <v>358</v>
      </c>
      <c r="CN52" t="s">
        <v>555</v>
      </c>
      <c r="CO52" t="s">
        <v>151</v>
      </c>
      <c r="CP52" s="2">
        <v>45940</v>
      </c>
      <c r="CQ52" s="2">
        <v>46670</v>
      </c>
      <c r="CR52" t="s">
        <v>563</v>
      </c>
      <c r="CS52" t="s">
        <v>392</v>
      </c>
      <c r="CT52" s="2">
        <v>45940</v>
      </c>
      <c r="CU52" t="s">
        <v>575</v>
      </c>
      <c r="CV52" t="s">
        <v>404</v>
      </c>
      <c r="CW52" t="s">
        <v>582</v>
      </c>
      <c r="CX52" t="s">
        <v>358</v>
      </c>
      <c r="CY52" t="s">
        <v>586</v>
      </c>
      <c r="DA52" t="s">
        <v>587</v>
      </c>
      <c r="DB52" t="s">
        <v>587</v>
      </c>
      <c r="DC52" t="s">
        <v>587</v>
      </c>
      <c r="DD52" t="s">
        <v>588</v>
      </c>
      <c r="DE52" t="s">
        <v>587</v>
      </c>
      <c r="DF52" t="s">
        <v>587</v>
      </c>
      <c r="DG52" t="s">
        <v>590</v>
      </c>
      <c r="DH52" t="s">
        <v>592</v>
      </c>
      <c r="DI52" t="s">
        <v>594</v>
      </c>
      <c r="DJ52" t="s">
        <v>587</v>
      </c>
      <c r="DK52" t="s">
        <v>587</v>
      </c>
      <c r="DL52" t="s">
        <v>587</v>
      </c>
      <c r="DM52" t="s">
        <v>587</v>
      </c>
      <c r="DN52" t="s">
        <v>595</v>
      </c>
      <c r="DO52" t="s">
        <v>596</v>
      </c>
      <c r="DP52" t="s">
        <v>596</v>
      </c>
      <c r="DQ52" t="s">
        <v>450</v>
      </c>
      <c r="DR52" t="s">
        <v>597</v>
      </c>
      <c r="DS52" t="s">
        <v>598</v>
      </c>
      <c r="DT52" t="s">
        <v>599</v>
      </c>
      <c r="DU52" t="s">
        <v>600</v>
      </c>
      <c r="DV52" s="2">
        <v>45392</v>
      </c>
      <c r="DW52" s="2">
        <v>45394</v>
      </c>
      <c r="DX52" t="s">
        <v>601</v>
      </c>
      <c r="DY52" s="2">
        <v>45397</v>
      </c>
      <c r="DZ52" t="s">
        <v>602</v>
      </c>
      <c r="EA52" t="s">
        <v>415</v>
      </c>
      <c r="EB52" s="2">
        <v>45413</v>
      </c>
    </row>
    <row r="53" spans="1:132">
      <c r="A53" t="s">
        <v>139</v>
      </c>
      <c r="B53" t="s">
        <v>151</v>
      </c>
      <c r="C53" t="s">
        <v>163</v>
      </c>
      <c r="D53" t="s">
        <v>175</v>
      </c>
      <c r="E53" t="s">
        <v>187</v>
      </c>
      <c r="F53" t="s">
        <v>195</v>
      </c>
      <c r="G53">
        <v>000000108</v>
      </c>
      <c r="H53">
        <v>999900204</v>
      </c>
      <c r="I53" t="s">
        <v>199</v>
      </c>
      <c r="J53" t="s">
        <v>205</v>
      </c>
      <c r="K53" t="s">
        <v>257</v>
      </c>
      <c r="L53" s="2">
        <v>46620</v>
      </c>
      <c r="M53" s="2">
        <v>46670</v>
      </c>
      <c r="N53" s="2">
        <v>46452</v>
      </c>
      <c r="P53" t="s">
        <v>298</v>
      </c>
      <c r="Q53" t="s">
        <v>301</v>
      </c>
      <c r="R53" t="s">
        <v>304</v>
      </c>
      <c r="S53">
        <v>194</v>
      </c>
      <c r="T53" t="s">
        <v>310</v>
      </c>
      <c r="U53" s="2">
        <v>23377</v>
      </c>
      <c r="V53" t="s">
        <v>319</v>
      </c>
      <c r="W53" t="s">
        <v>324</v>
      </c>
      <c r="X53" t="s">
        <v>335</v>
      </c>
      <c r="Y53" t="s">
        <v>347</v>
      </c>
      <c r="Z53" t="s">
        <v>357</v>
      </c>
      <c r="AA53" t="s">
        <v>358</v>
      </c>
      <c r="AB53">
        <v>43604</v>
      </c>
      <c r="AC53" t="s">
        <v>358</v>
      </c>
      <c r="AD53" t="s">
        <v>362</v>
      </c>
      <c r="AE53" s="2">
        <v>44798</v>
      </c>
      <c r="AF53" t="s">
        <v>367</v>
      </c>
      <c r="AG53" t="s">
        <v>372</v>
      </c>
      <c r="AH53" s="2">
        <v>45940</v>
      </c>
      <c r="AI53" t="s">
        <v>380</v>
      </c>
      <c r="AJ53" t="s">
        <v>392</v>
      </c>
      <c r="AK53" t="s">
        <v>404</v>
      </c>
      <c r="AL53" t="s">
        <v>372</v>
      </c>
      <c r="AM53" t="s">
        <v>409</v>
      </c>
      <c r="AN53" s="2">
        <v>46422</v>
      </c>
      <c r="AO53">
        <v>1</v>
      </c>
      <c r="AP53">
        <v>0</v>
      </c>
      <c r="AQ53" t="s">
        <v>372</v>
      </c>
      <c r="AR53" t="s">
        <v>410</v>
      </c>
      <c r="AS53" s="2">
        <v>45467</v>
      </c>
      <c r="AT53" t="s">
        <v>412</v>
      </c>
      <c r="AU53" t="s">
        <v>413</v>
      </c>
      <c r="AX53" s="2">
        <v>45467</v>
      </c>
      <c r="AY53" t="s">
        <v>414</v>
      </c>
      <c r="AZ53" t="s">
        <v>415</v>
      </c>
      <c r="BB53" t="s">
        <v>416</v>
      </c>
      <c r="BC53" t="s">
        <v>417</v>
      </c>
      <c r="BD53" t="s">
        <v>187</v>
      </c>
      <c r="BF53" s="2">
        <v>45467</v>
      </c>
      <c r="BG53" t="s">
        <v>418</v>
      </c>
      <c r="BH53" t="s">
        <v>419</v>
      </c>
      <c r="BI53" t="s">
        <v>421</v>
      </c>
      <c r="BJ53" s="2">
        <v>45467</v>
      </c>
      <c r="BK53" t="s">
        <v>422</v>
      </c>
      <c r="BL53" s="2">
        <v>45460</v>
      </c>
      <c r="BM53" t="s">
        <v>430</v>
      </c>
      <c r="BN53" t="s">
        <v>436</v>
      </c>
      <c r="BO53" t="s">
        <v>443</v>
      </c>
      <c r="BP53" t="s">
        <v>449</v>
      </c>
      <c r="BQ53">
        <v>4</v>
      </c>
      <c r="BR53">
        <v>5</v>
      </c>
      <c r="BS53">
        <v>4</v>
      </c>
      <c r="BT53">
        <v>4</v>
      </c>
      <c r="BU53">
        <v>4</v>
      </c>
      <c r="BV53">
        <v>5</v>
      </c>
      <c r="BW53">
        <v>4</v>
      </c>
      <c r="BX53">
        <v>4</v>
      </c>
      <c r="BY53">
        <v>4</v>
      </c>
      <c r="BZ53" t="s">
        <v>450</v>
      </c>
      <c r="CA53" t="s">
        <v>454</v>
      </c>
      <c r="CB53" t="s">
        <v>456</v>
      </c>
      <c r="CC53" t="s">
        <v>457</v>
      </c>
      <c r="CD53" t="s">
        <v>458</v>
      </c>
      <c r="CE53" s="2">
        <v>46037</v>
      </c>
      <c r="CF53" s="2">
        <v>46218</v>
      </c>
      <c r="CH53" t="s">
        <v>459</v>
      </c>
      <c r="CJ53" t="s">
        <v>467</v>
      </c>
      <c r="CK53" t="s">
        <v>479</v>
      </c>
      <c r="CL53" t="s">
        <v>526</v>
      </c>
      <c r="CM53" t="s">
        <v>358</v>
      </c>
      <c r="CN53" t="s">
        <v>555</v>
      </c>
      <c r="CO53" t="s">
        <v>151</v>
      </c>
      <c r="CP53" s="2">
        <v>45940</v>
      </c>
      <c r="CQ53" s="2">
        <v>46670</v>
      </c>
      <c r="CR53" t="s">
        <v>563</v>
      </c>
      <c r="CS53" t="s">
        <v>392</v>
      </c>
      <c r="CT53" s="2">
        <v>45940</v>
      </c>
      <c r="CU53" t="s">
        <v>575</v>
      </c>
      <c r="CV53" t="s">
        <v>404</v>
      </c>
      <c r="CW53" t="s">
        <v>582</v>
      </c>
      <c r="CX53" t="s">
        <v>358</v>
      </c>
      <c r="CY53" t="s">
        <v>586</v>
      </c>
      <c r="DA53" t="s">
        <v>587</v>
      </c>
      <c r="DB53" t="s">
        <v>587</v>
      </c>
      <c r="DC53" t="s">
        <v>587</v>
      </c>
      <c r="DD53" t="s">
        <v>588</v>
      </c>
      <c r="DE53" t="s">
        <v>587</v>
      </c>
      <c r="DF53" t="s">
        <v>587</v>
      </c>
      <c r="DG53" t="s">
        <v>590</v>
      </c>
      <c r="DH53" t="s">
        <v>592</v>
      </c>
      <c r="DI53" t="s">
        <v>594</v>
      </c>
      <c r="DJ53" t="s">
        <v>587</v>
      </c>
      <c r="DK53" t="s">
        <v>587</v>
      </c>
      <c r="DL53" t="s">
        <v>587</v>
      </c>
      <c r="DM53" t="s">
        <v>587</v>
      </c>
      <c r="DN53" t="s">
        <v>595</v>
      </c>
      <c r="DO53" t="s">
        <v>596</v>
      </c>
      <c r="DP53" t="s">
        <v>596</v>
      </c>
      <c r="DQ53" t="s">
        <v>450</v>
      </c>
      <c r="DR53" t="s">
        <v>597</v>
      </c>
      <c r="DS53" t="s">
        <v>598</v>
      </c>
      <c r="DT53" t="s">
        <v>599</v>
      </c>
      <c r="DU53" t="s">
        <v>600</v>
      </c>
      <c r="DV53" s="2">
        <v>45392</v>
      </c>
      <c r="DW53" s="2">
        <v>45394</v>
      </c>
      <c r="DX53" t="s">
        <v>601</v>
      </c>
      <c r="DY53" s="2">
        <v>45397</v>
      </c>
      <c r="DZ53" t="s">
        <v>602</v>
      </c>
      <c r="EA53" t="s">
        <v>415</v>
      </c>
      <c r="EB53" s="2">
        <v>45413</v>
      </c>
    </row>
    <row r="54" spans="1:132">
      <c r="A54" t="s">
        <v>139</v>
      </c>
      <c r="B54" t="s">
        <v>151</v>
      </c>
      <c r="C54" t="s">
        <v>163</v>
      </c>
      <c r="D54" t="s">
        <v>175</v>
      </c>
      <c r="E54" t="s">
        <v>187</v>
      </c>
      <c r="F54" t="s">
        <v>195</v>
      </c>
      <c r="G54">
        <v>000000108</v>
      </c>
      <c r="H54">
        <v>999900204</v>
      </c>
      <c r="I54" t="s">
        <v>200</v>
      </c>
      <c r="J54" t="s">
        <v>205</v>
      </c>
      <c r="K54" t="s">
        <v>258</v>
      </c>
      <c r="L54" s="2">
        <v>46620</v>
      </c>
      <c r="M54" s="2">
        <v>46670</v>
      </c>
      <c r="N54" s="2">
        <v>46452</v>
      </c>
      <c r="P54" t="s">
        <v>298</v>
      </c>
      <c r="Q54" t="s">
        <v>301</v>
      </c>
      <c r="R54" t="s">
        <v>304</v>
      </c>
      <c r="S54">
        <v>194</v>
      </c>
      <c r="T54" t="s">
        <v>310</v>
      </c>
      <c r="U54" s="2">
        <v>23377</v>
      </c>
      <c r="V54" t="s">
        <v>319</v>
      </c>
      <c r="W54" t="s">
        <v>324</v>
      </c>
      <c r="X54" t="s">
        <v>335</v>
      </c>
      <c r="Y54" t="s">
        <v>347</v>
      </c>
      <c r="Z54" t="s">
        <v>357</v>
      </c>
      <c r="AA54" t="s">
        <v>358</v>
      </c>
      <c r="AB54">
        <v>43604</v>
      </c>
      <c r="AC54" t="s">
        <v>358</v>
      </c>
      <c r="AD54" t="s">
        <v>362</v>
      </c>
      <c r="AE54" s="2">
        <v>44798</v>
      </c>
      <c r="AF54" t="s">
        <v>367</v>
      </c>
      <c r="AG54" t="s">
        <v>372</v>
      </c>
      <c r="AH54" s="2">
        <v>45940</v>
      </c>
      <c r="AI54" t="s">
        <v>380</v>
      </c>
      <c r="AJ54" t="s">
        <v>392</v>
      </c>
      <c r="AK54" t="s">
        <v>404</v>
      </c>
      <c r="AL54" t="s">
        <v>372</v>
      </c>
      <c r="AM54" t="s">
        <v>409</v>
      </c>
      <c r="AN54" s="2">
        <v>46422</v>
      </c>
      <c r="AO54">
        <v>1</v>
      </c>
      <c r="AP54">
        <v>0</v>
      </c>
      <c r="AQ54" t="s">
        <v>372</v>
      </c>
      <c r="AR54" t="s">
        <v>410</v>
      </c>
      <c r="AS54" s="2">
        <v>45467</v>
      </c>
      <c r="AT54" t="s">
        <v>412</v>
      </c>
      <c r="AU54" t="s">
        <v>413</v>
      </c>
      <c r="AX54" s="2">
        <v>45467</v>
      </c>
      <c r="AY54" t="s">
        <v>414</v>
      </c>
      <c r="AZ54" t="s">
        <v>415</v>
      </c>
      <c r="BB54" t="s">
        <v>416</v>
      </c>
      <c r="BC54" t="s">
        <v>417</v>
      </c>
      <c r="BD54" t="s">
        <v>187</v>
      </c>
      <c r="BF54" s="2">
        <v>45467</v>
      </c>
      <c r="BG54" t="s">
        <v>418</v>
      </c>
      <c r="BH54" t="s">
        <v>419</v>
      </c>
      <c r="BI54" t="s">
        <v>421</v>
      </c>
      <c r="BJ54" s="2">
        <v>45467</v>
      </c>
      <c r="BK54" t="s">
        <v>422</v>
      </c>
      <c r="BL54" s="2">
        <v>45460</v>
      </c>
      <c r="BM54" t="s">
        <v>430</v>
      </c>
      <c r="BN54" t="s">
        <v>436</v>
      </c>
      <c r="BO54" t="s">
        <v>443</v>
      </c>
      <c r="BP54" t="s">
        <v>449</v>
      </c>
      <c r="BQ54">
        <v>4</v>
      </c>
      <c r="BR54">
        <v>5</v>
      </c>
      <c r="BS54">
        <v>4</v>
      </c>
      <c r="BT54">
        <v>4</v>
      </c>
      <c r="BU54">
        <v>4</v>
      </c>
      <c r="BV54">
        <v>5</v>
      </c>
      <c r="BW54">
        <v>4</v>
      </c>
      <c r="BX54">
        <v>4</v>
      </c>
      <c r="BY54">
        <v>4</v>
      </c>
      <c r="BZ54" t="s">
        <v>450</v>
      </c>
      <c r="CA54" t="s">
        <v>454</v>
      </c>
      <c r="CB54" t="s">
        <v>456</v>
      </c>
      <c r="CC54" t="s">
        <v>457</v>
      </c>
      <c r="CD54" t="s">
        <v>458</v>
      </c>
      <c r="CE54" s="2">
        <v>46037</v>
      </c>
      <c r="CF54" s="2">
        <v>46218</v>
      </c>
      <c r="CH54" t="s">
        <v>459</v>
      </c>
      <c r="CJ54" t="s">
        <v>467</v>
      </c>
      <c r="CK54" t="s">
        <v>479</v>
      </c>
      <c r="CL54" t="s">
        <v>527</v>
      </c>
      <c r="CM54" t="s">
        <v>358</v>
      </c>
      <c r="CN54" t="s">
        <v>555</v>
      </c>
      <c r="CO54" t="s">
        <v>151</v>
      </c>
      <c r="CP54" s="2">
        <v>45940</v>
      </c>
      <c r="CQ54" s="2">
        <v>46670</v>
      </c>
      <c r="CR54" t="s">
        <v>563</v>
      </c>
      <c r="CS54" t="s">
        <v>392</v>
      </c>
      <c r="CT54" s="2">
        <v>45940</v>
      </c>
      <c r="CU54" t="s">
        <v>575</v>
      </c>
      <c r="CV54" t="s">
        <v>404</v>
      </c>
      <c r="CW54" t="s">
        <v>582</v>
      </c>
      <c r="CX54" t="s">
        <v>358</v>
      </c>
      <c r="CY54" t="s">
        <v>586</v>
      </c>
      <c r="DA54" t="s">
        <v>587</v>
      </c>
      <c r="DB54" t="s">
        <v>587</v>
      </c>
      <c r="DC54" t="s">
        <v>587</v>
      </c>
      <c r="DD54" t="s">
        <v>588</v>
      </c>
      <c r="DE54" t="s">
        <v>587</v>
      </c>
      <c r="DF54" t="s">
        <v>587</v>
      </c>
      <c r="DG54" t="s">
        <v>590</v>
      </c>
      <c r="DH54" t="s">
        <v>592</v>
      </c>
      <c r="DI54" t="s">
        <v>594</v>
      </c>
      <c r="DJ54" t="s">
        <v>587</v>
      </c>
      <c r="DK54" t="s">
        <v>587</v>
      </c>
      <c r="DL54" t="s">
        <v>587</v>
      </c>
      <c r="DM54" t="s">
        <v>587</v>
      </c>
      <c r="DN54" t="s">
        <v>595</v>
      </c>
      <c r="DO54" t="s">
        <v>596</v>
      </c>
      <c r="DP54" t="s">
        <v>596</v>
      </c>
      <c r="DQ54" t="s">
        <v>450</v>
      </c>
      <c r="DR54" t="s">
        <v>597</v>
      </c>
      <c r="DS54" t="s">
        <v>598</v>
      </c>
      <c r="DT54" t="s">
        <v>599</v>
      </c>
      <c r="DU54" t="s">
        <v>600</v>
      </c>
      <c r="DV54" s="2">
        <v>45392</v>
      </c>
      <c r="DW54" s="2">
        <v>45394</v>
      </c>
      <c r="DX54" t="s">
        <v>601</v>
      </c>
      <c r="DY54" s="2">
        <v>45397</v>
      </c>
      <c r="DZ54" t="s">
        <v>602</v>
      </c>
      <c r="EA54" t="s">
        <v>415</v>
      </c>
      <c r="EB54" s="2">
        <v>45413</v>
      </c>
    </row>
    <row r="55" spans="1:132">
      <c r="A55" t="s">
        <v>139</v>
      </c>
      <c r="B55" t="s">
        <v>151</v>
      </c>
      <c r="C55" t="s">
        <v>163</v>
      </c>
      <c r="D55" t="s">
        <v>175</v>
      </c>
      <c r="E55" t="s">
        <v>187</v>
      </c>
      <c r="F55" t="s">
        <v>195</v>
      </c>
      <c r="G55">
        <v>000000108</v>
      </c>
      <c r="H55">
        <v>999900204</v>
      </c>
      <c r="I55" t="s">
        <v>201</v>
      </c>
      <c r="J55" t="s">
        <v>205</v>
      </c>
      <c r="K55" t="s">
        <v>259</v>
      </c>
      <c r="L55" s="2">
        <v>46620</v>
      </c>
      <c r="M55" s="2">
        <v>46670</v>
      </c>
      <c r="N55" s="2">
        <v>46452</v>
      </c>
      <c r="P55" t="s">
        <v>298</v>
      </c>
      <c r="Q55" t="s">
        <v>301</v>
      </c>
      <c r="R55" t="s">
        <v>304</v>
      </c>
      <c r="S55">
        <v>194</v>
      </c>
      <c r="T55" t="s">
        <v>310</v>
      </c>
      <c r="U55" s="2">
        <v>23377</v>
      </c>
      <c r="V55" t="s">
        <v>319</v>
      </c>
      <c r="W55" t="s">
        <v>324</v>
      </c>
      <c r="X55" t="s">
        <v>335</v>
      </c>
      <c r="Y55" t="s">
        <v>347</v>
      </c>
      <c r="Z55" t="s">
        <v>357</v>
      </c>
      <c r="AA55" t="s">
        <v>358</v>
      </c>
      <c r="AB55">
        <v>43604</v>
      </c>
      <c r="AC55" t="s">
        <v>358</v>
      </c>
      <c r="AD55" t="s">
        <v>362</v>
      </c>
      <c r="AE55" s="2">
        <v>44798</v>
      </c>
      <c r="AF55" t="s">
        <v>367</v>
      </c>
      <c r="AG55" t="s">
        <v>372</v>
      </c>
      <c r="AH55" s="2">
        <v>45940</v>
      </c>
      <c r="AI55" t="s">
        <v>380</v>
      </c>
      <c r="AJ55" t="s">
        <v>392</v>
      </c>
      <c r="AK55" t="s">
        <v>404</v>
      </c>
      <c r="AL55" t="s">
        <v>372</v>
      </c>
      <c r="AM55" t="s">
        <v>409</v>
      </c>
      <c r="AN55" s="2">
        <v>46422</v>
      </c>
      <c r="AO55">
        <v>1</v>
      </c>
      <c r="AP55">
        <v>0</v>
      </c>
      <c r="AQ55" t="s">
        <v>372</v>
      </c>
      <c r="AR55" t="s">
        <v>410</v>
      </c>
      <c r="AS55" s="2">
        <v>45467</v>
      </c>
      <c r="AT55" t="s">
        <v>412</v>
      </c>
      <c r="AU55" t="s">
        <v>413</v>
      </c>
      <c r="AX55" s="2">
        <v>45467</v>
      </c>
      <c r="AY55" t="s">
        <v>414</v>
      </c>
      <c r="AZ55" t="s">
        <v>415</v>
      </c>
      <c r="BB55" t="s">
        <v>416</v>
      </c>
      <c r="BC55" t="s">
        <v>417</v>
      </c>
      <c r="BD55" t="s">
        <v>187</v>
      </c>
      <c r="BF55" s="2">
        <v>45467</v>
      </c>
      <c r="BG55" t="s">
        <v>418</v>
      </c>
      <c r="BH55" t="s">
        <v>419</v>
      </c>
      <c r="BI55" t="s">
        <v>421</v>
      </c>
      <c r="BJ55" s="2">
        <v>45467</v>
      </c>
      <c r="BK55" t="s">
        <v>422</v>
      </c>
      <c r="BL55" s="2">
        <v>45460</v>
      </c>
      <c r="BM55" t="s">
        <v>430</v>
      </c>
      <c r="BN55" t="s">
        <v>436</v>
      </c>
      <c r="BO55" t="s">
        <v>443</v>
      </c>
      <c r="BP55" t="s">
        <v>449</v>
      </c>
      <c r="BQ55">
        <v>4</v>
      </c>
      <c r="BR55">
        <v>5</v>
      </c>
      <c r="BS55">
        <v>4</v>
      </c>
      <c r="BT55">
        <v>4</v>
      </c>
      <c r="BU55">
        <v>4</v>
      </c>
      <c r="BV55">
        <v>5</v>
      </c>
      <c r="BW55">
        <v>4</v>
      </c>
      <c r="BX55">
        <v>4</v>
      </c>
      <c r="BY55">
        <v>4</v>
      </c>
      <c r="BZ55" t="s">
        <v>450</v>
      </c>
      <c r="CA55" t="s">
        <v>454</v>
      </c>
      <c r="CB55" t="s">
        <v>456</v>
      </c>
      <c r="CC55" t="s">
        <v>457</v>
      </c>
      <c r="CD55" t="s">
        <v>458</v>
      </c>
      <c r="CE55" s="2">
        <v>46037</v>
      </c>
      <c r="CF55" s="2">
        <v>46218</v>
      </c>
      <c r="CH55" t="s">
        <v>459</v>
      </c>
      <c r="CJ55" t="s">
        <v>467</v>
      </c>
      <c r="CK55" t="s">
        <v>479</v>
      </c>
      <c r="CL55" t="s">
        <v>528</v>
      </c>
      <c r="CM55" t="s">
        <v>358</v>
      </c>
      <c r="CN55" t="s">
        <v>555</v>
      </c>
      <c r="CO55" t="s">
        <v>151</v>
      </c>
      <c r="CP55" s="2">
        <v>45940</v>
      </c>
      <c r="CQ55" s="2">
        <v>46670</v>
      </c>
      <c r="CR55" t="s">
        <v>563</v>
      </c>
      <c r="CS55" t="s">
        <v>392</v>
      </c>
      <c r="CT55" s="2">
        <v>45940</v>
      </c>
      <c r="CU55" t="s">
        <v>575</v>
      </c>
      <c r="CV55" t="s">
        <v>404</v>
      </c>
      <c r="CW55" t="s">
        <v>582</v>
      </c>
      <c r="CX55" t="s">
        <v>358</v>
      </c>
      <c r="CY55" t="s">
        <v>586</v>
      </c>
      <c r="DA55" t="s">
        <v>587</v>
      </c>
      <c r="DB55" t="s">
        <v>587</v>
      </c>
      <c r="DC55" t="s">
        <v>587</v>
      </c>
      <c r="DD55" t="s">
        <v>588</v>
      </c>
      <c r="DE55" t="s">
        <v>587</v>
      </c>
      <c r="DF55" t="s">
        <v>587</v>
      </c>
      <c r="DG55" t="s">
        <v>590</v>
      </c>
      <c r="DH55" t="s">
        <v>592</v>
      </c>
      <c r="DI55" t="s">
        <v>594</v>
      </c>
      <c r="DJ55" t="s">
        <v>587</v>
      </c>
      <c r="DK55" t="s">
        <v>587</v>
      </c>
      <c r="DL55" t="s">
        <v>587</v>
      </c>
      <c r="DM55" t="s">
        <v>587</v>
      </c>
      <c r="DN55" t="s">
        <v>595</v>
      </c>
      <c r="DO55" t="s">
        <v>596</v>
      </c>
      <c r="DP55" t="s">
        <v>596</v>
      </c>
      <c r="DQ55" t="s">
        <v>450</v>
      </c>
      <c r="DR55" t="s">
        <v>597</v>
      </c>
      <c r="DS55" t="s">
        <v>598</v>
      </c>
      <c r="DT55" t="s">
        <v>599</v>
      </c>
      <c r="DU55" t="s">
        <v>600</v>
      </c>
      <c r="DV55" s="2">
        <v>45392</v>
      </c>
      <c r="DW55" s="2">
        <v>45394</v>
      </c>
      <c r="DX55" t="s">
        <v>601</v>
      </c>
      <c r="DY55" s="2">
        <v>45397</v>
      </c>
      <c r="DZ55" t="s">
        <v>602</v>
      </c>
      <c r="EA55" t="s">
        <v>415</v>
      </c>
      <c r="EB55" s="2">
        <v>45413</v>
      </c>
    </row>
    <row r="56" spans="1:132">
      <c r="A56" t="s">
        <v>139</v>
      </c>
      <c r="B56" t="s">
        <v>151</v>
      </c>
      <c r="C56" t="s">
        <v>163</v>
      </c>
      <c r="D56" t="s">
        <v>175</v>
      </c>
      <c r="E56" t="s">
        <v>187</v>
      </c>
      <c r="F56" t="s">
        <v>195</v>
      </c>
      <c r="G56">
        <v>000000108</v>
      </c>
      <c r="H56">
        <v>999900204</v>
      </c>
      <c r="I56" t="s">
        <v>202</v>
      </c>
      <c r="J56" t="s">
        <v>205</v>
      </c>
      <c r="K56" t="s">
        <v>260</v>
      </c>
      <c r="L56" s="2">
        <v>46620</v>
      </c>
      <c r="M56" s="2">
        <v>46670</v>
      </c>
      <c r="N56" s="2">
        <v>46452</v>
      </c>
      <c r="O56" t="s">
        <v>291</v>
      </c>
      <c r="P56" t="s">
        <v>298</v>
      </c>
      <c r="Q56" t="s">
        <v>301</v>
      </c>
      <c r="R56" t="s">
        <v>304</v>
      </c>
      <c r="S56">
        <v>194</v>
      </c>
      <c r="T56" t="s">
        <v>310</v>
      </c>
      <c r="U56" s="2">
        <v>23377</v>
      </c>
      <c r="V56" t="s">
        <v>319</v>
      </c>
      <c r="W56" t="s">
        <v>324</v>
      </c>
      <c r="X56" t="s">
        <v>335</v>
      </c>
      <c r="Y56" t="s">
        <v>347</v>
      </c>
      <c r="Z56" t="s">
        <v>357</v>
      </c>
      <c r="AA56" t="s">
        <v>358</v>
      </c>
      <c r="AB56">
        <v>43604</v>
      </c>
      <c r="AC56" t="s">
        <v>358</v>
      </c>
      <c r="AD56" t="s">
        <v>362</v>
      </c>
      <c r="AE56" s="2">
        <v>44798</v>
      </c>
      <c r="AF56" t="s">
        <v>367</v>
      </c>
      <c r="AG56" t="s">
        <v>372</v>
      </c>
      <c r="AH56" s="2">
        <v>45940</v>
      </c>
      <c r="AI56" t="s">
        <v>380</v>
      </c>
      <c r="AJ56" t="s">
        <v>392</v>
      </c>
      <c r="AK56" t="s">
        <v>404</v>
      </c>
      <c r="AL56" t="s">
        <v>372</v>
      </c>
      <c r="AM56" t="s">
        <v>409</v>
      </c>
      <c r="AN56" s="2">
        <v>46422</v>
      </c>
      <c r="AO56">
        <v>1</v>
      </c>
      <c r="AP56">
        <v>0</v>
      </c>
      <c r="AQ56" t="s">
        <v>372</v>
      </c>
      <c r="AR56" t="s">
        <v>410</v>
      </c>
      <c r="AS56" s="2">
        <v>45467</v>
      </c>
      <c r="AT56" t="s">
        <v>412</v>
      </c>
      <c r="AU56" t="s">
        <v>413</v>
      </c>
      <c r="AX56" s="2">
        <v>45467</v>
      </c>
      <c r="AY56" t="s">
        <v>414</v>
      </c>
      <c r="AZ56" t="s">
        <v>415</v>
      </c>
      <c r="BB56" t="s">
        <v>416</v>
      </c>
      <c r="BC56" t="s">
        <v>417</v>
      </c>
      <c r="BD56" t="s">
        <v>187</v>
      </c>
      <c r="BF56" s="2">
        <v>45467</v>
      </c>
      <c r="BG56" t="s">
        <v>418</v>
      </c>
      <c r="BH56" t="s">
        <v>419</v>
      </c>
      <c r="BI56" t="s">
        <v>421</v>
      </c>
      <c r="BJ56" s="2">
        <v>45467</v>
      </c>
      <c r="BK56" t="s">
        <v>422</v>
      </c>
      <c r="BL56" s="2">
        <v>45460</v>
      </c>
      <c r="BM56" t="s">
        <v>430</v>
      </c>
      <c r="BN56" t="s">
        <v>436</v>
      </c>
      <c r="BO56" t="s">
        <v>443</v>
      </c>
      <c r="BP56" t="s">
        <v>449</v>
      </c>
      <c r="BQ56">
        <v>4</v>
      </c>
      <c r="BR56">
        <v>5</v>
      </c>
      <c r="BS56">
        <v>4</v>
      </c>
      <c r="BT56">
        <v>4</v>
      </c>
      <c r="BU56">
        <v>4</v>
      </c>
      <c r="BV56">
        <v>5</v>
      </c>
      <c r="BW56">
        <v>4</v>
      </c>
      <c r="BX56">
        <v>4</v>
      </c>
      <c r="BY56">
        <v>4</v>
      </c>
      <c r="BZ56" t="s">
        <v>450</v>
      </c>
      <c r="CA56" t="s">
        <v>454</v>
      </c>
      <c r="CB56" t="s">
        <v>456</v>
      </c>
      <c r="CC56" t="s">
        <v>457</v>
      </c>
      <c r="CD56" t="s">
        <v>458</v>
      </c>
      <c r="CE56" s="2">
        <v>46037</v>
      </c>
      <c r="CF56" s="2">
        <v>46218</v>
      </c>
      <c r="CH56" t="s">
        <v>459</v>
      </c>
      <c r="CJ56" t="s">
        <v>467</v>
      </c>
      <c r="CK56" t="s">
        <v>479</v>
      </c>
      <c r="CL56" t="s">
        <v>529</v>
      </c>
      <c r="CM56" t="s">
        <v>358</v>
      </c>
      <c r="CN56" t="s">
        <v>555</v>
      </c>
      <c r="CO56" t="s">
        <v>151</v>
      </c>
      <c r="CP56" s="2">
        <v>45940</v>
      </c>
      <c r="CQ56" s="2">
        <v>46670</v>
      </c>
      <c r="CR56" t="s">
        <v>563</v>
      </c>
      <c r="CS56" t="s">
        <v>392</v>
      </c>
      <c r="CT56" s="2">
        <v>45940</v>
      </c>
      <c r="CU56" t="s">
        <v>575</v>
      </c>
      <c r="CV56" t="s">
        <v>404</v>
      </c>
      <c r="CW56" t="s">
        <v>582</v>
      </c>
      <c r="CX56" t="s">
        <v>358</v>
      </c>
      <c r="CY56" t="s">
        <v>586</v>
      </c>
      <c r="DA56" t="s">
        <v>587</v>
      </c>
      <c r="DB56" t="s">
        <v>587</v>
      </c>
      <c r="DC56" t="s">
        <v>587</v>
      </c>
      <c r="DD56" t="s">
        <v>588</v>
      </c>
      <c r="DE56" t="s">
        <v>587</v>
      </c>
      <c r="DF56" t="s">
        <v>587</v>
      </c>
      <c r="DG56" t="s">
        <v>590</v>
      </c>
      <c r="DH56" t="s">
        <v>592</v>
      </c>
      <c r="DI56" t="s">
        <v>594</v>
      </c>
      <c r="DJ56" t="s">
        <v>587</v>
      </c>
      <c r="DK56" t="s">
        <v>587</v>
      </c>
      <c r="DL56" t="s">
        <v>587</v>
      </c>
      <c r="DM56" t="s">
        <v>587</v>
      </c>
      <c r="DN56" t="s">
        <v>595</v>
      </c>
      <c r="DO56" t="s">
        <v>596</v>
      </c>
      <c r="DP56" t="s">
        <v>596</v>
      </c>
      <c r="DQ56" t="s">
        <v>450</v>
      </c>
      <c r="DR56" t="s">
        <v>597</v>
      </c>
      <c r="DS56" t="s">
        <v>598</v>
      </c>
      <c r="DT56" t="s">
        <v>599</v>
      </c>
      <c r="DU56" t="s">
        <v>600</v>
      </c>
      <c r="DV56" s="2">
        <v>45392</v>
      </c>
      <c r="DW56" s="2">
        <v>45394</v>
      </c>
      <c r="DX56" t="s">
        <v>601</v>
      </c>
      <c r="DY56" s="2">
        <v>45397</v>
      </c>
      <c r="DZ56" t="s">
        <v>602</v>
      </c>
      <c r="EA56" t="s">
        <v>415</v>
      </c>
      <c r="EB56" s="2">
        <v>45413</v>
      </c>
    </row>
    <row r="57" spans="1:132">
      <c r="A57" t="s">
        <v>139</v>
      </c>
      <c r="B57" t="s">
        <v>151</v>
      </c>
      <c r="C57" t="s">
        <v>163</v>
      </c>
      <c r="D57" t="s">
        <v>175</v>
      </c>
      <c r="E57" t="s">
        <v>187</v>
      </c>
      <c r="F57" t="s">
        <v>195</v>
      </c>
      <c r="G57">
        <v>000000108</v>
      </c>
      <c r="H57">
        <v>999900204</v>
      </c>
      <c r="I57" t="s">
        <v>203</v>
      </c>
      <c r="J57" t="s">
        <v>205</v>
      </c>
      <c r="K57" t="s">
        <v>261</v>
      </c>
      <c r="L57" s="2">
        <v>46620</v>
      </c>
      <c r="M57" s="2">
        <v>46670</v>
      </c>
      <c r="N57" s="2">
        <v>46452</v>
      </c>
      <c r="P57" t="s">
        <v>298</v>
      </c>
      <c r="Q57" t="s">
        <v>301</v>
      </c>
      <c r="R57" t="s">
        <v>304</v>
      </c>
      <c r="S57">
        <v>194</v>
      </c>
      <c r="T57" t="s">
        <v>310</v>
      </c>
      <c r="U57" s="2">
        <v>23377</v>
      </c>
      <c r="V57" t="s">
        <v>319</v>
      </c>
      <c r="W57" t="s">
        <v>324</v>
      </c>
      <c r="X57" t="s">
        <v>335</v>
      </c>
      <c r="Y57" t="s">
        <v>347</v>
      </c>
      <c r="Z57" t="s">
        <v>357</v>
      </c>
      <c r="AA57" t="s">
        <v>358</v>
      </c>
      <c r="AB57">
        <v>43604</v>
      </c>
      <c r="AC57" t="s">
        <v>358</v>
      </c>
      <c r="AD57" t="s">
        <v>362</v>
      </c>
      <c r="AE57" s="2">
        <v>44798</v>
      </c>
      <c r="AF57" t="s">
        <v>367</v>
      </c>
      <c r="AG57" t="s">
        <v>372</v>
      </c>
      <c r="AH57" s="2">
        <v>45940</v>
      </c>
      <c r="AI57" t="s">
        <v>380</v>
      </c>
      <c r="AJ57" t="s">
        <v>392</v>
      </c>
      <c r="AK57" t="s">
        <v>404</v>
      </c>
      <c r="AL57" t="s">
        <v>372</v>
      </c>
      <c r="AM57" t="s">
        <v>409</v>
      </c>
      <c r="AN57" s="2">
        <v>46422</v>
      </c>
      <c r="AO57">
        <v>1</v>
      </c>
      <c r="AP57">
        <v>0</v>
      </c>
      <c r="AQ57" t="s">
        <v>372</v>
      </c>
      <c r="AR57" t="s">
        <v>410</v>
      </c>
      <c r="AS57" s="2">
        <v>45467</v>
      </c>
      <c r="AT57" t="s">
        <v>412</v>
      </c>
      <c r="AU57" t="s">
        <v>413</v>
      </c>
      <c r="AX57" s="2">
        <v>45467</v>
      </c>
      <c r="AY57" t="s">
        <v>414</v>
      </c>
      <c r="AZ57" t="s">
        <v>415</v>
      </c>
      <c r="BB57" t="s">
        <v>416</v>
      </c>
      <c r="BC57" t="s">
        <v>417</v>
      </c>
      <c r="BD57" t="s">
        <v>187</v>
      </c>
      <c r="BF57" s="2">
        <v>45467</v>
      </c>
      <c r="BG57" t="s">
        <v>418</v>
      </c>
      <c r="BH57" t="s">
        <v>419</v>
      </c>
      <c r="BI57" t="s">
        <v>421</v>
      </c>
      <c r="BJ57" s="2">
        <v>45467</v>
      </c>
      <c r="BK57" t="s">
        <v>422</v>
      </c>
      <c r="BL57" s="2">
        <v>45460</v>
      </c>
      <c r="BM57" t="s">
        <v>430</v>
      </c>
      <c r="BN57" t="s">
        <v>436</v>
      </c>
      <c r="BO57" t="s">
        <v>443</v>
      </c>
      <c r="BP57" t="s">
        <v>449</v>
      </c>
      <c r="BQ57">
        <v>4</v>
      </c>
      <c r="BR57">
        <v>5</v>
      </c>
      <c r="BS57">
        <v>4</v>
      </c>
      <c r="BT57">
        <v>4</v>
      </c>
      <c r="BU57">
        <v>4</v>
      </c>
      <c r="BV57">
        <v>5</v>
      </c>
      <c r="BW57">
        <v>4</v>
      </c>
      <c r="BX57">
        <v>4</v>
      </c>
      <c r="BY57">
        <v>4</v>
      </c>
      <c r="BZ57" t="s">
        <v>450</v>
      </c>
      <c r="CA57" t="s">
        <v>454</v>
      </c>
      <c r="CB57" t="s">
        <v>456</v>
      </c>
      <c r="CC57" t="s">
        <v>457</v>
      </c>
      <c r="CD57" t="s">
        <v>458</v>
      </c>
      <c r="CE57" s="2">
        <v>46037</v>
      </c>
      <c r="CF57" s="2">
        <v>46218</v>
      </c>
      <c r="CH57" t="s">
        <v>459</v>
      </c>
      <c r="CJ57" t="s">
        <v>467</v>
      </c>
      <c r="CK57" t="s">
        <v>479</v>
      </c>
      <c r="CL57" t="s">
        <v>530</v>
      </c>
      <c r="CM57" t="s">
        <v>358</v>
      </c>
      <c r="CN57" t="s">
        <v>555</v>
      </c>
      <c r="CO57" t="s">
        <v>151</v>
      </c>
      <c r="CP57" s="2">
        <v>45940</v>
      </c>
      <c r="CQ57" s="2">
        <v>46670</v>
      </c>
      <c r="CR57" t="s">
        <v>563</v>
      </c>
      <c r="CS57" t="s">
        <v>392</v>
      </c>
      <c r="CT57" s="2">
        <v>45940</v>
      </c>
      <c r="CU57" t="s">
        <v>575</v>
      </c>
      <c r="CV57" t="s">
        <v>404</v>
      </c>
      <c r="CW57" t="s">
        <v>582</v>
      </c>
      <c r="CX57" t="s">
        <v>358</v>
      </c>
      <c r="CY57" t="s">
        <v>586</v>
      </c>
      <c r="DA57" t="s">
        <v>587</v>
      </c>
      <c r="DB57" t="s">
        <v>587</v>
      </c>
      <c r="DC57" t="s">
        <v>587</v>
      </c>
      <c r="DD57" t="s">
        <v>588</v>
      </c>
      <c r="DE57" t="s">
        <v>587</v>
      </c>
      <c r="DF57" t="s">
        <v>587</v>
      </c>
      <c r="DG57" t="s">
        <v>590</v>
      </c>
      <c r="DH57" t="s">
        <v>592</v>
      </c>
      <c r="DI57" t="s">
        <v>594</v>
      </c>
      <c r="DJ57" t="s">
        <v>587</v>
      </c>
      <c r="DK57" t="s">
        <v>587</v>
      </c>
      <c r="DL57" t="s">
        <v>587</v>
      </c>
      <c r="DM57" t="s">
        <v>587</v>
      </c>
      <c r="DN57" t="s">
        <v>595</v>
      </c>
      <c r="DO57" t="s">
        <v>596</v>
      </c>
      <c r="DP57" t="s">
        <v>596</v>
      </c>
      <c r="DQ57" t="s">
        <v>450</v>
      </c>
      <c r="DR57" t="s">
        <v>597</v>
      </c>
      <c r="DS57" t="s">
        <v>598</v>
      </c>
      <c r="DT57" t="s">
        <v>599</v>
      </c>
      <c r="DU57" t="s">
        <v>600</v>
      </c>
      <c r="DV57" s="2">
        <v>45392</v>
      </c>
      <c r="DW57" s="2">
        <v>45394</v>
      </c>
      <c r="DX57" t="s">
        <v>601</v>
      </c>
      <c r="DY57" s="2">
        <v>45397</v>
      </c>
      <c r="DZ57" t="s">
        <v>602</v>
      </c>
      <c r="EA57" t="s">
        <v>415</v>
      </c>
      <c r="EB57" s="2">
        <v>45413</v>
      </c>
    </row>
    <row r="58" spans="1:132">
      <c r="A58" t="s">
        <v>140</v>
      </c>
      <c r="B58" t="s">
        <v>152</v>
      </c>
      <c r="C58" t="s">
        <v>164</v>
      </c>
      <c r="D58" t="s">
        <v>176</v>
      </c>
      <c r="E58" t="s">
        <v>188</v>
      </c>
      <c r="F58" t="s">
        <v>193</v>
      </c>
      <c r="G58">
        <v>000000103</v>
      </c>
      <c r="H58">
        <v>999900210</v>
      </c>
      <c r="I58" t="s">
        <v>197</v>
      </c>
      <c r="J58" t="s">
        <v>205</v>
      </c>
      <c r="K58" t="s">
        <v>262</v>
      </c>
      <c r="L58" s="2">
        <v>46424</v>
      </c>
      <c r="M58" s="2">
        <v>46645</v>
      </c>
      <c r="N58" s="2">
        <v>46451</v>
      </c>
      <c r="P58" t="s">
        <v>295</v>
      </c>
      <c r="Q58" t="s">
        <v>296</v>
      </c>
      <c r="R58" t="s">
        <v>307</v>
      </c>
      <c r="S58">
        <v>144</v>
      </c>
      <c r="T58" t="s">
        <v>311</v>
      </c>
      <c r="U58" s="2">
        <v>30682</v>
      </c>
      <c r="V58" t="s">
        <v>320</v>
      </c>
      <c r="W58" t="s">
        <v>324</v>
      </c>
      <c r="X58" t="s">
        <v>336</v>
      </c>
      <c r="Y58" t="s">
        <v>348</v>
      </c>
      <c r="Z58" t="s">
        <v>355</v>
      </c>
      <c r="AA58" t="s">
        <v>358</v>
      </c>
      <c r="AB58">
        <v>43215</v>
      </c>
      <c r="AC58" t="s">
        <v>358</v>
      </c>
      <c r="AD58" t="s">
        <v>363</v>
      </c>
      <c r="AE58" s="2">
        <v>44602</v>
      </c>
      <c r="AF58" t="s">
        <v>369</v>
      </c>
      <c r="AG58" t="s">
        <v>370</v>
      </c>
      <c r="AH58" s="2">
        <v>45915</v>
      </c>
      <c r="AI58" t="s">
        <v>381</v>
      </c>
      <c r="AJ58" t="s">
        <v>393</v>
      </c>
      <c r="AK58" t="s">
        <v>405</v>
      </c>
      <c r="AM58" t="s">
        <v>409</v>
      </c>
      <c r="AN58" s="2">
        <v>46421</v>
      </c>
      <c r="AO58">
        <v>0</v>
      </c>
      <c r="AP58">
        <v>0</v>
      </c>
      <c r="AQ58" t="s">
        <v>370</v>
      </c>
      <c r="AR58" t="s">
        <v>410</v>
      </c>
      <c r="AS58" s="2">
        <v>45502</v>
      </c>
      <c r="AT58" t="s">
        <v>412</v>
      </c>
      <c r="AU58" t="s">
        <v>413</v>
      </c>
      <c r="AX58" s="2">
        <v>45502</v>
      </c>
      <c r="AY58" t="s">
        <v>414</v>
      </c>
      <c r="AZ58" t="s">
        <v>415</v>
      </c>
      <c r="BB58" t="s">
        <v>416</v>
      </c>
      <c r="BC58" t="s">
        <v>417</v>
      </c>
      <c r="BD58" t="s">
        <v>188</v>
      </c>
      <c r="BF58" s="2">
        <v>45502</v>
      </c>
      <c r="BG58" t="s">
        <v>418</v>
      </c>
      <c r="BH58" t="s">
        <v>420</v>
      </c>
      <c r="BI58" t="s">
        <v>421</v>
      </c>
      <c r="BJ58" s="2">
        <v>45502</v>
      </c>
      <c r="BK58" t="s">
        <v>422</v>
      </c>
      <c r="BL58" s="2">
        <v>45495</v>
      </c>
      <c r="BM58" t="s">
        <v>431</v>
      </c>
      <c r="BN58" t="s">
        <v>438</v>
      </c>
      <c r="BO58" t="s">
        <v>438</v>
      </c>
      <c r="BP58" t="s">
        <v>447</v>
      </c>
      <c r="BQ58">
        <v>5</v>
      </c>
      <c r="BR58">
        <v>5</v>
      </c>
      <c r="BS58">
        <v>4</v>
      </c>
      <c r="BT58">
        <v>5</v>
      </c>
      <c r="BU58">
        <v>5</v>
      </c>
      <c r="BV58">
        <v>5</v>
      </c>
      <c r="BX58">
        <v>5</v>
      </c>
      <c r="BY58">
        <v>5</v>
      </c>
      <c r="BZ58" t="s">
        <v>450</v>
      </c>
      <c r="CA58" t="s">
        <v>455</v>
      </c>
      <c r="CB58" t="s">
        <v>456</v>
      </c>
      <c r="CC58" t="s">
        <v>457</v>
      </c>
      <c r="CD58" t="s">
        <v>458</v>
      </c>
      <c r="CE58" s="2">
        <v>46037</v>
      </c>
      <c r="CF58" s="2">
        <v>46218</v>
      </c>
      <c r="CH58" t="s">
        <v>459</v>
      </c>
      <c r="CJ58" t="s">
        <v>468</v>
      </c>
      <c r="CK58" t="s">
        <v>296</v>
      </c>
      <c r="CL58" t="s">
        <v>262</v>
      </c>
      <c r="CM58" t="s">
        <v>358</v>
      </c>
      <c r="CN58" t="s">
        <v>555</v>
      </c>
      <c r="CO58" t="s">
        <v>152</v>
      </c>
      <c r="CP58" s="2">
        <v>45915</v>
      </c>
      <c r="CQ58" s="2">
        <v>46645</v>
      </c>
      <c r="CR58" t="s">
        <v>564</v>
      </c>
      <c r="CS58" t="s">
        <v>393</v>
      </c>
      <c r="CT58" s="2">
        <v>45915</v>
      </c>
      <c r="CU58" t="s">
        <v>576</v>
      </c>
      <c r="CV58" t="s">
        <v>405</v>
      </c>
      <c r="CW58" t="s">
        <v>583</v>
      </c>
      <c r="CX58" t="s">
        <v>358</v>
      </c>
      <c r="CY58" t="s">
        <v>585</v>
      </c>
      <c r="DA58" t="s">
        <v>587</v>
      </c>
      <c r="DB58" t="s">
        <v>587</v>
      </c>
      <c r="DC58" t="s">
        <v>587</v>
      </c>
      <c r="DD58" t="s">
        <v>587</v>
      </c>
      <c r="DE58" t="s">
        <v>587</v>
      </c>
      <c r="DF58" t="s">
        <v>587</v>
      </c>
      <c r="DG58" t="s">
        <v>590</v>
      </c>
      <c r="DH58" t="s">
        <v>592</v>
      </c>
      <c r="DI58" t="s">
        <v>594</v>
      </c>
      <c r="DJ58" t="s">
        <v>587</v>
      </c>
      <c r="DK58" t="s">
        <v>587</v>
      </c>
      <c r="DL58" t="s">
        <v>587</v>
      </c>
      <c r="DM58" t="s">
        <v>587</v>
      </c>
      <c r="DN58" t="s">
        <v>595</v>
      </c>
      <c r="DO58" t="s">
        <v>596</v>
      </c>
      <c r="DP58" t="s">
        <v>596</v>
      </c>
      <c r="DQ58" t="s">
        <v>450</v>
      </c>
      <c r="DR58" t="s">
        <v>597</v>
      </c>
      <c r="DS58" t="s">
        <v>598</v>
      </c>
      <c r="DT58" t="s">
        <v>599</v>
      </c>
      <c r="DU58" t="s">
        <v>600</v>
      </c>
      <c r="DV58" s="2">
        <v>45392</v>
      </c>
      <c r="DW58" s="2">
        <v>45394</v>
      </c>
      <c r="DX58" t="s">
        <v>601</v>
      </c>
      <c r="DY58" s="2">
        <v>45397</v>
      </c>
      <c r="DZ58" t="s">
        <v>602</v>
      </c>
      <c r="EA58" t="s">
        <v>415</v>
      </c>
      <c r="EB58" s="2">
        <v>45413</v>
      </c>
    </row>
    <row r="59" spans="1:132">
      <c r="A59" t="s">
        <v>140</v>
      </c>
      <c r="B59" t="s">
        <v>152</v>
      </c>
      <c r="C59" t="s">
        <v>164</v>
      </c>
      <c r="D59" t="s">
        <v>176</v>
      </c>
      <c r="E59" t="s">
        <v>188</v>
      </c>
      <c r="F59" t="s">
        <v>193</v>
      </c>
      <c r="G59">
        <v>000000103</v>
      </c>
      <c r="H59">
        <v>999900210</v>
      </c>
      <c r="I59" t="s">
        <v>198</v>
      </c>
      <c r="J59" t="s">
        <v>205</v>
      </c>
      <c r="K59" t="s">
        <v>263</v>
      </c>
      <c r="L59" s="2">
        <v>46424</v>
      </c>
      <c r="M59" s="2">
        <v>46645</v>
      </c>
      <c r="N59" s="2">
        <v>46451</v>
      </c>
      <c r="P59" t="s">
        <v>295</v>
      </c>
      <c r="Q59" t="s">
        <v>296</v>
      </c>
      <c r="R59" t="s">
        <v>307</v>
      </c>
      <c r="S59">
        <v>144</v>
      </c>
      <c r="T59" t="s">
        <v>311</v>
      </c>
      <c r="U59" s="2">
        <v>30682</v>
      </c>
      <c r="V59" t="s">
        <v>320</v>
      </c>
      <c r="W59" t="s">
        <v>324</v>
      </c>
      <c r="X59" t="s">
        <v>336</v>
      </c>
      <c r="Y59" t="s">
        <v>348</v>
      </c>
      <c r="Z59" t="s">
        <v>355</v>
      </c>
      <c r="AA59" t="s">
        <v>358</v>
      </c>
      <c r="AB59">
        <v>43215</v>
      </c>
      <c r="AC59" t="s">
        <v>358</v>
      </c>
      <c r="AD59" t="s">
        <v>363</v>
      </c>
      <c r="AE59" s="2">
        <v>44602</v>
      </c>
      <c r="AF59" t="s">
        <v>369</v>
      </c>
      <c r="AG59" t="s">
        <v>370</v>
      </c>
      <c r="AH59" s="2">
        <v>45915</v>
      </c>
      <c r="AI59" t="s">
        <v>381</v>
      </c>
      <c r="AJ59" t="s">
        <v>393</v>
      </c>
      <c r="AK59" t="s">
        <v>405</v>
      </c>
      <c r="AM59" t="s">
        <v>409</v>
      </c>
      <c r="AN59" s="2">
        <v>46421</v>
      </c>
      <c r="AO59">
        <v>0</v>
      </c>
      <c r="AP59">
        <v>0</v>
      </c>
      <c r="AQ59" t="s">
        <v>370</v>
      </c>
      <c r="AR59" t="s">
        <v>410</v>
      </c>
      <c r="AS59" s="2">
        <v>45502</v>
      </c>
      <c r="AT59" t="s">
        <v>412</v>
      </c>
      <c r="AU59" t="s">
        <v>413</v>
      </c>
      <c r="AX59" s="2">
        <v>45502</v>
      </c>
      <c r="AY59" t="s">
        <v>414</v>
      </c>
      <c r="AZ59" t="s">
        <v>415</v>
      </c>
      <c r="BB59" t="s">
        <v>416</v>
      </c>
      <c r="BC59" t="s">
        <v>417</v>
      </c>
      <c r="BD59" t="s">
        <v>188</v>
      </c>
      <c r="BF59" s="2">
        <v>45502</v>
      </c>
      <c r="BG59" t="s">
        <v>418</v>
      </c>
      <c r="BH59" t="s">
        <v>420</v>
      </c>
      <c r="BI59" t="s">
        <v>421</v>
      </c>
      <c r="BJ59" s="2">
        <v>45502</v>
      </c>
      <c r="BK59" t="s">
        <v>422</v>
      </c>
      <c r="BL59" s="2">
        <v>45495</v>
      </c>
      <c r="BM59" t="s">
        <v>431</v>
      </c>
      <c r="BN59" t="s">
        <v>438</v>
      </c>
      <c r="BO59" t="s">
        <v>438</v>
      </c>
      <c r="BP59" t="s">
        <v>447</v>
      </c>
      <c r="BQ59">
        <v>5</v>
      </c>
      <c r="BR59">
        <v>5</v>
      </c>
      <c r="BS59">
        <v>4</v>
      </c>
      <c r="BT59">
        <v>5</v>
      </c>
      <c r="BU59">
        <v>5</v>
      </c>
      <c r="BV59">
        <v>5</v>
      </c>
      <c r="BX59">
        <v>5</v>
      </c>
      <c r="BY59">
        <v>5</v>
      </c>
      <c r="BZ59" t="s">
        <v>450</v>
      </c>
      <c r="CA59" t="s">
        <v>455</v>
      </c>
      <c r="CB59" t="s">
        <v>456</v>
      </c>
      <c r="CC59" t="s">
        <v>457</v>
      </c>
      <c r="CD59" t="s">
        <v>458</v>
      </c>
      <c r="CE59" s="2">
        <v>46037</v>
      </c>
      <c r="CF59" s="2">
        <v>46218</v>
      </c>
      <c r="CH59" t="s">
        <v>459</v>
      </c>
      <c r="CJ59" t="s">
        <v>468</v>
      </c>
      <c r="CK59" t="s">
        <v>296</v>
      </c>
      <c r="CL59" t="s">
        <v>531</v>
      </c>
      <c r="CM59" t="s">
        <v>358</v>
      </c>
      <c r="CN59" t="s">
        <v>555</v>
      </c>
      <c r="CO59" t="s">
        <v>152</v>
      </c>
      <c r="CP59" s="2">
        <v>45915</v>
      </c>
      <c r="CQ59" s="2">
        <v>46645</v>
      </c>
      <c r="CR59" t="s">
        <v>564</v>
      </c>
      <c r="CS59" t="s">
        <v>393</v>
      </c>
      <c r="CT59" s="2">
        <v>45915</v>
      </c>
      <c r="CU59" t="s">
        <v>576</v>
      </c>
      <c r="CV59" t="s">
        <v>405</v>
      </c>
      <c r="CW59" t="s">
        <v>583</v>
      </c>
      <c r="CX59" t="s">
        <v>358</v>
      </c>
      <c r="CY59" t="s">
        <v>585</v>
      </c>
      <c r="DA59" t="s">
        <v>587</v>
      </c>
      <c r="DB59" t="s">
        <v>587</v>
      </c>
      <c r="DC59" t="s">
        <v>587</v>
      </c>
      <c r="DD59" t="s">
        <v>587</v>
      </c>
      <c r="DE59" t="s">
        <v>587</v>
      </c>
      <c r="DF59" t="s">
        <v>587</v>
      </c>
      <c r="DG59" t="s">
        <v>590</v>
      </c>
      <c r="DH59" t="s">
        <v>592</v>
      </c>
      <c r="DI59" t="s">
        <v>594</v>
      </c>
      <c r="DJ59" t="s">
        <v>587</v>
      </c>
      <c r="DK59" t="s">
        <v>587</v>
      </c>
      <c r="DL59" t="s">
        <v>587</v>
      </c>
      <c r="DM59" t="s">
        <v>587</v>
      </c>
      <c r="DN59" t="s">
        <v>595</v>
      </c>
      <c r="DO59" t="s">
        <v>596</v>
      </c>
      <c r="DP59" t="s">
        <v>596</v>
      </c>
      <c r="DQ59" t="s">
        <v>450</v>
      </c>
      <c r="DR59" t="s">
        <v>597</v>
      </c>
      <c r="DS59" t="s">
        <v>598</v>
      </c>
      <c r="DT59" t="s">
        <v>599</v>
      </c>
      <c r="DU59" t="s">
        <v>600</v>
      </c>
      <c r="DV59" s="2">
        <v>45392</v>
      </c>
      <c r="DW59" s="2">
        <v>45394</v>
      </c>
      <c r="DX59" t="s">
        <v>601</v>
      </c>
      <c r="DY59" s="2">
        <v>45397</v>
      </c>
      <c r="DZ59" t="s">
        <v>602</v>
      </c>
      <c r="EA59" t="s">
        <v>415</v>
      </c>
      <c r="EB59" s="2">
        <v>45413</v>
      </c>
    </row>
    <row r="60" spans="1:132">
      <c r="A60" t="s">
        <v>140</v>
      </c>
      <c r="B60" t="s">
        <v>152</v>
      </c>
      <c r="C60" t="s">
        <v>164</v>
      </c>
      <c r="D60" t="s">
        <v>176</v>
      </c>
      <c r="E60" t="s">
        <v>188</v>
      </c>
      <c r="F60" t="s">
        <v>193</v>
      </c>
      <c r="G60">
        <v>000000103</v>
      </c>
      <c r="H60">
        <v>999900210</v>
      </c>
      <c r="I60" t="s">
        <v>199</v>
      </c>
      <c r="J60" t="s">
        <v>205</v>
      </c>
      <c r="K60" t="s">
        <v>264</v>
      </c>
      <c r="L60" s="2">
        <v>46424</v>
      </c>
      <c r="M60" s="2">
        <v>46645</v>
      </c>
      <c r="N60" s="2">
        <v>46451</v>
      </c>
      <c r="P60" t="s">
        <v>295</v>
      </c>
      <c r="Q60" t="s">
        <v>296</v>
      </c>
      <c r="R60" t="s">
        <v>307</v>
      </c>
      <c r="S60">
        <v>144</v>
      </c>
      <c r="T60" t="s">
        <v>311</v>
      </c>
      <c r="U60" s="2">
        <v>30682</v>
      </c>
      <c r="V60" t="s">
        <v>320</v>
      </c>
      <c r="W60" t="s">
        <v>324</v>
      </c>
      <c r="X60" t="s">
        <v>336</v>
      </c>
      <c r="Y60" t="s">
        <v>348</v>
      </c>
      <c r="Z60" t="s">
        <v>355</v>
      </c>
      <c r="AA60" t="s">
        <v>358</v>
      </c>
      <c r="AB60">
        <v>43215</v>
      </c>
      <c r="AC60" t="s">
        <v>358</v>
      </c>
      <c r="AD60" t="s">
        <v>363</v>
      </c>
      <c r="AE60" s="2">
        <v>44602</v>
      </c>
      <c r="AF60" t="s">
        <v>369</v>
      </c>
      <c r="AG60" t="s">
        <v>370</v>
      </c>
      <c r="AH60" s="2">
        <v>45915</v>
      </c>
      <c r="AI60" t="s">
        <v>381</v>
      </c>
      <c r="AJ60" t="s">
        <v>393</v>
      </c>
      <c r="AK60" t="s">
        <v>405</v>
      </c>
      <c r="AM60" t="s">
        <v>409</v>
      </c>
      <c r="AN60" s="2">
        <v>46421</v>
      </c>
      <c r="AO60">
        <v>0</v>
      </c>
      <c r="AP60">
        <v>0</v>
      </c>
      <c r="AQ60" t="s">
        <v>370</v>
      </c>
      <c r="AR60" t="s">
        <v>410</v>
      </c>
      <c r="AS60" s="2">
        <v>45502</v>
      </c>
      <c r="AT60" t="s">
        <v>412</v>
      </c>
      <c r="AU60" t="s">
        <v>413</v>
      </c>
      <c r="AX60" s="2">
        <v>45502</v>
      </c>
      <c r="AY60" t="s">
        <v>414</v>
      </c>
      <c r="AZ60" t="s">
        <v>415</v>
      </c>
      <c r="BB60" t="s">
        <v>416</v>
      </c>
      <c r="BC60" t="s">
        <v>417</v>
      </c>
      <c r="BD60" t="s">
        <v>188</v>
      </c>
      <c r="BF60" s="2">
        <v>45502</v>
      </c>
      <c r="BG60" t="s">
        <v>418</v>
      </c>
      <c r="BH60" t="s">
        <v>420</v>
      </c>
      <c r="BI60" t="s">
        <v>421</v>
      </c>
      <c r="BJ60" s="2">
        <v>45502</v>
      </c>
      <c r="BK60" t="s">
        <v>422</v>
      </c>
      <c r="BL60" s="2">
        <v>45495</v>
      </c>
      <c r="BM60" t="s">
        <v>431</v>
      </c>
      <c r="BN60" t="s">
        <v>438</v>
      </c>
      <c r="BO60" t="s">
        <v>438</v>
      </c>
      <c r="BP60" t="s">
        <v>447</v>
      </c>
      <c r="BQ60">
        <v>5</v>
      </c>
      <c r="BR60">
        <v>5</v>
      </c>
      <c r="BS60">
        <v>4</v>
      </c>
      <c r="BT60">
        <v>5</v>
      </c>
      <c r="BU60">
        <v>5</v>
      </c>
      <c r="BV60">
        <v>5</v>
      </c>
      <c r="BX60">
        <v>5</v>
      </c>
      <c r="BY60">
        <v>5</v>
      </c>
      <c r="BZ60" t="s">
        <v>450</v>
      </c>
      <c r="CA60" t="s">
        <v>455</v>
      </c>
      <c r="CB60" t="s">
        <v>456</v>
      </c>
      <c r="CC60" t="s">
        <v>457</v>
      </c>
      <c r="CD60" t="s">
        <v>458</v>
      </c>
      <c r="CE60" s="2">
        <v>46037</v>
      </c>
      <c r="CF60" s="2">
        <v>46218</v>
      </c>
      <c r="CH60" t="s">
        <v>459</v>
      </c>
      <c r="CJ60" t="s">
        <v>468</v>
      </c>
      <c r="CK60" t="s">
        <v>296</v>
      </c>
      <c r="CL60" t="s">
        <v>532</v>
      </c>
      <c r="CM60" t="s">
        <v>358</v>
      </c>
      <c r="CN60" t="s">
        <v>555</v>
      </c>
      <c r="CO60" t="s">
        <v>152</v>
      </c>
      <c r="CP60" s="2">
        <v>45915</v>
      </c>
      <c r="CQ60" s="2">
        <v>46645</v>
      </c>
      <c r="CR60" t="s">
        <v>564</v>
      </c>
      <c r="CS60" t="s">
        <v>393</v>
      </c>
      <c r="CT60" s="2">
        <v>45915</v>
      </c>
      <c r="CU60" t="s">
        <v>576</v>
      </c>
      <c r="CV60" t="s">
        <v>405</v>
      </c>
      <c r="CW60" t="s">
        <v>583</v>
      </c>
      <c r="CX60" t="s">
        <v>358</v>
      </c>
      <c r="CY60" t="s">
        <v>585</v>
      </c>
      <c r="DA60" t="s">
        <v>587</v>
      </c>
      <c r="DB60" t="s">
        <v>587</v>
      </c>
      <c r="DC60" t="s">
        <v>587</v>
      </c>
      <c r="DD60" t="s">
        <v>587</v>
      </c>
      <c r="DE60" t="s">
        <v>587</v>
      </c>
      <c r="DF60" t="s">
        <v>587</v>
      </c>
      <c r="DG60" t="s">
        <v>590</v>
      </c>
      <c r="DH60" t="s">
        <v>592</v>
      </c>
      <c r="DI60" t="s">
        <v>594</v>
      </c>
      <c r="DJ60" t="s">
        <v>587</v>
      </c>
      <c r="DK60" t="s">
        <v>587</v>
      </c>
      <c r="DL60" t="s">
        <v>587</v>
      </c>
      <c r="DM60" t="s">
        <v>587</v>
      </c>
      <c r="DN60" t="s">
        <v>595</v>
      </c>
      <c r="DO60" t="s">
        <v>596</v>
      </c>
      <c r="DP60" t="s">
        <v>596</v>
      </c>
      <c r="DQ60" t="s">
        <v>450</v>
      </c>
      <c r="DR60" t="s">
        <v>597</v>
      </c>
      <c r="DS60" t="s">
        <v>598</v>
      </c>
      <c r="DT60" t="s">
        <v>599</v>
      </c>
      <c r="DU60" t="s">
        <v>600</v>
      </c>
      <c r="DV60" s="2">
        <v>45392</v>
      </c>
      <c r="DW60" s="2">
        <v>45394</v>
      </c>
      <c r="DX60" t="s">
        <v>601</v>
      </c>
      <c r="DY60" s="2">
        <v>45397</v>
      </c>
      <c r="DZ60" t="s">
        <v>602</v>
      </c>
      <c r="EA60" t="s">
        <v>415</v>
      </c>
      <c r="EB60" s="2">
        <v>45413</v>
      </c>
    </row>
    <row r="61" spans="1:132">
      <c r="A61" t="s">
        <v>140</v>
      </c>
      <c r="B61" t="s">
        <v>152</v>
      </c>
      <c r="C61" t="s">
        <v>164</v>
      </c>
      <c r="D61" t="s">
        <v>176</v>
      </c>
      <c r="E61" t="s">
        <v>188</v>
      </c>
      <c r="F61" t="s">
        <v>193</v>
      </c>
      <c r="G61">
        <v>000000103</v>
      </c>
      <c r="H61">
        <v>999900210</v>
      </c>
      <c r="I61" t="s">
        <v>200</v>
      </c>
      <c r="J61" t="s">
        <v>205</v>
      </c>
      <c r="K61" t="s">
        <v>265</v>
      </c>
      <c r="L61" s="2">
        <v>46424</v>
      </c>
      <c r="M61" s="2">
        <v>46645</v>
      </c>
      <c r="N61" s="2">
        <v>46451</v>
      </c>
      <c r="P61" t="s">
        <v>295</v>
      </c>
      <c r="Q61" t="s">
        <v>296</v>
      </c>
      <c r="R61" t="s">
        <v>307</v>
      </c>
      <c r="S61">
        <v>144</v>
      </c>
      <c r="T61" t="s">
        <v>311</v>
      </c>
      <c r="U61" s="2">
        <v>30682</v>
      </c>
      <c r="V61" t="s">
        <v>320</v>
      </c>
      <c r="W61" t="s">
        <v>324</v>
      </c>
      <c r="X61" t="s">
        <v>336</v>
      </c>
      <c r="Y61" t="s">
        <v>348</v>
      </c>
      <c r="Z61" t="s">
        <v>355</v>
      </c>
      <c r="AA61" t="s">
        <v>358</v>
      </c>
      <c r="AB61">
        <v>43215</v>
      </c>
      <c r="AC61" t="s">
        <v>358</v>
      </c>
      <c r="AD61" t="s">
        <v>363</v>
      </c>
      <c r="AE61" s="2">
        <v>44602</v>
      </c>
      <c r="AF61" t="s">
        <v>369</v>
      </c>
      <c r="AG61" t="s">
        <v>370</v>
      </c>
      <c r="AH61" s="2">
        <v>45915</v>
      </c>
      <c r="AI61" t="s">
        <v>381</v>
      </c>
      <c r="AJ61" t="s">
        <v>393</v>
      </c>
      <c r="AK61" t="s">
        <v>405</v>
      </c>
      <c r="AM61" t="s">
        <v>409</v>
      </c>
      <c r="AN61" s="2">
        <v>46421</v>
      </c>
      <c r="AO61">
        <v>0</v>
      </c>
      <c r="AP61">
        <v>0</v>
      </c>
      <c r="AQ61" t="s">
        <v>370</v>
      </c>
      <c r="AR61" t="s">
        <v>410</v>
      </c>
      <c r="AS61" s="2">
        <v>45502</v>
      </c>
      <c r="AT61" t="s">
        <v>412</v>
      </c>
      <c r="AU61" t="s">
        <v>413</v>
      </c>
      <c r="AX61" s="2">
        <v>45502</v>
      </c>
      <c r="AY61" t="s">
        <v>414</v>
      </c>
      <c r="AZ61" t="s">
        <v>415</v>
      </c>
      <c r="BB61" t="s">
        <v>416</v>
      </c>
      <c r="BC61" t="s">
        <v>417</v>
      </c>
      <c r="BD61" t="s">
        <v>188</v>
      </c>
      <c r="BF61" s="2">
        <v>45502</v>
      </c>
      <c r="BG61" t="s">
        <v>418</v>
      </c>
      <c r="BH61" t="s">
        <v>420</v>
      </c>
      <c r="BI61" t="s">
        <v>421</v>
      </c>
      <c r="BJ61" s="2">
        <v>45502</v>
      </c>
      <c r="BK61" t="s">
        <v>422</v>
      </c>
      <c r="BL61" s="2">
        <v>45495</v>
      </c>
      <c r="BM61" t="s">
        <v>431</v>
      </c>
      <c r="BN61" t="s">
        <v>438</v>
      </c>
      <c r="BO61" t="s">
        <v>438</v>
      </c>
      <c r="BP61" t="s">
        <v>447</v>
      </c>
      <c r="BQ61">
        <v>5</v>
      </c>
      <c r="BR61">
        <v>5</v>
      </c>
      <c r="BS61">
        <v>4</v>
      </c>
      <c r="BT61">
        <v>5</v>
      </c>
      <c r="BU61">
        <v>5</v>
      </c>
      <c r="BV61">
        <v>5</v>
      </c>
      <c r="BX61">
        <v>5</v>
      </c>
      <c r="BY61">
        <v>5</v>
      </c>
      <c r="BZ61" t="s">
        <v>450</v>
      </c>
      <c r="CA61" t="s">
        <v>455</v>
      </c>
      <c r="CB61" t="s">
        <v>456</v>
      </c>
      <c r="CC61" t="s">
        <v>457</v>
      </c>
      <c r="CD61" t="s">
        <v>458</v>
      </c>
      <c r="CE61" s="2">
        <v>46037</v>
      </c>
      <c r="CF61" s="2">
        <v>46218</v>
      </c>
      <c r="CH61" t="s">
        <v>459</v>
      </c>
      <c r="CJ61" t="s">
        <v>468</v>
      </c>
      <c r="CK61" t="s">
        <v>296</v>
      </c>
      <c r="CL61" t="s">
        <v>533</v>
      </c>
      <c r="CM61" t="s">
        <v>358</v>
      </c>
      <c r="CN61" t="s">
        <v>555</v>
      </c>
      <c r="CO61" t="s">
        <v>152</v>
      </c>
      <c r="CP61" s="2">
        <v>45915</v>
      </c>
      <c r="CQ61" s="2">
        <v>46645</v>
      </c>
      <c r="CR61" t="s">
        <v>564</v>
      </c>
      <c r="CS61" t="s">
        <v>393</v>
      </c>
      <c r="CT61" s="2">
        <v>45915</v>
      </c>
      <c r="CU61" t="s">
        <v>576</v>
      </c>
      <c r="CV61" t="s">
        <v>405</v>
      </c>
      <c r="CW61" t="s">
        <v>583</v>
      </c>
      <c r="CX61" t="s">
        <v>358</v>
      </c>
      <c r="CY61" t="s">
        <v>585</v>
      </c>
      <c r="DA61" t="s">
        <v>587</v>
      </c>
      <c r="DB61" t="s">
        <v>587</v>
      </c>
      <c r="DC61" t="s">
        <v>587</v>
      </c>
      <c r="DD61" t="s">
        <v>587</v>
      </c>
      <c r="DE61" t="s">
        <v>587</v>
      </c>
      <c r="DF61" t="s">
        <v>587</v>
      </c>
      <c r="DG61" t="s">
        <v>590</v>
      </c>
      <c r="DH61" t="s">
        <v>592</v>
      </c>
      <c r="DI61" t="s">
        <v>594</v>
      </c>
      <c r="DJ61" t="s">
        <v>587</v>
      </c>
      <c r="DK61" t="s">
        <v>587</v>
      </c>
      <c r="DL61" t="s">
        <v>587</v>
      </c>
      <c r="DM61" t="s">
        <v>587</v>
      </c>
      <c r="DN61" t="s">
        <v>595</v>
      </c>
      <c r="DO61" t="s">
        <v>596</v>
      </c>
      <c r="DP61" t="s">
        <v>596</v>
      </c>
      <c r="DQ61" t="s">
        <v>450</v>
      </c>
      <c r="DR61" t="s">
        <v>597</v>
      </c>
      <c r="DS61" t="s">
        <v>598</v>
      </c>
      <c r="DT61" t="s">
        <v>599</v>
      </c>
      <c r="DU61" t="s">
        <v>600</v>
      </c>
      <c r="DV61" s="2">
        <v>45392</v>
      </c>
      <c r="DW61" s="2">
        <v>45394</v>
      </c>
      <c r="DX61" t="s">
        <v>601</v>
      </c>
      <c r="DY61" s="2">
        <v>45397</v>
      </c>
      <c r="DZ61" t="s">
        <v>602</v>
      </c>
      <c r="EA61" t="s">
        <v>415</v>
      </c>
      <c r="EB61" s="2">
        <v>45413</v>
      </c>
    </row>
    <row r="62" spans="1:132">
      <c r="A62" t="s">
        <v>140</v>
      </c>
      <c r="B62" t="s">
        <v>152</v>
      </c>
      <c r="C62" t="s">
        <v>164</v>
      </c>
      <c r="D62" t="s">
        <v>176</v>
      </c>
      <c r="E62" t="s">
        <v>188</v>
      </c>
      <c r="F62" t="s">
        <v>193</v>
      </c>
      <c r="G62">
        <v>000000103</v>
      </c>
      <c r="H62">
        <v>999900210</v>
      </c>
      <c r="I62" t="s">
        <v>201</v>
      </c>
      <c r="J62" t="s">
        <v>205</v>
      </c>
      <c r="K62" t="s">
        <v>266</v>
      </c>
      <c r="L62" s="2">
        <v>46424</v>
      </c>
      <c r="M62" s="2">
        <v>46645</v>
      </c>
      <c r="N62" s="2">
        <v>46451</v>
      </c>
      <c r="P62" t="s">
        <v>295</v>
      </c>
      <c r="Q62" t="s">
        <v>296</v>
      </c>
      <c r="R62" t="s">
        <v>307</v>
      </c>
      <c r="S62">
        <v>144</v>
      </c>
      <c r="T62" t="s">
        <v>311</v>
      </c>
      <c r="U62" s="2">
        <v>30682</v>
      </c>
      <c r="V62" t="s">
        <v>320</v>
      </c>
      <c r="W62" t="s">
        <v>324</v>
      </c>
      <c r="X62" t="s">
        <v>336</v>
      </c>
      <c r="Y62" t="s">
        <v>348</v>
      </c>
      <c r="Z62" t="s">
        <v>355</v>
      </c>
      <c r="AA62" t="s">
        <v>358</v>
      </c>
      <c r="AB62">
        <v>43215</v>
      </c>
      <c r="AC62" t="s">
        <v>358</v>
      </c>
      <c r="AD62" t="s">
        <v>363</v>
      </c>
      <c r="AE62" s="2">
        <v>44602</v>
      </c>
      <c r="AF62" t="s">
        <v>369</v>
      </c>
      <c r="AG62" t="s">
        <v>370</v>
      </c>
      <c r="AH62" s="2">
        <v>45915</v>
      </c>
      <c r="AI62" t="s">
        <v>381</v>
      </c>
      <c r="AJ62" t="s">
        <v>393</v>
      </c>
      <c r="AK62" t="s">
        <v>405</v>
      </c>
      <c r="AM62" t="s">
        <v>409</v>
      </c>
      <c r="AN62" s="2">
        <v>46421</v>
      </c>
      <c r="AO62">
        <v>0</v>
      </c>
      <c r="AP62">
        <v>0</v>
      </c>
      <c r="AQ62" t="s">
        <v>370</v>
      </c>
      <c r="AR62" t="s">
        <v>410</v>
      </c>
      <c r="AS62" s="2">
        <v>45502</v>
      </c>
      <c r="AT62" t="s">
        <v>412</v>
      </c>
      <c r="AU62" t="s">
        <v>413</v>
      </c>
      <c r="AX62" s="2">
        <v>45502</v>
      </c>
      <c r="AY62" t="s">
        <v>414</v>
      </c>
      <c r="AZ62" t="s">
        <v>415</v>
      </c>
      <c r="BB62" t="s">
        <v>416</v>
      </c>
      <c r="BC62" t="s">
        <v>417</v>
      </c>
      <c r="BD62" t="s">
        <v>188</v>
      </c>
      <c r="BF62" s="2">
        <v>45502</v>
      </c>
      <c r="BG62" t="s">
        <v>418</v>
      </c>
      <c r="BH62" t="s">
        <v>420</v>
      </c>
      <c r="BI62" t="s">
        <v>421</v>
      </c>
      <c r="BJ62" s="2">
        <v>45502</v>
      </c>
      <c r="BK62" t="s">
        <v>422</v>
      </c>
      <c r="BL62" s="2">
        <v>45495</v>
      </c>
      <c r="BM62" t="s">
        <v>431</v>
      </c>
      <c r="BN62" t="s">
        <v>438</v>
      </c>
      <c r="BO62" t="s">
        <v>438</v>
      </c>
      <c r="BP62" t="s">
        <v>447</v>
      </c>
      <c r="BQ62">
        <v>5</v>
      </c>
      <c r="BR62">
        <v>5</v>
      </c>
      <c r="BS62">
        <v>4</v>
      </c>
      <c r="BT62">
        <v>5</v>
      </c>
      <c r="BU62">
        <v>5</v>
      </c>
      <c r="BV62">
        <v>5</v>
      </c>
      <c r="BX62">
        <v>5</v>
      </c>
      <c r="BY62">
        <v>5</v>
      </c>
      <c r="BZ62" t="s">
        <v>450</v>
      </c>
      <c r="CA62" t="s">
        <v>455</v>
      </c>
      <c r="CB62" t="s">
        <v>456</v>
      </c>
      <c r="CC62" t="s">
        <v>457</v>
      </c>
      <c r="CD62" t="s">
        <v>458</v>
      </c>
      <c r="CE62" s="2">
        <v>46037</v>
      </c>
      <c r="CF62" s="2">
        <v>46218</v>
      </c>
      <c r="CH62" t="s">
        <v>459</v>
      </c>
      <c r="CJ62" t="s">
        <v>468</v>
      </c>
      <c r="CK62" t="s">
        <v>296</v>
      </c>
      <c r="CL62" t="s">
        <v>534</v>
      </c>
      <c r="CM62" t="s">
        <v>358</v>
      </c>
      <c r="CN62" t="s">
        <v>555</v>
      </c>
      <c r="CO62" t="s">
        <v>152</v>
      </c>
      <c r="CP62" s="2">
        <v>45915</v>
      </c>
      <c r="CQ62" s="2">
        <v>46645</v>
      </c>
      <c r="CR62" t="s">
        <v>564</v>
      </c>
      <c r="CS62" t="s">
        <v>393</v>
      </c>
      <c r="CT62" s="2">
        <v>45915</v>
      </c>
      <c r="CU62" t="s">
        <v>576</v>
      </c>
      <c r="CV62" t="s">
        <v>405</v>
      </c>
      <c r="CW62" t="s">
        <v>583</v>
      </c>
      <c r="CX62" t="s">
        <v>358</v>
      </c>
      <c r="CY62" t="s">
        <v>585</v>
      </c>
      <c r="DA62" t="s">
        <v>587</v>
      </c>
      <c r="DB62" t="s">
        <v>587</v>
      </c>
      <c r="DC62" t="s">
        <v>587</v>
      </c>
      <c r="DD62" t="s">
        <v>587</v>
      </c>
      <c r="DE62" t="s">
        <v>587</v>
      </c>
      <c r="DF62" t="s">
        <v>587</v>
      </c>
      <c r="DG62" t="s">
        <v>590</v>
      </c>
      <c r="DH62" t="s">
        <v>592</v>
      </c>
      <c r="DI62" t="s">
        <v>594</v>
      </c>
      <c r="DJ62" t="s">
        <v>587</v>
      </c>
      <c r="DK62" t="s">
        <v>587</v>
      </c>
      <c r="DL62" t="s">
        <v>587</v>
      </c>
      <c r="DM62" t="s">
        <v>587</v>
      </c>
      <c r="DN62" t="s">
        <v>595</v>
      </c>
      <c r="DO62" t="s">
        <v>596</v>
      </c>
      <c r="DP62" t="s">
        <v>596</v>
      </c>
      <c r="DQ62" t="s">
        <v>450</v>
      </c>
      <c r="DR62" t="s">
        <v>597</v>
      </c>
      <c r="DS62" t="s">
        <v>598</v>
      </c>
      <c r="DT62" t="s">
        <v>599</v>
      </c>
      <c r="DU62" t="s">
        <v>600</v>
      </c>
      <c r="DV62" s="2">
        <v>45392</v>
      </c>
      <c r="DW62" s="2">
        <v>45394</v>
      </c>
      <c r="DX62" t="s">
        <v>601</v>
      </c>
      <c r="DY62" s="2">
        <v>45397</v>
      </c>
      <c r="DZ62" t="s">
        <v>602</v>
      </c>
      <c r="EA62" t="s">
        <v>415</v>
      </c>
      <c r="EB62" s="2">
        <v>45413</v>
      </c>
    </row>
    <row r="63" spans="1:132">
      <c r="A63" t="s">
        <v>140</v>
      </c>
      <c r="B63" t="s">
        <v>152</v>
      </c>
      <c r="C63" t="s">
        <v>164</v>
      </c>
      <c r="D63" t="s">
        <v>176</v>
      </c>
      <c r="E63" t="s">
        <v>188</v>
      </c>
      <c r="F63" t="s">
        <v>193</v>
      </c>
      <c r="G63">
        <v>000000103</v>
      </c>
      <c r="H63">
        <v>999900210</v>
      </c>
      <c r="I63" t="s">
        <v>202</v>
      </c>
      <c r="J63" t="s">
        <v>205</v>
      </c>
      <c r="K63" t="s">
        <v>267</v>
      </c>
      <c r="L63" s="2">
        <v>46424</v>
      </c>
      <c r="M63" s="2">
        <v>46645</v>
      </c>
      <c r="N63" s="2">
        <v>46451</v>
      </c>
      <c r="O63" t="s">
        <v>291</v>
      </c>
      <c r="P63" t="s">
        <v>295</v>
      </c>
      <c r="Q63" t="s">
        <v>296</v>
      </c>
      <c r="R63" t="s">
        <v>307</v>
      </c>
      <c r="S63">
        <v>144</v>
      </c>
      <c r="T63" t="s">
        <v>311</v>
      </c>
      <c r="U63" s="2">
        <v>30682</v>
      </c>
      <c r="V63" t="s">
        <v>320</v>
      </c>
      <c r="W63" t="s">
        <v>324</v>
      </c>
      <c r="X63" t="s">
        <v>336</v>
      </c>
      <c r="Y63" t="s">
        <v>348</v>
      </c>
      <c r="Z63" t="s">
        <v>355</v>
      </c>
      <c r="AA63" t="s">
        <v>358</v>
      </c>
      <c r="AB63">
        <v>43215</v>
      </c>
      <c r="AC63" t="s">
        <v>358</v>
      </c>
      <c r="AD63" t="s">
        <v>363</v>
      </c>
      <c r="AE63" s="2">
        <v>44602</v>
      </c>
      <c r="AF63" t="s">
        <v>369</v>
      </c>
      <c r="AG63" t="s">
        <v>370</v>
      </c>
      <c r="AH63" s="2">
        <v>45915</v>
      </c>
      <c r="AI63" t="s">
        <v>381</v>
      </c>
      <c r="AJ63" t="s">
        <v>393</v>
      </c>
      <c r="AK63" t="s">
        <v>405</v>
      </c>
      <c r="AM63" t="s">
        <v>409</v>
      </c>
      <c r="AN63" s="2">
        <v>46421</v>
      </c>
      <c r="AO63">
        <v>0</v>
      </c>
      <c r="AP63">
        <v>0</v>
      </c>
      <c r="AQ63" t="s">
        <v>370</v>
      </c>
      <c r="AR63" t="s">
        <v>410</v>
      </c>
      <c r="AS63" s="2">
        <v>45502</v>
      </c>
      <c r="AT63" t="s">
        <v>412</v>
      </c>
      <c r="AU63" t="s">
        <v>413</v>
      </c>
      <c r="AX63" s="2">
        <v>45502</v>
      </c>
      <c r="AY63" t="s">
        <v>414</v>
      </c>
      <c r="AZ63" t="s">
        <v>415</v>
      </c>
      <c r="BB63" t="s">
        <v>416</v>
      </c>
      <c r="BC63" t="s">
        <v>417</v>
      </c>
      <c r="BD63" t="s">
        <v>188</v>
      </c>
      <c r="BF63" s="2">
        <v>45502</v>
      </c>
      <c r="BG63" t="s">
        <v>418</v>
      </c>
      <c r="BH63" t="s">
        <v>420</v>
      </c>
      <c r="BI63" t="s">
        <v>421</v>
      </c>
      <c r="BJ63" s="2">
        <v>45502</v>
      </c>
      <c r="BK63" t="s">
        <v>422</v>
      </c>
      <c r="BL63" s="2">
        <v>45495</v>
      </c>
      <c r="BM63" t="s">
        <v>431</v>
      </c>
      <c r="BN63" t="s">
        <v>438</v>
      </c>
      <c r="BO63" t="s">
        <v>438</v>
      </c>
      <c r="BP63" t="s">
        <v>447</v>
      </c>
      <c r="BQ63">
        <v>5</v>
      </c>
      <c r="BR63">
        <v>5</v>
      </c>
      <c r="BS63">
        <v>4</v>
      </c>
      <c r="BT63">
        <v>5</v>
      </c>
      <c r="BU63">
        <v>5</v>
      </c>
      <c r="BV63">
        <v>5</v>
      </c>
      <c r="BX63">
        <v>5</v>
      </c>
      <c r="BY63">
        <v>5</v>
      </c>
      <c r="BZ63" t="s">
        <v>450</v>
      </c>
      <c r="CA63" t="s">
        <v>455</v>
      </c>
      <c r="CB63" t="s">
        <v>456</v>
      </c>
      <c r="CC63" t="s">
        <v>457</v>
      </c>
      <c r="CD63" t="s">
        <v>458</v>
      </c>
      <c r="CE63" s="2">
        <v>46037</v>
      </c>
      <c r="CF63" s="2">
        <v>46218</v>
      </c>
      <c r="CH63" t="s">
        <v>459</v>
      </c>
      <c r="CJ63" t="s">
        <v>468</v>
      </c>
      <c r="CK63" t="s">
        <v>296</v>
      </c>
      <c r="CL63" t="s">
        <v>535</v>
      </c>
      <c r="CM63" t="s">
        <v>358</v>
      </c>
      <c r="CN63" t="s">
        <v>555</v>
      </c>
      <c r="CO63" t="s">
        <v>152</v>
      </c>
      <c r="CP63" s="2">
        <v>45915</v>
      </c>
      <c r="CQ63" s="2">
        <v>46645</v>
      </c>
      <c r="CR63" t="s">
        <v>564</v>
      </c>
      <c r="CS63" t="s">
        <v>393</v>
      </c>
      <c r="CT63" s="2">
        <v>45915</v>
      </c>
      <c r="CU63" t="s">
        <v>576</v>
      </c>
      <c r="CV63" t="s">
        <v>405</v>
      </c>
      <c r="CW63" t="s">
        <v>583</v>
      </c>
      <c r="CX63" t="s">
        <v>358</v>
      </c>
      <c r="CY63" t="s">
        <v>585</v>
      </c>
      <c r="DA63" t="s">
        <v>587</v>
      </c>
      <c r="DB63" t="s">
        <v>587</v>
      </c>
      <c r="DC63" t="s">
        <v>587</v>
      </c>
      <c r="DD63" t="s">
        <v>587</v>
      </c>
      <c r="DE63" t="s">
        <v>587</v>
      </c>
      <c r="DF63" t="s">
        <v>587</v>
      </c>
      <c r="DG63" t="s">
        <v>590</v>
      </c>
      <c r="DH63" t="s">
        <v>592</v>
      </c>
      <c r="DI63" t="s">
        <v>594</v>
      </c>
      <c r="DJ63" t="s">
        <v>587</v>
      </c>
      <c r="DK63" t="s">
        <v>587</v>
      </c>
      <c r="DL63" t="s">
        <v>587</v>
      </c>
      <c r="DM63" t="s">
        <v>587</v>
      </c>
      <c r="DN63" t="s">
        <v>595</v>
      </c>
      <c r="DO63" t="s">
        <v>596</v>
      </c>
      <c r="DP63" t="s">
        <v>596</v>
      </c>
      <c r="DQ63" t="s">
        <v>450</v>
      </c>
      <c r="DR63" t="s">
        <v>597</v>
      </c>
      <c r="DS63" t="s">
        <v>598</v>
      </c>
      <c r="DT63" t="s">
        <v>599</v>
      </c>
      <c r="DU63" t="s">
        <v>600</v>
      </c>
      <c r="DV63" s="2">
        <v>45392</v>
      </c>
      <c r="DW63" s="2">
        <v>45394</v>
      </c>
      <c r="DX63" t="s">
        <v>601</v>
      </c>
      <c r="DY63" s="2">
        <v>45397</v>
      </c>
      <c r="DZ63" t="s">
        <v>602</v>
      </c>
      <c r="EA63" t="s">
        <v>415</v>
      </c>
      <c r="EB63" s="2">
        <v>45413</v>
      </c>
    </row>
    <row r="64" spans="1:132">
      <c r="A64" t="s">
        <v>140</v>
      </c>
      <c r="B64" t="s">
        <v>152</v>
      </c>
      <c r="C64" t="s">
        <v>164</v>
      </c>
      <c r="D64" t="s">
        <v>176</v>
      </c>
      <c r="E64" t="s">
        <v>188</v>
      </c>
      <c r="F64" t="s">
        <v>193</v>
      </c>
      <c r="G64">
        <v>000000103</v>
      </c>
      <c r="H64">
        <v>999900210</v>
      </c>
      <c r="I64" t="s">
        <v>203</v>
      </c>
      <c r="J64" t="s">
        <v>205</v>
      </c>
      <c r="K64" t="s">
        <v>268</v>
      </c>
      <c r="L64" s="2">
        <v>46424</v>
      </c>
      <c r="M64" s="2">
        <v>46645</v>
      </c>
      <c r="N64" s="2">
        <v>46451</v>
      </c>
      <c r="P64" t="s">
        <v>295</v>
      </c>
      <c r="Q64" t="s">
        <v>296</v>
      </c>
      <c r="R64" t="s">
        <v>307</v>
      </c>
      <c r="S64">
        <v>144</v>
      </c>
      <c r="T64" t="s">
        <v>311</v>
      </c>
      <c r="U64" s="2">
        <v>30682</v>
      </c>
      <c r="V64" t="s">
        <v>320</v>
      </c>
      <c r="W64" t="s">
        <v>324</v>
      </c>
      <c r="X64" t="s">
        <v>336</v>
      </c>
      <c r="Y64" t="s">
        <v>348</v>
      </c>
      <c r="Z64" t="s">
        <v>355</v>
      </c>
      <c r="AA64" t="s">
        <v>358</v>
      </c>
      <c r="AB64">
        <v>43215</v>
      </c>
      <c r="AC64" t="s">
        <v>358</v>
      </c>
      <c r="AD64" t="s">
        <v>363</v>
      </c>
      <c r="AE64" s="2">
        <v>44602</v>
      </c>
      <c r="AF64" t="s">
        <v>369</v>
      </c>
      <c r="AG64" t="s">
        <v>370</v>
      </c>
      <c r="AH64" s="2">
        <v>45915</v>
      </c>
      <c r="AI64" t="s">
        <v>381</v>
      </c>
      <c r="AJ64" t="s">
        <v>393</v>
      </c>
      <c r="AK64" t="s">
        <v>405</v>
      </c>
      <c r="AM64" t="s">
        <v>409</v>
      </c>
      <c r="AN64" s="2">
        <v>46421</v>
      </c>
      <c r="AO64">
        <v>0</v>
      </c>
      <c r="AP64">
        <v>0</v>
      </c>
      <c r="AQ64" t="s">
        <v>370</v>
      </c>
      <c r="AR64" t="s">
        <v>410</v>
      </c>
      <c r="AS64" s="2">
        <v>45502</v>
      </c>
      <c r="AT64" t="s">
        <v>412</v>
      </c>
      <c r="AU64" t="s">
        <v>413</v>
      </c>
      <c r="AX64" s="2">
        <v>45502</v>
      </c>
      <c r="AY64" t="s">
        <v>414</v>
      </c>
      <c r="AZ64" t="s">
        <v>415</v>
      </c>
      <c r="BB64" t="s">
        <v>416</v>
      </c>
      <c r="BC64" t="s">
        <v>417</v>
      </c>
      <c r="BD64" t="s">
        <v>188</v>
      </c>
      <c r="BF64" s="2">
        <v>45502</v>
      </c>
      <c r="BG64" t="s">
        <v>418</v>
      </c>
      <c r="BH64" t="s">
        <v>420</v>
      </c>
      <c r="BI64" t="s">
        <v>421</v>
      </c>
      <c r="BJ64" s="2">
        <v>45502</v>
      </c>
      <c r="BK64" t="s">
        <v>422</v>
      </c>
      <c r="BL64" s="2">
        <v>45495</v>
      </c>
      <c r="BM64" t="s">
        <v>431</v>
      </c>
      <c r="BN64" t="s">
        <v>438</v>
      </c>
      <c r="BO64" t="s">
        <v>438</v>
      </c>
      <c r="BP64" t="s">
        <v>447</v>
      </c>
      <c r="BQ64">
        <v>5</v>
      </c>
      <c r="BR64">
        <v>5</v>
      </c>
      <c r="BS64">
        <v>4</v>
      </c>
      <c r="BT64">
        <v>5</v>
      </c>
      <c r="BU64">
        <v>5</v>
      </c>
      <c r="BV64">
        <v>5</v>
      </c>
      <c r="BX64">
        <v>5</v>
      </c>
      <c r="BY64">
        <v>5</v>
      </c>
      <c r="BZ64" t="s">
        <v>450</v>
      </c>
      <c r="CA64" t="s">
        <v>455</v>
      </c>
      <c r="CB64" t="s">
        <v>456</v>
      </c>
      <c r="CC64" t="s">
        <v>457</v>
      </c>
      <c r="CD64" t="s">
        <v>458</v>
      </c>
      <c r="CE64" s="2">
        <v>46037</v>
      </c>
      <c r="CF64" s="2">
        <v>46218</v>
      </c>
      <c r="CH64" t="s">
        <v>459</v>
      </c>
      <c r="CJ64" t="s">
        <v>468</v>
      </c>
      <c r="CK64" t="s">
        <v>296</v>
      </c>
      <c r="CL64" t="s">
        <v>536</v>
      </c>
      <c r="CM64" t="s">
        <v>358</v>
      </c>
      <c r="CN64" t="s">
        <v>555</v>
      </c>
      <c r="CO64" t="s">
        <v>152</v>
      </c>
      <c r="CP64" s="2">
        <v>45915</v>
      </c>
      <c r="CQ64" s="2">
        <v>46645</v>
      </c>
      <c r="CR64" t="s">
        <v>564</v>
      </c>
      <c r="CS64" t="s">
        <v>393</v>
      </c>
      <c r="CT64" s="2">
        <v>45915</v>
      </c>
      <c r="CU64" t="s">
        <v>576</v>
      </c>
      <c r="CV64" t="s">
        <v>405</v>
      </c>
      <c r="CW64" t="s">
        <v>583</v>
      </c>
      <c r="CX64" t="s">
        <v>358</v>
      </c>
      <c r="CY64" t="s">
        <v>585</v>
      </c>
      <c r="DA64" t="s">
        <v>587</v>
      </c>
      <c r="DB64" t="s">
        <v>587</v>
      </c>
      <c r="DC64" t="s">
        <v>587</v>
      </c>
      <c r="DD64" t="s">
        <v>587</v>
      </c>
      <c r="DE64" t="s">
        <v>587</v>
      </c>
      <c r="DF64" t="s">
        <v>587</v>
      </c>
      <c r="DG64" t="s">
        <v>590</v>
      </c>
      <c r="DH64" t="s">
        <v>592</v>
      </c>
      <c r="DI64" t="s">
        <v>594</v>
      </c>
      <c r="DJ64" t="s">
        <v>587</v>
      </c>
      <c r="DK64" t="s">
        <v>587</v>
      </c>
      <c r="DL64" t="s">
        <v>587</v>
      </c>
      <c r="DM64" t="s">
        <v>587</v>
      </c>
      <c r="DN64" t="s">
        <v>595</v>
      </c>
      <c r="DO64" t="s">
        <v>596</v>
      </c>
      <c r="DP64" t="s">
        <v>596</v>
      </c>
      <c r="DQ64" t="s">
        <v>450</v>
      </c>
      <c r="DR64" t="s">
        <v>597</v>
      </c>
      <c r="DS64" t="s">
        <v>598</v>
      </c>
      <c r="DT64" t="s">
        <v>599</v>
      </c>
      <c r="DU64" t="s">
        <v>600</v>
      </c>
      <c r="DV64" s="2">
        <v>45392</v>
      </c>
      <c r="DW64" s="2">
        <v>45394</v>
      </c>
      <c r="DX64" t="s">
        <v>601</v>
      </c>
      <c r="DY64" s="2">
        <v>45397</v>
      </c>
      <c r="DZ64" t="s">
        <v>602</v>
      </c>
      <c r="EA64" t="s">
        <v>415</v>
      </c>
      <c r="EB64" s="2">
        <v>45413</v>
      </c>
    </row>
    <row r="65" spans="1:132">
      <c r="A65" t="s">
        <v>141</v>
      </c>
      <c r="B65" t="s">
        <v>153</v>
      </c>
      <c r="C65" t="s">
        <v>165</v>
      </c>
      <c r="D65" t="s">
        <v>177</v>
      </c>
      <c r="E65" t="s">
        <v>189</v>
      </c>
      <c r="F65" t="s">
        <v>193</v>
      </c>
      <c r="G65">
        <v>000000106</v>
      </c>
      <c r="H65">
        <v>999900208</v>
      </c>
      <c r="I65" t="s">
        <v>197</v>
      </c>
      <c r="J65" t="s">
        <v>205</v>
      </c>
      <c r="K65" t="s">
        <v>269</v>
      </c>
      <c r="L65" s="2">
        <v>46647</v>
      </c>
      <c r="M65" s="2">
        <v>46752</v>
      </c>
      <c r="N65" s="2">
        <v>46481</v>
      </c>
      <c r="P65" t="s">
        <v>295</v>
      </c>
      <c r="Q65" t="s">
        <v>300</v>
      </c>
      <c r="R65" t="s">
        <v>308</v>
      </c>
      <c r="S65">
        <v>219</v>
      </c>
      <c r="T65" t="s">
        <v>310</v>
      </c>
      <c r="U65" s="2">
        <v>24108</v>
      </c>
      <c r="V65" t="s">
        <v>321</v>
      </c>
      <c r="W65" t="s">
        <v>295</v>
      </c>
      <c r="X65" t="s">
        <v>337</v>
      </c>
      <c r="Y65" t="s">
        <v>349</v>
      </c>
      <c r="Z65" t="s">
        <v>353</v>
      </c>
      <c r="AA65" t="s">
        <v>359</v>
      </c>
      <c r="AB65">
        <v>60603</v>
      </c>
      <c r="AC65" t="s">
        <v>359</v>
      </c>
      <c r="AD65" t="s">
        <v>362</v>
      </c>
      <c r="AE65" s="2">
        <v>44825</v>
      </c>
      <c r="AF65" t="s">
        <v>366</v>
      </c>
      <c r="AH65" s="2">
        <v>46022</v>
      </c>
      <c r="AI65" t="s">
        <v>382</v>
      </c>
      <c r="AJ65" t="s">
        <v>394</v>
      </c>
      <c r="AK65" t="s">
        <v>406</v>
      </c>
      <c r="AM65" t="s">
        <v>409</v>
      </c>
      <c r="AN65" s="2">
        <v>46451</v>
      </c>
      <c r="AO65">
        <v>1</v>
      </c>
      <c r="AP65">
        <v>0</v>
      </c>
      <c r="AR65" t="s">
        <v>410</v>
      </c>
      <c r="AS65" s="2">
        <v>45523</v>
      </c>
      <c r="AT65" t="s">
        <v>412</v>
      </c>
      <c r="AU65" t="s">
        <v>413</v>
      </c>
      <c r="AX65" s="2">
        <v>45523</v>
      </c>
      <c r="AY65" t="s">
        <v>414</v>
      </c>
      <c r="AZ65" t="s">
        <v>415</v>
      </c>
      <c r="BB65" t="s">
        <v>416</v>
      </c>
      <c r="BC65" t="s">
        <v>417</v>
      </c>
      <c r="BD65" t="s">
        <v>189</v>
      </c>
      <c r="BF65" s="2">
        <v>45523</v>
      </c>
      <c r="BG65" t="s">
        <v>418</v>
      </c>
      <c r="BH65" t="s">
        <v>419</v>
      </c>
      <c r="BI65" t="s">
        <v>421</v>
      </c>
      <c r="BJ65" s="2">
        <v>45523</v>
      </c>
      <c r="BK65" t="s">
        <v>422</v>
      </c>
      <c r="BL65" s="2">
        <v>45516</v>
      </c>
      <c r="BM65" t="s">
        <v>432</v>
      </c>
      <c r="BN65" t="s">
        <v>435</v>
      </c>
      <c r="BO65" t="s">
        <v>440</v>
      </c>
      <c r="BP65" t="s">
        <v>445</v>
      </c>
      <c r="BQ65">
        <v>4</v>
      </c>
      <c r="BR65">
        <v>5</v>
      </c>
      <c r="BS65">
        <v>4</v>
      </c>
      <c r="BT65">
        <v>4</v>
      </c>
      <c r="BU65">
        <v>5</v>
      </c>
      <c r="BV65">
        <v>5</v>
      </c>
      <c r="BW65">
        <v>4</v>
      </c>
      <c r="BX65">
        <v>5</v>
      </c>
      <c r="BY65">
        <v>4</v>
      </c>
      <c r="BZ65" t="s">
        <v>450</v>
      </c>
      <c r="CB65" t="s">
        <v>456</v>
      </c>
      <c r="CC65" t="s">
        <v>457</v>
      </c>
      <c r="CD65" t="s">
        <v>458</v>
      </c>
      <c r="CE65" s="2">
        <v>46037</v>
      </c>
      <c r="CF65" s="2">
        <v>46218</v>
      </c>
      <c r="CH65" t="s">
        <v>459</v>
      </c>
      <c r="CJ65" t="s">
        <v>469</v>
      </c>
      <c r="CK65" t="s">
        <v>480</v>
      </c>
      <c r="CL65" t="s">
        <v>269</v>
      </c>
      <c r="CM65" t="s">
        <v>359</v>
      </c>
      <c r="CN65" t="s">
        <v>555</v>
      </c>
      <c r="CO65" t="s">
        <v>153</v>
      </c>
      <c r="CP65" s="2">
        <v>46022</v>
      </c>
      <c r="CQ65" s="2">
        <v>46752</v>
      </c>
      <c r="CR65" t="s">
        <v>565</v>
      </c>
      <c r="CS65" t="s">
        <v>394</v>
      </c>
      <c r="CT65" s="2">
        <v>46022</v>
      </c>
      <c r="CU65" t="s">
        <v>577</v>
      </c>
      <c r="CV65" t="s">
        <v>406</v>
      </c>
      <c r="CW65" t="s">
        <v>584</v>
      </c>
      <c r="CX65" t="s">
        <v>359</v>
      </c>
      <c r="CY65" t="s">
        <v>585</v>
      </c>
      <c r="DA65" t="s">
        <v>587</v>
      </c>
      <c r="DB65" t="s">
        <v>587</v>
      </c>
      <c r="DC65" t="s">
        <v>587</v>
      </c>
      <c r="DD65" t="s">
        <v>587</v>
      </c>
      <c r="DE65" t="s">
        <v>587</v>
      </c>
      <c r="DF65" t="s">
        <v>587</v>
      </c>
      <c r="DG65" t="s">
        <v>590</v>
      </c>
      <c r="DH65" t="s">
        <v>592</v>
      </c>
      <c r="DI65" t="s">
        <v>594</v>
      </c>
      <c r="DJ65" t="s">
        <v>587</v>
      </c>
      <c r="DK65" t="s">
        <v>587</v>
      </c>
      <c r="DL65" t="s">
        <v>587</v>
      </c>
      <c r="DM65" t="s">
        <v>587</v>
      </c>
      <c r="DN65" t="s">
        <v>595</v>
      </c>
      <c r="DO65" t="s">
        <v>596</v>
      </c>
      <c r="DP65" t="s">
        <v>596</v>
      </c>
      <c r="DQ65" t="s">
        <v>450</v>
      </c>
      <c r="DR65" t="s">
        <v>597</v>
      </c>
      <c r="DS65" t="s">
        <v>598</v>
      </c>
      <c r="DT65" t="s">
        <v>599</v>
      </c>
      <c r="DU65" t="s">
        <v>600</v>
      </c>
      <c r="DV65" s="2">
        <v>45392</v>
      </c>
      <c r="DW65" s="2">
        <v>45394</v>
      </c>
      <c r="DX65" t="s">
        <v>601</v>
      </c>
      <c r="DY65" s="2">
        <v>45397</v>
      </c>
      <c r="DZ65" t="s">
        <v>602</v>
      </c>
      <c r="EA65" t="s">
        <v>415</v>
      </c>
      <c r="EB65" s="2">
        <v>45413</v>
      </c>
    </row>
    <row r="66" spans="1:132">
      <c r="A66" t="s">
        <v>141</v>
      </c>
      <c r="B66" t="s">
        <v>153</v>
      </c>
      <c r="C66" t="s">
        <v>165</v>
      </c>
      <c r="D66" t="s">
        <v>177</v>
      </c>
      <c r="E66" t="s">
        <v>189</v>
      </c>
      <c r="F66" t="s">
        <v>193</v>
      </c>
      <c r="G66">
        <v>000000106</v>
      </c>
      <c r="H66">
        <v>999900208</v>
      </c>
      <c r="I66" t="s">
        <v>198</v>
      </c>
      <c r="J66" t="s">
        <v>205</v>
      </c>
      <c r="K66" t="s">
        <v>270</v>
      </c>
      <c r="L66" s="2">
        <v>46647</v>
      </c>
      <c r="M66" s="2">
        <v>46752</v>
      </c>
      <c r="N66" s="2">
        <v>46481</v>
      </c>
      <c r="P66" t="s">
        <v>295</v>
      </c>
      <c r="Q66" t="s">
        <v>300</v>
      </c>
      <c r="R66" t="s">
        <v>308</v>
      </c>
      <c r="S66">
        <v>219</v>
      </c>
      <c r="T66" t="s">
        <v>310</v>
      </c>
      <c r="U66" s="2">
        <v>24108</v>
      </c>
      <c r="V66" t="s">
        <v>321</v>
      </c>
      <c r="W66" t="s">
        <v>295</v>
      </c>
      <c r="X66" t="s">
        <v>337</v>
      </c>
      <c r="Y66" t="s">
        <v>349</v>
      </c>
      <c r="Z66" t="s">
        <v>353</v>
      </c>
      <c r="AA66" t="s">
        <v>359</v>
      </c>
      <c r="AB66">
        <v>60603</v>
      </c>
      <c r="AC66" t="s">
        <v>359</v>
      </c>
      <c r="AD66" t="s">
        <v>362</v>
      </c>
      <c r="AE66" s="2">
        <v>44825</v>
      </c>
      <c r="AF66" t="s">
        <v>366</v>
      </c>
      <c r="AH66" s="2">
        <v>46022</v>
      </c>
      <c r="AI66" t="s">
        <v>382</v>
      </c>
      <c r="AJ66" t="s">
        <v>394</v>
      </c>
      <c r="AK66" t="s">
        <v>406</v>
      </c>
      <c r="AM66" t="s">
        <v>409</v>
      </c>
      <c r="AN66" s="2">
        <v>46451</v>
      </c>
      <c r="AO66">
        <v>1</v>
      </c>
      <c r="AP66">
        <v>0</v>
      </c>
      <c r="AR66" t="s">
        <v>410</v>
      </c>
      <c r="AS66" s="2">
        <v>45523</v>
      </c>
      <c r="AT66" t="s">
        <v>412</v>
      </c>
      <c r="AU66" t="s">
        <v>413</v>
      </c>
      <c r="AX66" s="2">
        <v>45523</v>
      </c>
      <c r="AY66" t="s">
        <v>414</v>
      </c>
      <c r="AZ66" t="s">
        <v>415</v>
      </c>
      <c r="BB66" t="s">
        <v>416</v>
      </c>
      <c r="BC66" t="s">
        <v>417</v>
      </c>
      <c r="BD66" t="s">
        <v>189</v>
      </c>
      <c r="BF66" s="2">
        <v>45523</v>
      </c>
      <c r="BG66" t="s">
        <v>418</v>
      </c>
      <c r="BH66" t="s">
        <v>419</v>
      </c>
      <c r="BI66" t="s">
        <v>421</v>
      </c>
      <c r="BJ66" s="2">
        <v>45523</v>
      </c>
      <c r="BK66" t="s">
        <v>422</v>
      </c>
      <c r="BL66" s="2">
        <v>45516</v>
      </c>
      <c r="BM66" t="s">
        <v>432</v>
      </c>
      <c r="BN66" t="s">
        <v>435</v>
      </c>
      <c r="BO66" t="s">
        <v>440</v>
      </c>
      <c r="BP66" t="s">
        <v>445</v>
      </c>
      <c r="BQ66">
        <v>4</v>
      </c>
      <c r="BR66">
        <v>5</v>
      </c>
      <c r="BS66">
        <v>4</v>
      </c>
      <c r="BT66">
        <v>4</v>
      </c>
      <c r="BU66">
        <v>5</v>
      </c>
      <c r="BV66">
        <v>5</v>
      </c>
      <c r="BW66">
        <v>4</v>
      </c>
      <c r="BX66">
        <v>5</v>
      </c>
      <c r="BY66">
        <v>4</v>
      </c>
      <c r="BZ66" t="s">
        <v>450</v>
      </c>
      <c r="CB66" t="s">
        <v>456</v>
      </c>
      <c r="CC66" t="s">
        <v>457</v>
      </c>
      <c r="CD66" t="s">
        <v>458</v>
      </c>
      <c r="CE66" s="2">
        <v>46037</v>
      </c>
      <c r="CF66" s="2">
        <v>46218</v>
      </c>
      <c r="CH66" t="s">
        <v>459</v>
      </c>
      <c r="CJ66" t="s">
        <v>469</v>
      </c>
      <c r="CK66" t="s">
        <v>480</v>
      </c>
      <c r="CL66" t="s">
        <v>537</v>
      </c>
      <c r="CM66" t="s">
        <v>359</v>
      </c>
      <c r="CN66" t="s">
        <v>555</v>
      </c>
      <c r="CO66" t="s">
        <v>153</v>
      </c>
      <c r="CP66" s="2">
        <v>46022</v>
      </c>
      <c r="CQ66" s="2">
        <v>46752</v>
      </c>
      <c r="CR66" t="s">
        <v>565</v>
      </c>
      <c r="CS66" t="s">
        <v>394</v>
      </c>
      <c r="CT66" s="2">
        <v>46022</v>
      </c>
      <c r="CU66" t="s">
        <v>577</v>
      </c>
      <c r="CV66" t="s">
        <v>406</v>
      </c>
      <c r="CW66" t="s">
        <v>584</v>
      </c>
      <c r="CX66" t="s">
        <v>359</v>
      </c>
      <c r="CY66" t="s">
        <v>585</v>
      </c>
      <c r="DA66" t="s">
        <v>587</v>
      </c>
      <c r="DB66" t="s">
        <v>587</v>
      </c>
      <c r="DC66" t="s">
        <v>587</v>
      </c>
      <c r="DD66" t="s">
        <v>587</v>
      </c>
      <c r="DE66" t="s">
        <v>587</v>
      </c>
      <c r="DF66" t="s">
        <v>587</v>
      </c>
      <c r="DG66" t="s">
        <v>590</v>
      </c>
      <c r="DH66" t="s">
        <v>592</v>
      </c>
      <c r="DI66" t="s">
        <v>594</v>
      </c>
      <c r="DJ66" t="s">
        <v>587</v>
      </c>
      <c r="DK66" t="s">
        <v>587</v>
      </c>
      <c r="DL66" t="s">
        <v>587</v>
      </c>
      <c r="DM66" t="s">
        <v>587</v>
      </c>
      <c r="DN66" t="s">
        <v>595</v>
      </c>
      <c r="DO66" t="s">
        <v>596</v>
      </c>
      <c r="DP66" t="s">
        <v>596</v>
      </c>
      <c r="DQ66" t="s">
        <v>450</v>
      </c>
      <c r="DR66" t="s">
        <v>597</v>
      </c>
      <c r="DS66" t="s">
        <v>598</v>
      </c>
      <c r="DT66" t="s">
        <v>599</v>
      </c>
      <c r="DU66" t="s">
        <v>600</v>
      </c>
      <c r="DV66" s="2">
        <v>45392</v>
      </c>
      <c r="DW66" s="2">
        <v>45394</v>
      </c>
      <c r="DX66" t="s">
        <v>601</v>
      </c>
      <c r="DY66" s="2">
        <v>45397</v>
      </c>
      <c r="DZ66" t="s">
        <v>602</v>
      </c>
      <c r="EA66" t="s">
        <v>415</v>
      </c>
      <c r="EB66" s="2">
        <v>45413</v>
      </c>
    </row>
    <row r="67" spans="1:132">
      <c r="A67" t="s">
        <v>141</v>
      </c>
      <c r="B67" t="s">
        <v>153</v>
      </c>
      <c r="C67" t="s">
        <v>165</v>
      </c>
      <c r="D67" t="s">
        <v>177</v>
      </c>
      <c r="E67" t="s">
        <v>189</v>
      </c>
      <c r="F67" t="s">
        <v>193</v>
      </c>
      <c r="G67">
        <v>000000106</v>
      </c>
      <c r="H67">
        <v>999900208</v>
      </c>
      <c r="I67" t="s">
        <v>199</v>
      </c>
      <c r="J67" t="s">
        <v>205</v>
      </c>
      <c r="K67" t="s">
        <v>271</v>
      </c>
      <c r="L67" s="2">
        <v>46647</v>
      </c>
      <c r="M67" s="2">
        <v>46752</v>
      </c>
      <c r="N67" s="2">
        <v>46481</v>
      </c>
      <c r="P67" t="s">
        <v>295</v>
      </c>
      <c r="Q67" t="s">
        <v>300</v>
      </c>
      <c r="R67" t="s">
        <v>308</v>
      </c>
      <c r="S67">
        <v>219</v>
      </c>
      <c r="T67" t="s">
        <v>310</v>
      </c>
      <c r="U67" s="2">
        <v>24108</v>
      </c>
      <c r="V67" t="s">
        <v>321</v>
      </c>
      <c r="W67" t="s">
        <v>295</v>
      </c>
      <c r="X67" t="s">
        <v>337</v>
      </c>
      <c r="Y67" t="s">
        <v>349</v>
      </c>
      <c r="Z67" t="s">
        <v>353</v>
      </c>
      <c r="AA67" t="s">
        <v>359</v>
      </c>
      <c r="AB67">
        <v>60603</v>
      </c>
      <c r="AC67" t="s">
        <v>359</v>
      </c>
      <c r="AD67" t="s">
        <v>362</v>
      </c>
      <c r="AE67" s="2">
        <v>44825</v>
      </c>
      <c r="AF67" t="s">
        <v>366</v>
      </c>
      <c r="AH67" s="2">
        <v>46022</v>
      </c>
      <c r="AI67" t="s">
        <v>382</v>
      </c>
      <c r="AJ67" t="s">
        <v>394</v>
      </c>
      <c r="AK67" t="s">
        <v>406</v>
      </c>
      <c r="AM67" t="s">
        <v>409</v>
      </c>
      <c r="AN67" s="2">
        <v>46451</v>
      </c>
      <c r="AO67">
        <v>1</v>
      </c>
      <c r="AP67">
        <v>0</v>
      </c>
      <c r="AR67" t="s">
        <v>410</v>
      </c>
      <c r="AS67" s="2">
        <v>45523</v>
      </c>
      <c r="AT67" t="s">
        <v>412</v>
      </c>
      <c r="AU67" t="s">
        <v>413</v>
      </c>
      <c r="AX67" s="2">
        <v>45523</v>
      </c>
      <c r="AY67" t="s">
        <v>414</v>
      </c>
      <c r="AZ67" t="s">
        <v>415</v>
      </c>
      <c r="BB67" t="s">
        <v>416</v>
      </c>
      <c r="BC67" t="s">
        <v>417</v>
      </c>
      <c r="BD67" t="s">
        <v>189</v>
      </c>
      <c r="BF67" s="2">
        <v>45523</v>
      </c>
      <c r="BG67" t="s">
        <v>418</v>
      </c>
      <c r="BH67" t="s">
        <v>419</v>
      </c>
      <c r="BI67" t="s">
        <v>421</v>
      </c>
      <c r="BJ67" s="2">
        <v>45523</v>
      </c>
      <c r="BK67" t="s">
        <v>422</v>
      </c>
      <c r="BL67" s="2">
        <v>45516</v>
      </c>
      <c r="BM67" t="s">
        <v>432</v>
      </c>
      <c r="BN67" t="s">
        <v>435</v>
      </c>
      <c r="BO67" t="s">
        <v>440</v>
      </c>
      <c r="BP67" t="s">
        <v>445</v>
      </c>
      <c r="BQ67">
        <v>4</v>
      </c>
      <c r="BR67">
        <v>5</v>
      </c>
      <c r="BS67">
        <v>4</v>
      </c>
      <c r="BT67">
        <v>4</v>
      </c>
      <c r="BU67">
        <v>5</v>
      </c>
      <c r="BV67">
        <v>5</v>
      </c>
      <c r="BW67">
        <v>4</v>
      </c>
      <c r="BX67">
        <v>5</v>
      </c>
      <c r="BY67">
        <v>4</v>
      </c>
      <c r="BZ67" t="s">
        <v>450</v>
      </c>
      <c r="CB67" t="s">
        <v>456</v>
      </c>
      <c r="CC67" t="s">
        <v>457</v>
      </c>
      <c r="CD67" t="s">
        <v>458</v>
      </c>
      <c r="CE67" s="2">
        <v>46037</v>
      </c>
      <c r="CF67" s="2">
        <v>46218</v>
      </c>
      <c r="CH67" t="s">
        <v>459</v>
      </c>
      <c r="CJ67" t="s">
        <v>469</v>
      </c>
      <c r="CK67" t="s">
        <v>480</v>
      </c>
      <c r="CL67" t="s">
        <v>538</v>
      </c>
      <c r="CM67" t="s">
        <v>359</v>
      </c>
      <c r="CN67" t="s">
        <v>555</v>
      </c>
      <c r="CO67" t="s">
        <v>153</v>
      </c>
      <c r="CP67" s="2">
        <v>46022</v>
      </c>
      <c r="CQ67" s="2">
        <v>46752</v>
      </c>
      <c r="CR67" t="s">
        <v>565</v>
      </c>
      <c r="CS67" t="s">
        <v>394</v>
      </c>
      <c r="CT67" s="2">
        <v>46022</v>
      </c>
      <c r="CU67" t="s">
        <v>577</v>
      </c>
      <c r="CV67" t="s">
        <v>406</v>
      </c>
      <c r="CW67" t="s">
        <v>584</v>
      </c>
      <c r="CX67" t="s">
        <v>359</v>
      </c>
      <c r="CY67" t="s">
        <v>585</v>
      </c>
      <c r="DA67" t="s">
        <v>587</v>
      </c>
      <c r="DB67" t="s">
        <v>587</v>
      </c>
      <c r="DC67" t="s">
        <v>587</v>
      </c>
      <c r="DD67" t="s">
        <v>587</v>
      </c>
      <c r="DE67" t="s">
        <v>587</v>
      </c>
      <c r="DF67" t="s">
        <v>587</v>
      </c>
      <c r="DG67" t="s">
        <v>590</v>
      </c>
      <c r="DH67" t="s">
        <v>592</v>
      </c>
      <c r="DI67" t="s">
        <v>594</v>
      </c>
      <c r="DJ67" t="s">
        <v>587</v>
      </c>
      <c r="DK67" t="s">
        <v>587</v>
      </c>
      <c r="DL67" t="s">
        <v>587</v>
      </c>
      <c r="DM67" t="s">
        <v>587</v>
      </c>
      <c r="DN67" t="s">
        <v>595</v>
      </c>
      <c r="DO67" t="s">
        <v>596</v>
      </c>
      <c r="DP67" t="s">
        <v>596</v>
      </c>
      <c r="DQ67" t="s">
        <v>450</v>
      </c>
      <c r="DR67" t="s">
        <v>597</v>
      </c>
      <c r="DS67" t="s">
        <v>598</v>
      </c>
      <c r="DT67" t="s">
        <v>599</v>
      </c>
      <c r="DU67" t="s">
        <v>600</v>
      </c>
      <c r="DV67" s="2">
        <v>45392</v>
      </c>
      <c r="DW67" s="2">
        <v>45394</v>
      </c>
      <c r="DX67" t="s">
        <v>601</v>
      </c>
      <c r="DY67" s="2">
        <v>45397</v>
      </c>
      <c r="DZ67" t="s">
        <v>602</v>
      </c>
      <c r="EA67" t="s">
        <v>415</v>
      </c>
      <c r="EB67" s="2">
        <v>45413</v>
      </c>
    </row>
    <row r="68" spans="1:132">
      <c r="A68" t="s">
        <v>141</v>
      </c>
      <c r="B68" t="s">
        <v>153</v>
      </c>
      <c r="C68" t="s">
        <v>165</v>
      </c>
      <c r="D68" t="s">
        <v>177</v>
      </c>
      <c r="E68" t="s">
        <v>189</v>
      </c>
      <c r="F68" t="s">
        <v>193</v>
      </c>
      <c r="G68">
        <v>000000106</v>
      </c>
      <c r="H68">
        <v>999900208</v>
      </c>
      <c r="I68" t="s">
        <v>200</v>
      </c>
      <c r="J68" t="s">
        <v>205</v>
      </c>
      <c r="K68" t="s">
        <v>272</v>
      </c>
      <c r="L68" s="2">
        <v>46647</v>
      </c>
      <c r="M68" s="2">
        <v>46752</v>
      </c>
      <c r="N68" s="2">
        <v>46481</v>
      </c>
      <c r="P68" t="s">
        <v>295</v>
      </c>
      <c r="Q68" t="s">
        <v>300</v>
      </c>
      <c r="R68" t="s">
        <v>308</v>
      </c>
      <c r="S68">
        <v>219</v>
      </c>
      <c r="T68" t="s">
        <v>310</v>
      </c>
      <c r="U68" s="2">
        <v>24108</v>
      </c>
      <c r="V68" t="s">
        <v>321</v>
      </c>
      <c r="W68" t="s">
        <v>295</v>
      </c>
      <c r="X68" t="s">
        <v>337</v>
      </c>
      <c r="Y68" t="s">
        <v>349</v>
      </c>
      <c r="Z68" t="s">
        <v>353</v>
      </c>
      <c r="AA68" t="s">
        <v>359</v>
      </c>
      <c r="AB68">
        <v>60603</v>
      </c>
      <c r="AC68" t="s">
        <v>359</v>
      </c>
      <c r="AD68" t="s">
        <v>362</v>
      </c>
      <c r="AE68" s="2">
        <v>44825</v>
      </c>
      <c r="AF68" t="s">
        <v>366</v>
      </c>
      <c r="AH68" s="2">
        <v>46022</v>
      </c>
      <c r="AI68" t="s">
        <v>382</v>
      </c>
      <c r="AJ68" t="s">
        <v>394</v>
      </c>
      <c r="AK68" t="s">
        <v>406</v>
      </c>
      <c r="AM68" t="s">
        <v>409</v>
      </c>
      <c r="AN68" s="2">
        <v>46451</v>
      </c>
      <c r="AO68">
        <v>1</v>
      </c>
      <c r="AP68">
        <v>0</v>
      </c>
      <c r="AR68" t="s">
        <v>410</v>
      </c>
      <c r="AS68" s="2">
        <v>45523</v>
      </c>
      <c r="AT68" t="s">
        <v>412</v>
      </c>
      <c r="AU68" t="s">
        <v>413</v>
      </c>
      <c r="AX68" s="2">
        <v>45523</v>
      </c>
      <c r="AY68" t="s">
        <v>414</v>
      </c>
      <c r="AZ68" t="s">
        <v>415</v>
      </c>
      <c r="BB68" t="s">
        <v>416</v>
      </c>
      <c r="BC68" t="s">
        <v>417</v>
      </c>
      <c r="BD68" t="s">
        <v>189</v>
      </c>
      <c r="BF68" s="2">
        <v>45523</v>
      </c>
      <c r="BG68" t="s">
        <v>418</v>
      </c>
      <c r="BH68" t="s">
        <v>419</v>
      </c>
      <c r="BI68" t="s">
        <v>421</v>
      </c>
      <c r="BJ68" s="2">
        <v>45523</v>
      </c>
      <c r="BK68" t="s">
        <v>422</v>
      </c>
      <c r="BL68" s="2">
        <v>45516</v>
      </c>
      <c r="BM68" t="s">
        <v>432</v>
      </c>
      <c r="BN68" t="s">
        <v>435</v>
      </c>
      <c r="BO68" t="s">
        <v>440</v>
      </c>
      <c r="BP68" t="s">
        <v>445</v>
      </c>
      <c r="BQ68">
        <v>4</v>
      </c>
      <c r="BR68">
        <v>5</v>
      </c>
      <c r="BS68">
        <v>4</v>
      </c>
      <c r="BT68">
        <v>4</v>
      </c>
      <c r="BU68">
        <v>5</v>
      </c>
      <c r="BV68">
        <v>5</v>
      </c>
      <c r="BW68">
        <v>4</v>
      </c>
      <c r="BX68">
        <v>5</v>
      </c>
      <c r="BY68">
        <v>4</v>
      </c>
      <c r="BZ68" t="s">
        <v>450</v>
      </c>
      <c r="CB68" t="s">
        <v>456</v>
      </c>
      <c r="CC68" t="s">
        <v>457</v>
      </c>
      <c r="CD68" t="s">
        <v>458</v>
      </c>
      <c r="CE68" s="2">
        <v>46037</v>
      </c>
      <c r="CF68" s="2">
        <v>46218</v>
      </c>
      <c r="CH68" t="s">
        <v>459</v>
      </c>
      <c r="CJ68" t="s">
        <v>469</v>
      </c>
      <c r="CK68" t="s">
        <v>480</v>
      </c>
      <c r="CL68" t="s">
        <v>539</v>
      </c>
      <c r="CM68" t="s">
        <v>359</v>
      </c>
      <c r="CN68" t="s">
        <v>555</v>
      </c>
      <c r="CO68" t="s">
        <v>153</v>
      </c>
      <c r="CP68" s="2">
        <v>46022</v>
      </c>
      <c r="CQ68" s="2">
        <v>46752</v>
      </c>
      <c r="CR68" t="s">
        <v>565</v>
      </c>
      <c r="CS68" t="s">
        <v>394</v>
      </c>
      <c r="CT68" s="2">
        <v>46022</v>
      </c>
      <c r="CU68" t="s">
        <v>577</v>
      </c>
      <c r="CV68" t="s">
        <v>406</v>
      </c>
      <c r="CW68" t="s">
        <v>584</v>
      </c>
      <c r="CX68" t="s">
        <v>359</v>
      </c>
      <c r="CY68" t="s">
        <v>585</v>
      </c>
      <c r="DA68" t="s">
        <v>587</v>
      </c>
      <c r="DB68" t="s">
        <v>587</v>
      </c>
      <c r="DC68" t="s">
        <v>587</v>
      </c>
      <c r="DD68" t="s">
        <v>587</v>
      </c>
      <c r="DE68" t="s">
        <v>587</v>
      </c>
      <c r="DF68" t="s">
        <v>587</v>
      </c>
      <c r="DG68" t="s">
        <v>590</v>
      </c>
      <c r="DH68" t="s">
        <v>592</v>
      </c>
      <c r="DI68" t="s">
        <v>594</v>
      </c>
      <c r="DJ68" t="s">
        <v>587</v>
      </c>
      <c r="DK68" t="s">
        <v>587</v>
      </c>
      <c r="DL68" t="s">
        <v>587</v>
      </c>
      <c r="DM68" t="s">
        <v>587</v>
      </c>
      <c r="DN68" t="s">
        <v>595</v>
      </c>
      <c r="DO68" t="s">
        <v>596</v>
      </c>
      <c r="DP68" t="s">
        <v>596</v>
      </c>
      <c r="DQ68" t="s">
        <v>450</v>
      </c>
      <c r="DR68" t="s">
        <v>597</v>
      </c>
      <c r="DS68" t="s">
        <v>598</v>
      </c>
      <c r="DT68" t="s">
        <v>599</v>
      </c>
      <c r="DU68" t="s">
        <v>600</v>
      </c>
      <c r="DV68" s="2">
        <v>45392</v>
      </c>
      <c r="DW68" s="2">
        <v>45394</v>
      </c>
      <c r="DX68" t="s">
        <v>601</v>
      </c>
      <c r="DY68" s="2">
        <v>45397</v>
      </c>
      <c r="DZ68" t="s">
        <v>602</v>
      </c>
      <c r="EA68" t="s">
        <v>415</v>
      </c>
      <c r="EB68" s="2">
        <v>45413</v>
      </c>
    </row>
    <row r="69" spans="1:132">
      <c r="A69" t="s">
        <v>141</v>
      </c>
      <c r="B69" t="s">
        <v>153</v>
      </c>
      <c r="C69" t="s">
        <v>165</v>
      </c>
      <c r="D69" t="s">
        <v>177</v>
      </c>
      <c r="E69" t="s">
        <v>189</v>
      </c>
      <c r="F69" t="s">
        <v>193</v>
      </c>
      <c r="G69">
        <v>000000106</v>
      </c>
      <c r="H69">
        <v>999900208</v>
      </c>
      <c r="I69" t="s">
        <v>201</v>
      </c>
      <c r="J69" t="s">
        <v>205</v>
      </c>
      <c r="K69" t="s">
        <v>273</v>
      </c>
      <c r="L69" s="2">
        <v>46647</v>
      </c>
      <c r="M69" s="2">
        <v>46752</v>
      </c>
      <c r="N69" s="2">
        <v>46481</v>
      </c>
      <c r="P69" t="s">
        <v>295</v>
      </c>
      <c r="Q69" t="s">
        <v>300</v>
      </c>
      <c r="R69" t="s">
        <v>308</v>
      </c>
      <c r="S69">
        <v>219</v>
      </c>
      <c r="T69" t="s">
        <v>310</v>
      </c>
      <c r="U69" s="2">
        <v>24108</v>
      </c>
      <c r="V69" t="s">
        <v>321</v>
      </c>
      <c r="W69" t="s">
        <v>295</v>
      </c>
      <c r="X69" t="s">
        <v>337</v>
      </c>
      <c r="Y69" t="s">
        <v>349</v>
      </c>
      <c r="Z69" t="s">
        <v>353</v>
      </c>
      <c r="AA69" t="s">
        <v>359</v>
      </c>
      <c r="AB69">
        <v>60603</v>
      </c>
      <c r="AC69" t="s">
        <v>359</v>
      </c>
      <c r="AD69" t="s">
        <v>362</v>
      </c>
      <c r="AE69" s="2">
        <v>44825</v>
      </c>
      <c r="AF69" t="s">
        <v>366</v>
      </c>
      <c r="AH69" s="2">
        <v>46022</v>
      </c>
      <c r="AI69" t="s">
        <v>382</v>
      </c>
      <c r="AJ69" t="s">
        <v>394</v>
      </c>
      <c r="AK69" t="s">
        <v>406</v>
      </c>
      <c r="AM69" t="s">
        <v>409</v>
      </c>
      <c r="AN69" s="2">
        <v>46451</v>
      </c>
      <c r="AO69">
        <v>1</v>
      </c>
      <c r="AP69">
        <v>0</v>
      </c>
      <c r="AR69" t="s">
        <v>410</v>
      </c>
      <c r="AS69" s="2">
        <v>45523</v>
      </c>
      <c r="AT69" t="s">
        <v>412</v>
      </c>
      <c r="AU69" t="s">
        <v>413</v>
      </c>
      <c r="AX69" s="2">
        <v>45523</v>
      </c>
      <c r="AY69" t="s">
        <v>414</v>
      </c>
      <c r="AZ69" t="s">
        <v>415</v>
      </c>
      <c r="BB69" t="s">
        <v>416</v>
      </c>
      <c r="BC69" t="s">
        <v>417</v>
      </c>
      <c r="BD69" t="s">
        <v>189</v>
      </c>
      <c r="BF69" s="2">
        <v>45523</v>
      </c>
      <c r="BG69" t="s">
        <v>418</v>
      </c>
      <c r="BH69" t="s">
        <v>419</v>
      </c>
      <c r="BI69" t="s">
        <v>421</v>
      </c>
      <c r="BJ69" s="2">
        <v>45523</v>
      </c>
      <c r="BK69" t="s">
        <v>422</v>
      </c>
      <c r="BL69" s="2">
        <v>45516</v>
      </c>
      <c r="BM69" t="s">
        <v>432</v>
      </c>
      <c r="BN69" t="s">
        <v>435</v>
      </c>
      <c r="BO69" t="s">
        <v>440</v>
      </c>
      <c r="BP69" t="s">
        <v>445</v>
      </c>
      <c r="BQ69">
        <v>4</v>
      </c>
      <c r="BR69">
        <v>5</v>
      </c>
      <c r="BS69">
        <v>4</v>
      </c>
      <c r="BT69">
        <v>4</v>
      </c>
      <c r="BU69">
        <v>5</v>
      </c>
      <c r="BV69">
        <v>5</v>
      </c>
      <c r="BW69">
        <v>4</v>
      </c>
      <c r="BX69">
        <v>5</v>
      </c>
      <c r="BY69">
        <v>4</v>
      </c>
      <c r="BZ69" t="s">
        <v>450</v>
      </c>
      <c r="CB69" t="s">
        <v>456</v>
      </c>
      <c r="CC69" t="s">
        <v>457</v>
      </c>
      <c r="CD69" t="s">
        <v>458</v>
      </c>
      <c r="CE69" s="2">
        <v>46037</v>
      </c>
      <c r="CF69" s="2">
        <v>46218</v>
      </c>
      <c r="CH69" t="s">
        <v>459</v>
      </c>
      <c r="CJ69" t="s">
        <v>469</v>
      </c>
      <c r="CK69" t="s">
        <v>480</v>
      </c>
      <c r="CL69" t="s">
        <v>540</v>
      </c>
      <c r="CM69" t="s">
        <v>359</v>
      </c>
      <c r="CN69" t="s">
        <v>555</v>
      </c>
      <c r="CO69" t="s">
        <v>153</v>
      </c>
      <c r="CP69" s="2">
        <v>46022</v>
      </c>
      <c r="CQ69" s="2">
        <v>46752</v>
      </c>
      <c r="CR69" t="s">
        <v>565</v>
      </c>
      <c r="CS69" t="s">
        <v>394</v>
      </c>
      <c r="CT69" s="2">
        <v>46022</v>
      </c>
      <c r="CU69" t="s">
        <v>577</v>
      </c>
      <c r="CV69" t="s">
        <v>406</v>
      </c>
      <c r="CW69" t="s">
        <v>584</v>
      </c>
      <c r="CX69" t="s">
        <v>359</v>
      </c>
      <c r="CY69" t="s">
        <v>585</v>
      </c>
      <c r="DA69" t="s">
        <v>587</v>
      </c>
      <c r="DB69" t="s">
        <v>587</v>
      </c>
      <c r="DC69" t="s">
        <v>587</v>
      </c>
      <c r="DD69" t="s">
        <v>587</v>
      </c>
      <c r="DE69" t="s">
        <v>587</v>
      </c>
      <c r="DF69" t="s">
        <v>587</v>
      </c>
      <c r="DG69" t="s">
        <v>590</v>
      </c>
      <c r="DH69" t="s">
        <v>592</v>
      </c>
      <c r="DI69" t="s">
        <v>594</v>
      </c>
      <c r="DJ69" t="s">
        <v>587</v>
      </c>
      <c r="DK69" t="s">
        <v>587</v>
      </c>
      <c r="DL69" t="s">
        <v>587</v>
      </c>
      <c r="DM69" t="s">
        <v>587</v>
      </c>
      <c r="DN69" t="s">
        <v>595</v>
      </c>
      <c r="DO69" t="s">
        <v>596</v>
      </c>
      <c r="DP69" t="s">
        <v>596</v>
      </c>
      <c r="DQ69" t="s">
        <v>450</v>
      </c>
      <c r="DR69" t="s">
        <v>597</v>
      </c>
      <c r="DS69" t="s">
        <v>598</v>
      </c>
      <c r="DT69" t="s">
        <v>599</v>
      </c>
      <c r="DU69" t="s">
        <v>600</v>
      </c>
      <c r="DV69" s="2">
        <v>45392</v>
      </c>
      <c r="DW69" s="2">
        <v>45394</v>
      </c>
      <c r="DX69" t="s">
        <v>601</v>
      </c>
      <c r="DY69" s="2">
        <v>45397</v>
      </c>
      <c r="DZ69" t="s">
        <v>602</v>
      </c>
      <c r="EA69" t="s">
        <v>415</v>
      </c>
      <c r="EB69" s="2">
        <v>45413</v>
      </c>
    </row>
    <row r="70" spans="1:132">
      <c r="A70" t="s">
        <v>141</v>
      </c>
      <c r="B70" t="s">
        <v>153</v>
      </c>
      <c r="C70" t="s">
        <v>165</v>
      </c>
      <c r="D70" t="s">
        <v>177</v>
      </c>
      <c r="E70" t="s">
        <v>189</v>
      </c>
      <c r="F70" t="s">
        <v>193</v>
      </c>
      <c r="G70">
        <v>000000106</v>
      </c>
      <c r="H70">
        <v>999900208</v>
      </c>
      <c r="I70" t="s">
        <v>202</v>
      </c>
      <c r="J70" t="s">
        <v>205</v>
      </c>
      <c r="K70" t="s">
        <v>274</v>
      </c>
      <c r="L70" s="2">
        <v>46647</v>
      </c>
      <c r="M70" s="2">
        <v>46752</v>
      </c>
      <c r="N70" s="2">
        <v>46481</v>
      </c>
      <c r="O70" t="s">
        <v>291</v>
      </c>
      <c r="P70" t="s">
        <v>295</v>
      </c>
      <c r="Q70" t="s">
        <v>300</v>
      </c>
      <c r="R70" t="s">
        <v>308</v>
      </c>
      <c r="S70">
        <v>219</v>
      </c>
      <c r="T70" t="s">
        <v>310</v>
      </c>
      <c r="U70" s="2">
        <v>24108</v>
      </c>
      <c r="V70" t="s">
        <v>321</v>
      </c>
      <c r="W70" t="s">
        <v>295</v>
      </c>
      <c r="X70" t="s">
        <v>337</v>
      </c>
      <c r="Y70" t="s">
        <v>349</v>
      </c>
      <c r="Z70" t="s">
        <v>353</v>
      </c>
      <c r="AA70" t="s">
        <v>359</v>
      </c>
      <c r="AB70">
        <v>60603</v>
      </c>
      <c r="AC70" t="s">
        <v>359</v>
      </c>
      <c r="AD70" t="s">
        <v>362</v>
      </c>
      <c r="AE70" s="2">
        <v>44825</v>
      </c>
      <c r="AF70" t="s">
        <v>366</v>
      </c>
      <c r="AH70" s="2">
        <v>46022</v>
      </c>
      <c r="AI70" t="s">
        <v>382</v>
      </c>
      <c r="AJ70" t="s">
        <v>394</v>
      </c>
      <c r="AK70" t="s">
        <v>406</v>
      </c>
      <c r="AM70" t="s">
        <v>409</v>
      </c>
      <c r="AN70" s="2">
        <v>46451</v>
      </c>
      <c r="AO70">
        <v>1</v>
      </c>
      <c r="AP70">
        <v>0</v>
      </c>
      <c r="AR70" t="s">
        <v>410</v>
      </c>
      <c r="AS70" s="2">
        <v>45523</v>
      </c>
      <c r="AT70" t="s">
        <v>412</v>
      </c>
      <c r="AU70" t="s">
        <v>413</v>
      </c>
      <c r="AX70" s="2">
        <v>45523</v>
      </c>
      <c r="AY70" t="s">
        <v>414</v>
      </c>
      <c r="AZ70" t="s">
        <v>415</v>
      </c>
      <c r="BB70" t="s">
        <v>416</v>
      </c>
      <c r="BC70" t="s">
        <v>417</v>
      </c>
      <c r="BD70" t="s">
        <v>189</v>
      </c>
      <c r="BF70" s="2">
        <v>45523</v>
      </c>
      <c r="BG70" t="s">
        <v>418</v>
      </c>
      <c r="BH70" t="s">
        <v>419</v>
      </c>
      <c r="BI70" t="s">
        <v>421</v>
      </c>
      <c r="BJ70" s="2">
        <v>45523</v>
      </c>
      <c r="BK70" t="s">
        <v>422</v>
      </c>
      <c r="BL70" s="2">
        <v>45516</v>
      </c>
      <c r="BM70" t="s">
        <v>432</v>
      </c>
      <c r="BN70" t="s">
        <v>435</v>
      </c>
      <c r="BO70" t="s">
        <v>440</v>
      </c>
      <c r="BP70" t="s">
        <v>445</v>
      </c>
      <c r="BQ70">
        <v>4</v>
      </c>
      <c r="BR70">
        <v>5</v>
      </c>
      <c r="BS70">
        <v>4</v>
      </c>
      <c r="BT70">
        <v>4</v>
      </c>
      <c r="BU70">
        <v>5</v>
      </c>
      <c r="BV70">
        <v>5</v>
      </c>
      <c r="BW70">
        <v>4</v>
      </c>
      <c r="BX70">
        <v>5</v>
      </c>
      <c r="BY70">
        <v>4</v>
      </c>
      <c r="BZ70" t="s">
        <v>450</v>
      </c>
      <c r="CB70" t="s">
        <v>456</v>
      </c>
      <c r="CC70" t="s">
        <v>457</v>
      </c>
      <c r="CD70" t="s">
        <v>458</v>
      </c>
      <c r="CE70" s="2">
        <v>46037</v>
      </c>
      <c r="CF70" s="2">
        <v>46218</v>
      </c>
      <c r="CH70" t="s">
        <v>459</v>
      </c>
      <c r="CJ70" t="s">
        <v>469</v>
      </c>
      <c r="CK70" t="s">
        <v>480</v>
      </c>
      <c r="CL70" t="s">
        <v>541</v>
      </c>
      <c r="CM70" t="s">
        <v>359</v>
      </c>
      <c r="CN70" t="s">
        <v>555</v>
      </c>
      <c r="CO70" t="s">
        <v>153</v>
      </c>
      <c r="CP70" s="2">
        <v>46022</v>
      </c>
      <c r="CQ70" s="2">
        <v>46752</v>
      </c>
      <c r="CR70" t="s">
        <v>565</v>
      </c>
      <c r="CS70" t="s">
        <v>394</v>
      </c>
      <c r="CT70" s="2">
        <v>46022</v>
      </c>
      <c r="CU70" t="s">
        <v>577</v>
      </c>
      <c r="CV70" t="s">
        <v>406</v>
      </c>
      <c r="CW70" t="s">
        <v>584</v>
      </c>
      <c r="CX70" t="s">
        <v>359</v>
      </c>
      <c r="CY70" t="s">
        <v>585</v>
      </c>
      <c r="DA70" t="s">
        <v>587</v>
      </c>
      <c r="DB70" t="s">
        <v>587</v>
      </c>
      <c r="DC70" t="s">
        <v>587</v>
      </c>
      <c r="DD70" t="s">
        <v>587</v>
      </c>
      <c r="DE70" t="s">
        <v>587</v>
      </c>
      <c r="DF70" t="s">
        <v>587</v>
      </c>
      <c r="DG70" t="s">
        <v>590</v>
      </c>
      <c r="DH70" t="s">
        <v>592</v>
      </c>
      <c r="DI70" t="s">
        <v>594</v>
      </c>
      <c r="DJ70" t="s">
        <v>587</v>
      </c>
      <c r="DK70" t="s">
        <v>587</v>
      </c>
      <c r="DL70" t="s">
        <v>587</v>
      </c>
      <c r="DM70" t="s">
        <v>587</v>
      </c>
      <c r="DN70" t="s">
        <v>595</v>
      </c>
      <c r="DO70" t="s">
        <v>596</v>
      </c>
      <c r="DP70" t="s">
        <v>596</v>
      </c>
      <c r="DQ70" t="s">
        <v>450</v>
      </c>
      <c r="DR70" t="s">
        <v>597</v>
      </c>
      <c r="DS70" t="s">
        <v>598</v>
      </c>
      <c r="DT70" t="s">
        <v>599</v>
      </c>
      <c r="DU70" t="s">
        <v>600</v>
      </c>
      <c r="DV70" s="2">
        <v>45392</v>
      </c>
      <c r="DW70" s="2">
        <v>45394</v>
      </c>
      <c r="DX70" t="s">
        <v>601</v>
      </c>
      <c r="DY70" s="2">
        <v>45397</v>
      </c>
      <c r="DZ70" t="s">
        <v>602</v>
      </c>
      <c r="EA70" t="s">
        <v>415</v>
      </c>
      <c r="EB70" s="2">
        <v>45413</v>
      </c>
    </row>
    <row r="71" spans="1:132">
      <c r="A71" t="s">
        <v>141</v>
      </c>
      <c r="B71" t="s">
        <v>153</v>
      </c>
      <c r="C71" t="s">
        <v>165</v>
      </c>
      <c r="D71" t="s">
        <v>177</v>
      </c>
      <c r="E71" t="s">
        <v>189</v>
      </c>
      <c r="F71" t="s">
        <v>193</v>
      </c>
      <c r="G71">
        <v>000000106</v>
      </c>
      <c r="H71">
        <v>999900208</v>
      </c>
      <c r="I71" t="s">
        <v>203</v>
      </c>
      <c r="J71" t="s">
        <v>205</v>
      </c>
      <c r="K71" t="s">
        <v>275</v>
      </c>
      <c r="L71" s="2">
        <v>46647</v>
      </c>
      <c r="M71" s="2">
        <v>46752</v>
      </c>
      <c r="N71" s="2">
        <v>46481</v>
      </c>
      <c r="P71" t="s">
        <v>295</v>
      </c>
      <c r="Q71" t="s">
        <v>300</v>
      </c>
      <c r="R71" t="s">
        <v>308</v>
      </c>
      <c r="S71">
        <v>219</v>
      </c>
      <c r="T71" t="s">
        <v>310</v>
      </c>
      <c r="U71" s="2">
        <v>24108</v>
      </c>
      <c r="V71" t="s">
        <v>321</v>
      </c>
      <c r="W71" t="s">
        <v>295</v>
      </c>
      <c r="X71" t="s">
        <v>337</v>
      </c>
      <c r="Y71" t="s">
        <v>349</v>
      </c>
      <c r="Z71" t="s">
        <v>353</v>
      </c>
      <c r="AA71" t="s">
        <v>359</v>
      </c>
      <c r="AB71">
        <v>60603</v>
      </c>
      <c r="AC71" t="s">
        <v>359</v>
      </c>
      <c r="AD71" t="s">
        <v>362</v>
      </c>
      <c r="AE71" s="2">
        <v>44825</v>
      </c>
      <c r="AF71" t="s">
        <v>366</v>
      </c>
      <c r="AH71" s="2">
        <v>46022</v>
      </c>
      <c r="AI71" t="s">
        <v>382</v>
      </c>
      <c r="AJ71" t="s">
        <v>394</v>
      </c>
      <c r="AK71" t="s">
        <v>406</v>
      </c>
      <c r="AM71" t="s">
        <v>409</v>
      </c>
      <c r="AN71" s="2">
        <v>46451</v>
      </c>
      <c r="AO71">
        <v>1</v>
      </c>
      <c r="AP71">
        <v>0</v>
      </c>
      <c r="AR71" t="s">
        <v>410</v>
      </c>
      <c r="AS71" s="2">
        <v>45523</v>
      </c>
      <c r="AT71" t="s">
        <v>412</v>
      </c>
      <c r="AU71" t="s">
        <v>413</v>
      </c>
      <c r="AX71" s="2">
        <v>45523</v>
      </c>
      <c r="AY71" t="s">
        <v>414</v>
      </c>
      <c r="AZ71" t="s">
        <v>415</v>
      </c>
      <c r="BB71" t="s">
        <v>416</v>
      </c>
      <c r="BC71" t="s">
        <v>417</v>
      </c>
      <c r="BD71" t="s">
        <v>189</v>
      </c>
      <c r="BF71" s="2">
        <v>45523</v>
      </c>
      <c r="BG71" t="s">
        <v>418</v>
      </c>
      <c r="BH71" t="s">
        <v>419</v>
      </c>
      <c r="BI71" t="s">
        <v>421</v>
      </c>
      <c r="BJ71" s="2">
        <v>45523</v>
      </c>
      <c r="BK71" t="s">
        <v>422</v>
      </c>
      <c r="BL71" s="2">
        <v>45516</v>
      </c>
      <c r="BM71" t="s">
        <v>432</v>
      </c>
      <c r="BN71" t="s">
        <v>435</v>
      </c>
      <c r="BO71" t="s">
        <v>440</v>
      </c>
      <c r="BP71" t="s">
        <v>445</v>
      </c>
      <c r="BQ71">
        <v>4</v>
      </c>
      <c r="BR71">
        <v>5</v>
      </c>
      <c r="BS71">
        <v>4</v>
      </c>
      <c r="BT71">
        <v>4</v>
      </c>
      <c r="BU71">
        <v>5</v>
      </c>
      <c r="BV71">
        <v>5</v>
      </c>
      <c r="BW71">
        <v>4</v>
      </c>
      <c r="BX71">
        <v>5</v>
      </c>
      <c r="BY71">
        <v>4</v>
      </c>
      <c r="BZ71" t="s">
        <v>450</v>
      </c>
      <c r="CB71" t="s">
        <v>456</v>
      </c>
      <c r="CC71" t="s">
        <v>457</v>
      </c>
      <c r="CD71" t="s">
        <v>458</v>
      </c>
      <c r="CE71" s="2">
        <v>46037</v>
      </c>
      <c r="CF71" s="2">
        <v>46218</v>
      </c>
      <c r="CH71" t="s">
        <v>459</v>
      </c>
      <c r="CJ71" t="s">
        <v>469</v>
      </c>
      <c r="CK71" t="s">
        <v>480</v>
      </c>
      <c r="CL71" t="s">
        <v>542</v>
      </c>
      <c r="CM71" t="s">
        <v>359</v>
      </c>
      <c r="CN71" t="s">
        <v>555</v>
      </c>
      <c r="CO71" t="s">
        <v>153</v>
      </c>
      <c r="CP71" s="2">
        <v>46022</v>
      </c>
      <c r="CQ71" s="2">
        <v>46752</v>
      </c>
      <c r="CR71" t="s">
        <v>565</v>
      </c>
      <c r="CS71" t="s">
        <v>394</v>
      </c>
      <c r="CT71" s="2">
        <v>46022</v>
      </c>
      <c r="CU71" t="s">
        <v>577</v>
      </c>
      <c r="CV71" t="s">
        <v>406</v>
      </c>
      <c r="CW71" t="s">
        <v>584</v>
      </c>
      <c r="CX71" t="s">
        <v>359</v>
      </c>
      <c r="CY71" t="s">
        <v>585</v>
      </c>
      <c r="DA71" t="s">
        <v>587</v>
      </c>
      <c r="DB71" t="s">
        <v>587</v>
      </c>
      <c r="DC71" t="s">
        <v>587</v>
      </c>
      <c r="DD71" t="s">
        <v>587</v>
      </c>
      <c r="DE71" t="s">
        <v>587</v>
      </c>
      <c r="DF71" t="s">
        <v>587</v>
      </c>
      <c r="DG71" t="s">
        <v>590</v>
      </c>
      <c r="DH71" t="s">
        <v>592</v>
      </c>
      <c r="DI71" t="s">
        <v>594</v>
      </c>
      <c r="DJ71" t="s">
        <v>587</v>
      </c>
      <c r="DK71" t="s">
        <v>587</v>
      </c>
      <c r="DL71" t="s">
        <v>587</v>
      </c>
      <c r="DM71" t="s">
        <v>587</v>
      </c>
      <c r="DN71" t="s">
        <v>595</v>
      </c>
      <c r="DO71" t="s">
        <v>596</v>
      </c>
      <c r="DP71" t="s">
        <v>596</v>
      </c>
      <c r="DQ71" t="s">
        <v>450</v>
      </c>
      <c r="DR71" t="s">
        <v>597</v>
      </c>
      <c r="DS71" t="s">
        <v>598</v>
      </c>
      <c r="DT71" t="s">
        <v>599</v>
      </c>
      <c r="DU71" t="s">
        <v>600</v>
      </c>
      <c r="DV71" s="2">
        <v>45392</v>
      </c>
      <c r="DW71" s="2">
        <v>45394</v>
      </c>
      <c r="DX71" t="s">
        <v>601</v>
      </c>
      <c r="DY71" s="2">
        <v>45397</v>
      </c>
      <c r="DZ71" t="s">
        <v>602</v>
      </c>
      <c r="EA71" t="s">
        <v>415</v>
      </c>
      <c r="EB71" s="2">
        <v>45413</v>
      </c>
    </row>
    <row r="72" spans="1:132">
      <c r="A72" t="s">
        <v>142</v>
      </c>
      <c r="B72" t="s">
        <v>154</v>
      </c>
      <c r="C72" t="s">
        <v>166</v>
      </c>
      <c r="D72" t="s">
        <v>178</v>
      </c>
      <c r="E72" t="s">
        <v>190</v>
      </c>
      <c r="F72" t="s">
        <v>194</v>
      </c>
      <c r="G72">
        <v>000000102</v>
      </c>
      <c r="H72">
        <v>999900209</v>
      </c>
      <c r="I72" t="s">
        <v>197</v>
      </c>
      <c r="J72" t="s">
        <v>205</v>
      </c>
      <c r="K72" t="s">
        <v>276</v>
      </c>
      <c r="L72" s="2">
        <v>46566</v>
      </c>
      <c r="M72" s="2">
        <v>46499</v>
      </c>
      <c r="N72" s="2">
        <v>46484</v>
      </c>
      <c r="P72" t="s">
        <v>296</v>
      </c>
      <c r="Q72" t="s">
        <v>300</v>
      </c>
      <c r="R72" t="s">
        <v>309</v>
      </c>
      <c r="S72">
        <v>148</v>
      </c>
      <c r="T72" t="s">
        <v>311</v>
      </c>
      <c r="U72" s="2">
        <v>24838</v>
      </c>
      <c r="V72" t="s">
        <v>322</v>
      </c>
      <c r="W72" t="s">
        <v>327</v>
      </c>
      <c r="X72" t="s">
        <v>338</v>
      </c>
      <c r="Y72" t="s">
        <v>350</v>
      </c>
      <c r="Z72" t="s">
        <v>354</v>
      </c>
      <c r="AA72" t="s">
        <v>360</v>
      </c>
      <c r="AB72">
        <v>30308</v>
      </c>
      <c r="AC72" t="s">
        <v>360</v>
      </c>
      <c r="AD72" t="s">
        <v>362</v>
      </c>
      <c r="AE72" s="2">
        <v>44744</v>
      </c>
      <c r="AF72" t="s">
        <v>364</v>
      </c>
      <c r="AH72" s="2">
        <v>45769</v>
      </c>
      <c r="AI72" t="s">
        <v>383</v>
      </c>
      <c r="AJ72" t="s">
        <v>395</v>
      </c>
      <c r="AK72" t="s">
        <v>407</v>
      </c>
      <c r="AM72" t="s">
        <v>409</v>
      </c>
      <c r="AN72" s="2">
        <v>46454</v>
      </c>
      <c r="AO72">
        <v>0</v>
      </c>
      <c r="AP72">
        <v>0</v>
      </c>
      <c r="AR72" t="s">
        <v>410</v>
      </c>
      <c r="AS72" s="2">
        <v>45551</v>
      </c>
      <c r="AT72" t="s">
        <v>412</v>
      </c>
      <c r="AU72" t="s">
        <v>413</v>
      </c>
      <c r="AX72" s="2">
        <v>45551</v>
      </c>
      <c r="AY72" t="s">
        <v>414</v>
      </c>
      <c r="AZ72" t="s">
        <v>415</v>
      </c>
      <c r="BB72" t="s">
        <v>416</v>
      </c>
      <c r="BC72" t="s">
        <v>417</v>
      </c>
      <c r="BD72" t="s">
        <v>190</v>
      </c>
      <c r="BF72" s="2">
        <v>45551</v>
      </c>
      <c r="BG72" t="s">
        <v>418</v>
      </c>
      <c r="BH72" t="s">
        <v>420</v>
      </c>
      <c r="BI72" t="s">
        <v>421</v>
      </c>
      <c r="BJ72" s="2">
        <v>45551</v>
      </c>
      <c r="BK72" t="s">
        <v>422</v>
      </c>
      <c r="BL72" s="2">
        <v>45544</v>
      </c>
      <c r="BM72" t="s">
        <v>433</v>
      </c>
      <c r="BN72" t="s">
        <v>436</v>
      </c>
      <c r="BO72" t="s">
        <v>439</v>
      </c>
      <c r="BP72" t="s">
        <v>446</v>
      </c>
      <c r="BQ72">
        <v>5</v>
      </c>
      <c r="BR72">
        <v>5</v>
      </c>
      <c r="BS72">
        <v>4</v>
      </c>
      <c r="BT72">
        <v>5</v>
      </c>
      <c r="BU72">
        <v>5</v>
      </c>
      <c r="BV72">
        <v>5</v>
      </c>
      <c r="BW72">
        <v>4</v>
      </c>
      <c r="BX72">
        <v>5</v>
      </c>
      <c r="BY72">
        <v>5</v>
      </c>
      <c r="BZ72" t="s">
        <v>450</v>
      </c>
      <c r="CB72" t="s">
        <v>456</v>
      </c>
      <c r="CC72" t="s">
        <v>457</v>
      </c>
      <c r="CD72" t="s">
        <v>458</v>
      </c>
      <c r="CE72" s="2">
        <v>46037</v>
      </c>
      <c r="CF72" s="2">
        <v>46218</v>
      </c>
      <c r="CH72" t="s">
        <v>459</v>
      </c>
      <c r="CJ72" t="s">
        <v>470</v>
      </c>
      <c r="CK72" t="s">
        <v>481</v>
      </c>
      <c r="CL72" t="s">
        <v>276</v>
      </c>
      <c r="CM72" t="s">
        <v>360</v>
      </c>
      <c r="CN72" t="s">
        <v>555</v>
      </c>
      <c r="CO72" t="s">
        <v>154</v>
      </c>
      <c r="CP72" s="2">
        <v>45769</v>
      </c>
      <c r="CQ72" s="2">
        <v>46499</v>
      </c>
      <c r="CR72" t="s">
        <v>566</v>
      </c>
      <c r="CS72" t="s">
        <v>395</v>
      </c>
      <c r="CT72" s="2">
        <v>45769</v>
      </c>
      <c r="CU72" t="s">
        <v>578</v>
      </c>
      <c r="CV72" t="s">
        <v>407</v>
      </c>
      <c r="CW72" t="s">
        <v>582</v>
      </c>
      <c r="CX72" t="s">
        <v>360</v>
      </c>
      <c r="CY72" t="s">
        <v>585</v>
      </c>
      <c r="DA72" t="s">
        <v>587</v>
      </c>
      <c r="DB72" t="s">
        <v>587</v>
      </c>
      <c r="DC72" t="s">
        <v>587</v>
      </c>
      <c r="DD72" t="s">
        <v>587</v>
      </c>
      <c r="DE72" t="s">
        <v>587</v>
      </c>
      <c r="DF72" t="s">
        <v>587</v>
      </c>
      <c r="DG72" t="s">
        <v>590</v>
      </c>
      <c r="DH72" t="s">
        <v>592</v>
      </c>
      <c r="DI72" t="s">
        <v>594</v>
      </c>
      <c r="DJ72" t="s">
        <v>587</v>
      </c>
      <c r="DK72" t="s">
        <v>587</v>
      </c>
      <c r="DL72" t="s">
        <v>587</v>
      </c>
      <c r="DM72" t="s">
        <v>587</v>
      </c>
      <c r="DN72" t="s">
        <v>595</v>
      </c>
      <c r="DO72" t="s">
        <v>596</v>
      </c>
      <c r="DP72" t="s">
        <v>596</v>
      </c>
      <c r="DQ72" t="s">
        <v>450</v>
      </c>
      <c r="DR72" t="s">
        <v>597</v>
      </c>
      <c r="DS72" t="s">
        <v>598</v>
      </c>
      <c r="DT72" t="s">
        <v>599</v>
      </c>
      <c r="DU72" t="s">
        <v>600</v>
      </c>
      <c r="DV72" s="2">
        <v>45392</v>
      </c>
      <c r="DW72" s="2">
        <v>45394</v>
      </c>
      <c r="DX72" t="s">
        <v>601</v>
      </c>
      <c r="DY72" s="2">
        <v>45397</v>
      </c>
      <c r="DZ72" t="s">
        <v>602</v>
      </c>
      <c r="EA72" t="s">
        <v>415</v>
      </c>
      <c r="EB72" s="2">
        <v>45413</v>
      </c>
    </row>
    <row r="73" spans="1:132">
      <c r="A73" t="s">
        <v>142</v>
      </c>
      <c r="B73" t="s">
        <v>154</v>
      </c>
      <c r="C73" t="s">
        <v>166</v>
      </c>
      <c r="D73" t="s">
        <v>178</v>
      </c>
      <c r="E73" t="s">
        <v>190</v>
      </c>
      <c r="F73" t="s">
        <v>194</v>
      </c>
      <c r="G73">
        <v>000000102</v>
      </c>
      <c r="H73">
        <v>999900209</v>
      </c>
      <c r="I73" t="s">
        <v>198</v>
      </c>
      <c r="J73" t="s">
        <v>205</v>
      </c>
      <c r="K73" t="s">
        <v>277</v>
      </c>
      <c r="L73" s="2">
        <v>46566</v>
      </c>
      <c r="M73" s="2">
        <v>46499</v>
      </c>
      <c r="N73" s="2">
        <v>46484</v>
      </c>
      <c r="P73" t="s">
        <v>296</v>
      </c>
      <c r="Q73" t="s">
        <v>300</v>
      </c>
      <c r="R73" t="s">
        <v>309</v>
      </c>
      <c r="S73">
        <v>148</v>
      </c>
      <c r="T73" t="s">
        <v>311</v>
      </c>
      <c r="U73" s="2">
        <v>24838</v>
      </c>
      <c r="V73" t="s">
        <v>322</v>
      </c>
      <c r="W73" t="s">
        <v>327</v>
      </c>
      <c r="X73" t="s">
        <v>338</v>
      </c>
      <c r="Y73" t="s">
        <v>350</v>
      </c>
      <c r="Z73" t="s">
        <v>354</v>
      </c>
      <c r="AA73" t="s">
        <v>360</v>
      </c>
      <c r="AB73">
        <v>30308</v>
      </c>
      <c r="AC73" t="s">
        <v>360</v>
      </c>
      <c r="AD73" t="s">
        <v>362</v>
      </c>
      <c r="AE73" s="2">
        <v>44744</v>
      </c>
      <c r="AF73" t="s">
        <v>364</v>
      </c>
      <c r="AH73" s="2">
        <v>45769</v>
      </c>
      <c r="AI73" t="s">
        <v>383</v>
      </c>
      <c r="AJ73" t="s">
        <v>395</v>
      </c>
      <c r="AK73" t="s">
        <v>407</v>
      </c>
      <c r="AM73" t="s">
        <v>409</v>
      </c>
      <c r="AN73" s="2">
        <v>46454</v>
      </c>
      <c r="AO73">
        <v>0</v>
      </c>
      <c r="AP73">
        <v>0</v>
      </c>
      <c r="AR73" t="s">
        <v>410</v>
      </c>
      <c r="AS73" s="2">
        <v>45551</v>
      </c>
      <c r="AT73" t="s">
        <v>412</v>
      </c>
      <c r="AU73" t="s">
        <v>413</v>
      </c>
      <c r="AX73" s="2">
        <v>45551</v>
      </c>
      <c r="AY73" t="s">
        <v>414</v>
      </c>
      <c r="AZ73" t="s">
        <v>415</v>
      </c>
      <c r="BB73" t="s">
        <v>416</v>
      </c>
      <c r="BC73" t="s">
        <v>417</v>
      </c>
      <c r="BD73" t="s">
        <v>190</v>
      </c>
      <c r="BF73" s="2">
        <v>45551</v>
      </c>
      <c r="BG73" t="s">
        <v>418</v>
      </c>
      <c r="BH73" t="s">
        <v>420</v>
      </c>
      <c r="BI73" t="s">
        <v>421</v>
      </c>
      <c r="BJ73" s="2">
        <v>45551</v>
      </c>
      <c r="BK73" t="s">
        <v>422</v>
      </c>
      <c r="BL73" s="2">
        <v>45544</v>
      </c>
      <c r="BM73" t="s">
        <v>433</v>
      </c>
      <c r="BN73" t="s">
        <v>436</v>
      </c>
      <c r="BO73" t="s">
        <v>439</v>
      </c>
      <c r="BP73" t="s">
        <v>446</v>
      </c>
      <c r="BQ73">
        <v>5</v>
      </c>
      <c r="BR73">
        <v>5</v>
      </c>
      <c r="BS73">
        <v>4</v>
      </c>
      <c r="BT73">
        <v>5</v>
      </c>
      <c r="BU73">
        <v>5</v>
      </c>
      <c r="BV73">
        <v>5</v>
      </c>
      <c r="BW73">
        <v>4</v>
      </c>
      <c r="BX73">
        <v>5</v>
      </c>
      <c r="BY73">
        <v>5</v>
      </c>
      <c r="BZ73" t="s">
        <v>450</v>
      </c>
      <c r="CB73" t="s">
        <v>456</v>
      </c>
      <c r="CC73" t="s">
        <v>457</v>
      </c>
      <c r="CD73" t="s">
        <v>458</v>
      </c>
      <c r="CE73" s="2">
        <v>46037</v>
      </c>
      <c r="CF73" s="2">
        <v>46218</v>
      </c>
      <c r="CH73" t="s">
        <v>459</v>
      </c>
      <c r="CJ73" t="s">
        <v>470</v>
      </c>
      <c r="CK73" t="s">
        <v>481</v>
      </c>
      <c r="CL73" t="s">
        <v>543</v>
      </c>
      <c r="CM73" t="s">
        <v>360</v>
      </c>
      <c r="CN73" t="s">
        <v>555</v>
      </c>
      <c r="CO73" t="s">
        <v>154</v>
      </c>
      <c r="CP73" s="2">
        <v>45769</v>
      </c>
      <c r="CQ73" s="2">
        <v>46499</v>
      </c>
      <c r="CR73" t="s">
        <v>566</v>
      </c>
      <c r="CS73" t="s">
        <v>395</v>
      </c>
      <c r="CT73" s="2">
        <v>45769</v>
      </c>
      <c r="CU73" t="s">
        <v>578</v>
      </c>
      <c r="CV73" t="s">
        <v>407</v>
      </c>
      <c r="CW73" t="s">
        <v>582</v>
      </c>
      <c r="CX73" t="s">
        <v>360</v>
      </c>
      <c r="CY73" t="s">
        <v>585</v>
      </c>
      <c r="DA73" t="s">
        <v>587</v>
      </c>
      <c r="DB73" t="s">
        <v>587</v>
      </c>
      <c r="DC73" t="s">
        <v>587</v>
      </c>
      <c r="DD73" t="s">
        <v>587</v>
      </c>
      <c r="DE73" t="s">
        <v>587</v>
      </c>
      <c r="DF73" t="s">
        <v>587</v>
      </c>
      <c r="DG73" t="s">
        <v>590</v>
      </c>
      <c r="DH73" t="s">
        <v>592</v>
      </c>
      <c r="DI73" t="s">
        <v>594</v>
      </c>
      <c r="DJ73" t="s">
        <v>587</v>
      </c>
      <c r="DK73" t="s">
        <v>587</v>
      </c>
      <c r="DL73" t="s">
        <v>587</v>
      </c>
      <c r="DM73" t="s">
        <v>587</v>
      </c>
      <c r="DN73" t="s">
        <v>595</v>
      </c>
      <c r="DO73" t="s">
        <v>596</v>
      </c>
      <c r="DP73" t="s">
        <v>596</v>
      </c>
      <c r="DQ73" t="s">
        <v>450</v>
      </c>
      <c r="DR73" t="s">
        <v>597</v>
      </c>
      <c r="DS73" t="s">
        <v>598</v>
      </c>
      <c r="DT73" t="s">
        <v>599</v>
      </c>
      <c r="DU73" t="s">
        <v>600</v>
      </c>
      <c r="DV73" s="2">
        <v>45392</v>
      </c>
      <c r="DW73" s="2">
        <v>45394</v>
      </c>
      <c r="DX73" t="s">
        <v>601</v>
      </c>
      <c r="DY73" s="2">
        <v>45397</v>
      </c>
      <c r="DZ73" t="s">
        <v>602</v>
      </c>
      <c r="EA73" t="s">
        <v>415</v>
      </c>
      <c r="EB73" s="2">
        <v>45413</v>
      </c>
    </row>
    <row r="74" spans="1:132">
      <c r="A74" t="s">
        <v>142</v>
      </c>
      <c r="B74" t="s">
        <v>154</v>
      </c>
      <c r="C74" t="s">
        <v>166</v>
      </c>
      <c r="D74" t="s">
        <v>178</v>
      </c>
      <c r="E74" t="s">
        <v>190</v>
      </c>
      <c r="F74" t="s">
        <v>194</v>
      </c>
      <c r="G74">
        <v>000000102</v>
      </c>
      <c r="H74">
        <v>999900209</v>
      </c>
      <c r="I74" t="s">
        <v>199</v>
      </c>
      <c r="J74" t="s">
        <v>205</v>
      </c>
      <c r="K74" t="s">
        <v>278</v>
      </c>
      <c r="L74" s="2">
        <v>46566</v>
      </c>
      <c r="M74" s="2">
        <v>46499</v>
      </c>
      <c r="N74" s="2">
        <v>46484</v>
      </c>
      <c r="P74" t="s">
        <v>296</v>
      </c>
      <c r="Q74" t="s">
        <v>300</v>
      </c>
      <c r="R74" t="s">
        <v>309</v>
      </c>
      <c r="S74">
        <v>148</v>
      </c>
      <c r="T74" t="s">
        <v>311</v>
      </c>
      <c r="U74" s="2">
        <v>24838</v>
      </c>
      <c r="V74" t="s">
        <v>322</v>
      </c>
      <c r="W74" t="s">
        <v>327</v>
      </c>
      <c r="X74" t="s">
        <v>338</v>
      </c>
      <c r="Y74" t="s">
        <v>350</v>
      </c>
      <c r="Z74" t="s">
        <v>354</v>
      </c>
      <c r="AA74" t="s">
        <v>360</v>
      </c>
      <c r="AB74">
        <v>30308</v>
      </c>
      <c r="AC74" t="s">
        <v>360</v>
      </c>
      <c r="AD74" t="s">
        <v>362</v>
      </c>
      <c r="AE74" s="2">
        <v>44744</v>
      </c>
      <c r="AF74" t="s">
        <v>364</v>
      </c>
      <c r="AH74" s="2">
        <v>45769</v>
      </c>
      <c r="AI74" t="s">
        <v>383</v>
      </c>
      <c r="AJ74" t="s">
        <v>395</v>
      </c>
      <c r="AK74" t="s">
        <v>407</v>
      </c>
      <c r="AM74" t="s">
        <v>409</v>
      </c>
      <c r="AN74" s="2">
        <v>46454</v>
      </c>
      <c r="AO74">
        <v>0</v>
      </c>
      <c r="AP74">
        <v>0</v>
      </c>
      <c r="AR74" t="s">
        <v>410</v>
      </c>
      <c r="AS74" s="2">
        <v>45551</v>
      </c>
      <c r="AT74" t="s">
        <v>412</v>
      </c>
      <c r="AU74" t="s">
        <v>413</v>
      </c>
      <c r="AX74" s="2">
        <v>45551</v>
      </c>
      <c r="AY74" t="s">
        <v>414</v>
      </c>
      <c r="AZ74" t="s">
        <v>415</v>
      </c>
      <c r="BB74" t="s">
        <v>416</v>
      </c>
      <c r="BC74" t="s">
        <v>417</v>
      </c>
      <c r="BD74" t="s">
        <v>190</v>
      </c>
      <c r="BF74" s="2">
        <v>45551</v>
      </c>
      <c r="BG74" t="s">
        <v>418</v>
      </c>
      <c r="BH74" t="s">
        <v>420</v>
      </c>
      <c r="BI74" t="s">
        <v>421</v>
      </c>
      <c r="BJ74" s="2">
        <v>45551</v>
      </c>
      <c r="BK74" t="s">
        <v>422</v>
      </c>
      <c r="BL74" s="2">
        <v>45544</v>
      </c>
      <c r="BM74" t="s">
        <v>433</v>
      </c>
      <c r="BN74" t="s">
        <v>436</v>
      </c>
      <c r="BO74" t="s">
        <v>439</v>
      </c>
      <c r="BP74" t="s">
        <v>446</v>
      </c>
      <c r="BQ74">
        <v>5</v>
      </c>
      <c r="BR74">
        <v>5</v>
      </c>
      <c r="BS74">
        <v>4</v>
      </c>
      <c r="BT74">
        <v>5</v>
      </c>
      <c r="BU74">
        <v>5</v>
      </c>
      <c r="BV74">
        <v>5</v>
      </c>
      <c r="BW74">
        <v>4</v>
      </c>
      <c r="BX74">
        <v>5</v>
      </c>
      <c r="BY74">
        <v>5</v>
      </c>
      <c r="BZ74" t="s">
        <v>450</v>
      </c>
      <c r="CB74" t="s">
        <v>456</v>
      </c>
      <c r="CC74" t="s">
        <v>457</v>
      </c>
      <c r="CD74" t="s">
        <v>458</v>
      </c>
      <c r="CE74" s="2">
        <v>46037</v>
      </c>
      <c r="CF74" s="2">
        <v>46218</v>
      </c>
      <c r="CH74" t="s">
        <v>459</v>
      </c>
      <c r="CJ74" t="s">
        <v>470</v>
      </c>
      <c r="CK74" t="s">
        <v>481</v>
      </c>
      <c r="CL74" t="s">
        <v>544</v>
      </c>
      <c r="CM74" t="s">
        <v>360</v>
      </c>
      <c r="CN74" t="s">
        <v>555</v>
      </c>
      <c r="CO74" t="s">
        <v>154</v>
      </c>
      <c r="CP74" s="2">
        <v>45769</v>
      </c>
      <c r="CQ74" s="2">
        <v>46499</v>
      </c>
      <c r="CR74" t="s">
        <v>566</v>
      </c>
      <c r="CS74" t="s">
        <v>395</v>
      </c>
      <c r="CT74" s="2">
        <v>45769</v>
      </c>
      <c r="CU74" t="s">
        <v>578</v>
      </c>
      <c r="CV74" t="s">
        <v>407</v>
      </c>
      <c r="CW74" t="s">
        <v>582</v>
      </c>
      <c r="CX74" t="s">
        <v>360</v>
      </c>
      <c r="CY74" t="s">
        <v>585</v>
      </c>
      <c r="DA74" t="s">
        <v>587</v>
      </c>
      <c r="DB74" t="s">
        <v>587</v>
      </c>
      <c r="DC74" t="s">
        <v>587</v>
      </c>
      <c r="DD74" t="s">
        <v>587</v>
      </c>
      <c r="DE74" t="s">
        <v>587</v>
      </c>
      <c r="DF74" t="s">
        <v>587</v>
      </c>
      <c r="DG74" t="s">
        <v>590</v>
      </c>
      <c r="DH74" t="s">
        <v>592</v>
      </c>
      <c r="DI74" t="s">
        <v>594</v>
      </c>
      <c r="DJ74" t="s">
        <v>587</v>
      </c>
      <c r="DK74" t="s">
        <v>587</v>
      </c>
      <c r="DL74" t="s">
        <v>587</v>
      </c>
      <c r="DM74" t="s">
        <v>587</v>
      </c>
      <c r="DN74" t="s">
        <v>595</v>
      </c>
      <c r="DO74" t="s">
        <v>596</v>
      </c>
      <c r="DP74" t="s">
        <v>596</v>
      </c>
      <c r="DQ74" t="s">
        <v>450</v>
      </c>
      <c r="DR74" t="s">
        <v>597</v>
      </c>
      <c r="DS74" t="s">
        <v>598</v>
      </c>
      <c r="DT74" t="s">
        <v>599</v>
      </c>
      <c r="DU74" t="s">
        <v>600</v>
      </c>
      <c r="DV74" s="2">
        <v>45392</v>
      </c>
      <c r="DW74" s="2">
        <v>45394</v>
      </c>
      <c r="DX74" t="s">
        <v>601</v>
      </c>
      <c r="DY74" s="2">
        <v>45397</v>
      </c>
      <c r="DZ74" t="s">
        <v>602</v>
      </c>
      <c r="EA74" t="s">
        <v>415</v>
      </c>
      <c r="EB74" s="2">
        <v>45413</v>
      </c>
    </row>
    <row r="75" spans="1:132">
      <c r="A75" t="s">
        <v>142</v>
      </c>
      <c r="B75" t="s">
        <v>154</v>
      </c>
      <c r="C75" t="s">
        <v>166</v>
      </c>
      <c r="D75" t="s">
        <v>178</v>
      </c>
      <c r="E75" t="s">
        <v>190</v>
      </c>
      <c r="F75" t="s">
        <v>194</v>
      </c>
      <c r="G75">
        <v>000000102</v>
      </c>
      <c r="H75">
        <v>999900209</v>
      </c>
      <c r="I75" t="s">
        <v>200</v>
      </c>
      <c r="J75" t="s">
        <v>205</v>
      </c>
      <c r="K75" t="s">
        <v>279</v>
      </c>
      <c r="L75" s="2">
        <v>46566</v>
      </c>
      <c r="M75" s="2">
        <v>46499</v>
      </c>
      <c r="N75" s="2">
        <v>46484</v>
      </c>
      <c r="P75" t="s">
        <v>296</v>
      </c>
      <c r="Q75" t="s">
        <v>300</v>
      </c>
      <c r="R75" t="s">
        <v>309</v>
      </c>
      <c r="S75">
        <v>148</v>
      </c>
      <c r="T75" t="s">
        <v>311</v>
      </c>
      <c r="U75" s="2">
        <v>24838</v>
      </c>
      <c r="V75" t="s">
        <v>322</v>
      </c>
      <c r="W75" t="s">
        <v>327</v>
      </c>
      <c r="X75" t="s">
        <v>338</v>
      </c>
      <c r="Y75" t="s">
        <v>350</v>
      </c>
      <c r="Z75" t="s">
        <v>354</v>
      </c>
      <c r="AA75" t="s">
        <v>360</v>
      </c>
      <c r="AB75">
        <v>30308</v>
      </c>
      <c r="AC75" t="s">
        <v>360</v>
      </c>
      <c r="AD75" t="s">
        <v>362</v>
      </c>
      <c r="AE75" s="2">
        <v>44744</v>
      </c>
      <c r="AF75" t="s">
        <v>364</v>
      </c>
      <c r="AH75" s="2">
        <v>45769</v>
      </c>
      <c r="AI75" t="s">
        <v>383</v>
      </c>
      <c r="AJ75" t="s">
        <v>395</v>
      </c>
      <c r="AK75" t="s">
        <v>407</v>
      </c>
      <c r="AM75" t="s">
        <v>409</v>
      </c>
      <c r="AN75" s="2">
        <v>46454</v>
      </c>
      <c r="AO75">
        <v>0</v>
      </c>
      <c r="AP75">
        <v>0</v>
      </c>
      <c r="AR75" t="s">
        <v>410</v>
      </c>
      <c r="AS75" s="2">
        <v>45551</v>
      </c>
      <c r="AT75" t="s">
        <v>412</v>
      </c>
      <c r="AU75" t="s">
        <v>413</v>
      </c>
      <c r="AX75" s="2">
        <v>45551</v>
      </c>
      <c r="AY75" t="s">
        <v>414</v>
      </c>
      <c r="AZ75" t="s">
        <v>415</v>
      </c>
      <c r="BB75" t="s">
        <v>416</v>
      </c>
      <c r="BC75" t="s">
        <v>417</v>
      </c>
      <c r="BD75" t="s">
        <v>190</v>
      </c>
      <c r="BF75" s="2">
        <v>45551</v>
      </c>
      <c r="BG75" t="s">
        <v>418</v>
      </c>
      <c r="BH75" t="s">
        <v>420</v>
      </c>
      <c r="BI75" t="s">
        <v>421</v>
      </c>
      <c r="BJ75" s="2">
        <v>45551</v>
      </c>
      <c r="BK75" t="s">
        <v>422</v>
      </c>
      <c r="BL75" s="2">
        <v>45544</v>
      </c>
      <c r="BM75" t="s">
        <v>433</v>
      </c>
      <c r="BN75" t="s">
        <v>436</v>
      </c>
      <c r="BO75" t="s">
        <v>439</v>
      </c>
      <c r="BP75" t="s">
        <v>446</v>
      </c>
      <c r="BQ75">
        <v>5</v>
      </c>
      <c r="BR75">
        <v>5</v>
      </c>
      <c r="BS75">
        <v>4</v>
      </c>
      <c r="BT75">
        <v>5</v>
      </c>
      <c r="BU75">
        <v>5</v>
      </c>
      <c r="BV75">
        <v>5</v>
      </c>
      <c r="BW75">
        <v>4</v>
      </c>
      <c r="BX75">
        <v>5</v>
      </c>
      <c r="BY75">
        <v>5</v>
      </c>
      <c r="BZ75" t="s">
        <v>450</v>
      </c>
      <c r="CB75" t="s">
        <v>456</v>
      </c>
      <c r="CC75" t="s">
        <v>457</v>
      </c>
      <c r="CD75" t="s">
        <v>458</v>
      </c>
      <c r="CE75" s="2">
        <v>46037</v>
      </c>
      <c r="CF75" s="2">
        <v>46218</v>
      </c>
      <c r="CH75" t="s">
        <v>459</v>
      </c>
      <c r="CJ75" t="s">
        <v>470</v>
      </c>
      <c r="CK75" t="s">
        <v>481</v>
      </c>
      <c r="CL75" t="s">
        <v>545</v>
      </c>
      <c r="CM75" t="s">
        <v>360</v>
      </c>
      <c r="CN75" t="s">
        <v>555</v>
      </c>
      <c r="CO75" t="s">
        <v>154</v>
      </c>
      <c r="CP75" s="2">
        <v>45769</v>
      </c>
      <c r="CQ75" s="2">
        <v>46499</v>
      </c>
      <c r="CR75" t="s">
        <v>566</v>
      </c>
      <c r="CS75" t="s">
        <v>395</v>
      </c>
      <c r="CT75" s="2">
        <v>45769</v>
      </c>
      <c r="CU75" t="s">
        <v>578</v>
      </c>
      <c r="CV75" t="s">
        <v>407</v>
      </c>
      <c r="CW75" t="s">
        <v>582</v>
      </c>
      <c r="CX75" t="s">
        <v>360</v>
      </c>
      <c r="CY75" t="s">
        <v>585</v>
      </c>
      <c r="DA75" t="s">
        <v>587</v>
      </c>
      <c r="DB75" t="s">
        <v>587</v>
      </c>
      <c r="DC75" t="s">
        <v>587</v>
      </c>
      <c r="DD75" t="s">
        <v>587</v>
      </c>
      <c r="DE75" t="s">
        <v>587</v>
      </c>
      <c r="DF75" t="s">
        <v>587</v>
      </c>
      <c r="DG75" t="s">
        <v>590</v>
      </c>
      <c r="DH75" t="s">
        <v>592</v>
      </c>
      <c r="DI75" t="s">
        <v>594</v>
      </c>
      <c r="DJ75" t="s">
        <v>587</v>
      </c>
      <c r="DK75" t="s">
        <v>587</v>
      </c>
      <c r="DL75" t="s">
        <v>587</v>
      </c>
      <c r="DM75" t="s">
        <v>587</v>
      </c>
      <c r="DN75" t="s">
        <v>595</v>
      </c>
      <c r="DO75" t="s">
        <v>596</v>
      </c>
      <c r="DP75" t="s">
        <v>596</v>
      </c>
      <c r="DQ75" t="s">
        <v>450</v>
      </c>
      <c r="DR75" t="s">
        <v>597</v>
      </c>
      <c r="DS75" t="s">
        <v>598</v>
      </c>
      <c r="DT75" t="s">
        <v>599</v>
      </c>
      <c r="DU75" t="s">
        <v>600</v>
      </c>
      <c r="DV75" s="2">
        <v>45392</v>
      </c>
      <c r="DW75" s="2">
        <v>45394</v>
      </c>
      <c r="DX75" t="s">
        <v>601</v>
      </c>
      <c r="DY75" s="2">
        <v>45397</v>
      </c>
      <c r="DZ75" t="s">
        <v>602</v>
      </c>
      <c r="EA75" t="s">
        <v>415</v>
      </c>
      <c r="EB75" s="2">
        <v>45413</v>
      </c>
    </row>
    <row r="76" spans="1:132">
      <c r="A76" t="s">
        <v>142</v>
      </c>
      <c r="B76" t="s">
        <v>154</v>
      </c>
      <c r="C76" t="s">
        <v>166</v>
      </c>
      <c r="D76" t="s">
        <v>178</v>
      </c>
      <c r="E76" t="s">
        <v>190</v>
      </c>
      <c r="F76" t="s">
        <v>194</v>
      </c>
      <c r="G76">
        <v>000000102</v>
      </c>
      <c r="H76">
        <v>999900209</v>
      </c>
      <c r="I76" t="s">
        <v>201</v>
      </c>
      <c r="J76" t="s">
        <v>205</v>
      </c>
      <c r="K76" t="s">
        <v>280</v>
      </c>
      <c r="L76" s="2">
        <v>46566</v>
      </c>
      <c r="M76" s="2">
        <v>46499</v>
      </c>
      <c r="N76" s="2">
        <v>46484</v>
      </c>
      <c r="P76" t="s">
        <v>296</v>
      </c>
      <c r="Q76" t="s">
        <v>300</v>
      </c>
      <c r="R76" t="s">
        <v>309</v>
      </c>
      <c r="S76">
        <v>148</v>
      </c>
      <c r="T76" t="s">
        <v>311</v>
      </c>
      <c r="U76" s="2">
        <v>24838</v>
      </c>
      <c r="V76" t="s">
        <v>322</v>
      </c>
      <c r="W76" t="s">
        <v>327</v>
      </c>
      <c r="X76" t="s">
        <v>338</v>
      </c>
      <c r="Y76" t="s">
        <v>350</v>
      </c>
      <c r="Z76" t="s">
        <v>354</v>
      </c>
      <c r="AA76" t="s">
        <v>360</v>
      </c>
      <c r="AB76">
        <v>30308</v>
      </c>
      <c r="AC76" t="s">
        <v>360</v>
      </c>
      <c r="AD76" t="s">
        <v>362</v>
      </c>
      <c r="AE76" s="2">
        <v>44744</v>
      </c>
      <c r="AF76" t="s">
        <v>364</v>
      </c>
      <c r="AH76" s="2">
        <v>45769</v>
      </c>
      <c r="AI76" t="s">
        <v>383</v>
      </c>
      <c r="AJ76" t="s">
        <v>395</v>
      </c>
      <c r="AK76" t="s">
        <v>407</v>
      </c>
      <c r="AM76" t="s">
        <v>409</v>
      </c>
      <c r="AN76" s="2">
        <v>46454</v>
      </c>
      <c r="AO76">
        <v>0</v>
      </c>
      <c r="AP76">
        <v>0</v>
      </c>
      <c r="AR76" t="s">
        <v>410</v>
      </c>
      <c r="AS76" s="2">
        <v>45551</v>
      </c>
      <c r="AT76" t="s">
        <v>412</v>
      </c>
      <c r="AU76" t="s">
        <v>413</v>
      </c>
      <c r="AX76" s="2">
        <v>45551</v>
      </c>
      <c r="AY76" t="s">
        <v>414</v>
      </c>
      <c r="AZ76" t="s">
        <v>415</v>
      </c>
      <c r="BB76" t="s">
        <v>416</v>
      </c>
      <c r="BC76" t="s">
        <v>417</v>
      </c>
      <c r="BD76" t="s">
        <v>190</v>
      </c>
      <c r="BF76" s="2">
        <v>45551</v>
      </c>
      <c r="BG76" t="s">
        <v>418</v>
      </c>
      <c r="BH76" t="s">
        <v>420</v>
      </c>
      <c r="BI76" t="s">
        <v>421</v>
      </c>
      <c r="BJ76" s="2">
        <v>45551</v>
      </c>
      <c r="BK76" t="s">
        <v>422</v>
      </c>
      <c r="BL76" s="2">
        <v>45544</v>
      </c>
      <c r="BM76" t="s">
        <v>433</v>
      </c>
      <c r="BN76" t="s">
        <v>436</v>
      </c>
      <c r="BO76" t="s">
        <v>439</v>
      </c>
      <c r="BP76" t="s">
        <v>446</v>
      </c>
      <c r="BQ76">
        <v>5</v>
      </c>
      <c r="BR76">
        <v>5</v>
      </c>
      <c r="BS76">
        <v>4</v>
      </c>
      <c r="BT76">
        <v>5</v>
      </c>
      <c r="BU76">
        <v>5</v>
      </c>
      <c r="BV76">
        <v>5</v>
      </c>
      <c r="BW76">
        <v>4</v>
      </c>
      <c r="BX76">
        <v>5</v>
      </c>
      <c r="BY76">
        <v>5</v>
      </c>
      <c r="BZ76" t="s">
        <v>450</v>
      </c>
      <c r="CB76" t="s">
        <v>456</v>
      </c>
      <c r="CC76" t="s">
        <v>457</v>
      </c>
      <c r="CD76" t="s">
        <v>458</v>
      </c>
      <c r="CE76" s="2">
        <v>46037</v>
      </c>
      <c r="CF76" s="2">
        <v>46218</v>
      </c>
      <c r="CH76" t="s">
        <v>459</v>
      </c>
      <c r="CJ76" t="s">
        <v>470</v>
      </c>
      <c r="CK76" t="s">
        <v>481</v>
      </c>
      <c r="CL76" t="s">
        <v>546</v>
      </c>
      <c r="CM76" t="s">
        <v>360</v>
      </c>
      <c r="CN76" t="s">
        <v>555</v>
      </c>
      <c r="CO76" t="s">
        <v>154</v>
      </c>
      <c r="CP76" s="2">
        <v>45769</v>
      </c>
      <c r="CQ76" s="2">
        <v>46499</v>
      </c>
      <c r="CR76" t="s">
        <v>566</v>
      </c>
      <c r="CS76" t="s">
        <v>395</v>
      </c>
      <c r="CT76" s="2">
        <v>45769</v>
      </c>
      <c r="CU76" t="s">
        <v>578</v>
      </c>
      <c r="CV76" t="s">
        <v>407</v>
      </c>
      <c r="CW76" t="s">
        <v>582</v>
      </c>
      <c r="CX76" t="s">
        <v>360</v>
      </c>
      <c r="CY76" t="s">
        <v>585</v>
      </c>
      <c r="DA76" t="s">
        <v>587</v>
      </c>
      <c r="DB76" t="s">
        <v>587</v>
      </c>
      <c r="DC76" t="s">
        <v>587</v>
      </c>
      <c r="DD76" t="s">
        <v>587</v>
      </c>
      <c r="DE76" t="s">
        <v>587</v>
      </c>
      <c r="DF76" t="s">
        <v>587</v>
      </c>
      <c r="DG76" t="s">
        <v>590</v>
      </c>
      <c r="DH76" t="s">
        <v>592</v>
      </c>
      <c r="DI76" t="s">
        <v>594</v>
      </c>
      <c r="DJ76" t="s">
        <v>587</v>
      </c>
      <c r="DK76" t="s">
        <v>587</v>
      </c>
      <c r="DL76" t="s">
        <v>587</v>
      </c>
      <c r="DM76" t="s">
        <v>587</v>
      </c>
      <c r="DN76" t="s">
        <v>595</v>
      </c>
      <c r="DO76" t="s">
        <v>596</v>
      </c>
      <c r="DP76" t="s">
        <v>596</v>
      </c>
      <c r="DQ76" t="s">
        <v>450</v>
      </c>
      <c r="DR76" t="s">
        <v>597</v>
      </c>
      <c r="DS76" t="s">
        <v>598</v>
      </c>
      <c r="DT76" t="s">
        <v>599</v>
      </c>
      <c r="DU76" t="s">
        <v>600</v>
      </c>
      <c r="DV76" s="2">
        <v>45392</v>
      </c>
      <c r="DW76" s="2">
        <v>45394</v>
      </c>
      <c r="DX76" t="s">
        <v>601</v>
      </c>
      <c r="DY76" s="2">
        <v>45397</v>
      </c>
      <c r="DZ76" t="s">
        <v>602</v>
      </c>
      <c r="EA76" t="s">
        <v>415</v>
      </c>
      <c r="EB76" s="2">
        <v>45413</v>
      </c>
    </row>
    <row r="77" spans="1:132">
      <c r="A77" t="s">
        <v>142</v>
      </c>
      <c r="B77" t="s">
        <v>154</v>
      </c>
      <c r="C77" t="s">
        <v>166</v>
      </c>
      <c r="D77" t="s">
        <v>178</v>
      </c>
      <c r="E77" t="s">
        <v>190</v>
      </c>
      <c r="F77" t="s">
        <v>194</v>
      </c>
      <c r="G77">
        <v>000000102</v>
      </c>
      <c r="H77">
        <v>999900209</v>
      </c>
      <c r="I77" t="s">
        <v>202</v>
      </c>
      <c r="J77" t="s">
        <v>205</v>
      </c>
      <c r="K77" t="s">
        <v>281</v>
      </c>
      <c r="L77" s="2">
        <v>46566</v>
      </c>
      <c r="M77" s="2">
        <v>46499</v>
      </c>
      <c r="N77" s="2">
        <v>46484</v>
      </c>
      <c r="O77" t="s">
        <v>291</v>
      </c>
      <c r="P77" t="s">
        <v>296</v>
      </c>
      <c r="Q77" t="s">
        <v>300</v>
      </c>
      <c r="R77" t="s">
        <v>309</v>
      </c>
      <c r="S77">
        <v>148</v>
      </c>
      <c r="T77" t="s">
        <v>311</v>
      </c>
      <c r="U77" s="2">
        <v>24838</v>
      </c>
      <c r="V77" t="s">
        <v>322</v>
      </c>
      <c r="W77" t="s">
        <v>327</v>
      </c>
      <c r="X77" t="s">
        <v>338</v>
      </c>
      <c r="Y77" t="s">
        <v>350</v>
      </c>
      <c r="Z77" t="s">
        <v>354</v>
      </c>
      <c r="AA77" t="s">
        <v>360</v>
      </c>
      <c r="AB77">
        <v>30308</v>
      </c>
      <c r="AC77" t="s">
        <v>360</v>
      </c>
      <c r="AD77" t="s">
        <v>362</v>
      </c>
      <c r="AE77" s="2">
        <v>44744</v>
      </c>
      <c r="AF77" t="s">
        <v>364</v>
      </c>
      <c r="AH77" s="2">
        <v>45769</v>
      </c>
      <c r="AI77" t="s">
        <v>383</v>
      </c>
      <c r="AJ77" t="s">
        <v>395</v>
      </c>
      <c r="AK77" t="s">
        <v>407</v>
      </c>
      <c r="AM77" t="s">
        <v>409</v>
      </c>
      <c r="AN77" s="2">
        <v>46454</v>
      </c>
      <c r="AO77">
        <v>0</v>
      </c>
      <c r="AP77">
        <v>0</v>
      </c>
      <c r="AR77" t="s">
        <v>410</v>
      </c>
      <c r="AS77" s="2">
        <v>45551</v>
      </c>
      <c r="AT77" t="s">
        <v>412</v>
      </c>
      <c r="AU77" t="s">
        <v>413</v>
      </c>
      <c r="AX77" s="2">
        <v>45551</v>
      </c>
      <c r="AY77" t="s">
        <v>414</v>
      </c>
      <c r="AZ77" t="s">
        <v>415</v>
      </c>
      <c r="BB77" t="s">
        <v>416</v>
      </c>
      <c r="BC77" t="s">
        <v>417</v>
      </c>
      <c r="BD77" t="s">
        <v>190</v>
      </c>
      <c r="BF77" s="2">
        <v>45551</v>
      </c>
      <c r="BG77" t="s">
        <v>418</v>
      </c>
      <c r="BH77" t="s">
        <v>420</v>
      </c>
      <c r="BI77" t="s">
        <v>421</v>
      </c>
      <c r="BJ77" s="2">
        <v>45551</v>
      </c>
      <c r="BK77" t="s">
        <v>422</v>
      </c>
      <c r="BL77" s="2">
        <v>45544</v>
      </c>
      <c r="BM77" t="s">
        <v>433</v>
      </c>
      <c r="BN77" t="s">
        <v>436</v>
      </c>
      <c r="BO77" t="s">
        <v>439</v>
      </c>
      <c r="BP77" t="s">
        <v>446</v>
      </c>
      <c r="BQ77">
        <v>5</v>
      </c>
      <c r="BR77">
        <v>5</v>
      </c>
      <c r="BS77">
        <v>4</v>
      </c>
      <c r="BT77">
        <v>5</v>
      </c>
      <c r="BU77">
        <v>5</v>
      </c>
      <c r="BV77">
        <v>5</v>
      </c>
      <c r="BW77">
        <v>4</v>
      </c>
      <c r="BX77">
        <v>5</v>
      </c>
      <c r="BY77">
        <v>5</v>
      </c>
      <c r="BZ77" t="s">
        <v>450</v>
      </c>
      <c r="CB77" t="s">
        <v>456</v>
      </c>
      <c r="CC77" t="s">
        <v>457</v>
      </c>
      <c r="CD77" t="s">
        <v>458</v>
      </c>
      <c r="CE77" s="2">
        <v>46037</v>
      </c>
      <c r="CF77" s="2">
        <v>46218</v>
      </c>
      <c r="CH77" t="s">
        <v>459</v>
      </c>
      <c r="CJ77" t="s">
        <v>470</v>
      </c>
      <c r="CK77" t="s">
        <v>481</v>
      </c>
      <c r="CL77" t="s">
        <v>547</v>
      </c>
      <c r="CM77" t="s">
        <v>360</v>
      </c>
      <c r="CN77" t="s">
        <v>555</v>
      </c>
      <c r="CO77" t="s">
        <v>154</v>
      </c>
      <c r="CP77" s="2">
        <v>45769</v>
      </c>
      <c r="CQ77" s="2">
        <v>46499</v>
      </c>
      <c r="CR77" t="s">
        <v>566</v>
      </c>
      <c r="CS77" t="s">
        <v>395</v>
      </c>
      <c r="CT77" s="2">
        <v>45769</v>
      </c>
      <c r="CU77" t="s">
        <v>578</v>
      </c>
      <c r="CV77" t="s">
        <v>407</v>
      </c>
      <c r="CW77" t="s">
        <v>582</v>
      </c>
      <c r="CX77" t="s">
        <v>360</v>
      </c>
      <c r="CY77" t="s">
        <v>585</v>
      </c>
      <c r="DA77" t="s">
        <v>587</v>
      </c>
      <c r="DB77" t="s">
        <v>587</v>
      </c>
      <c r="DC77" t="s">
        <v>587</v>
      </c>
      <c r="DD77" t="s">
        <v>587</v>
      </c>
      <c r="DE77" t="s">
        <v>587</v>
      </c>
      <c r="DF77" t="s">
        <v>587</v>
      </c>
      <c r="DG77" t="s">
        <v>590</v>
      </c>
      <c r="DH77" t="s">
        <v>592</v>
      </c>
      <c r="DI77" t="s">
        <v>594</v>
      </c>
      <c r="DJ77" t="s">
        <v>587</v>
      </c>
      <c r="DK77" t="s">
        <v>587</v>
      </c>
      <c r="DL77" t="s">
        <v>587</v>
      </c>
      <c r="DM77" t="s">
        <v>587</v>
      </c>
      <c r="DN77" t="s">
        <v>595</v>
      </c>
      <c r="DO77" t="s">
        <v>596</v>
      </c>
      <c r="DP77" t="s">
        <v>596</v>
      </c>
      <c r="DQ77" t="s">
        <v>450</v>
      </c>
      <c r="DR77" t="s">
        <v>597</v>
      </c>
      <c r="DS77" t="s">
        <v>598</v>
      </c>
      <c r="DT77" t="s">
        <v>599</v>
      </c>
      <c r="DU77" t="s">
        <v>600</v>
      </c>
      <c r="DV77" s="2">
        <v>45392</v>
      </c>
      <c r="DW77" s="2">
        <v>45394</v>
      </c>
      <c r="DX77" t="s">
        <v>601</v>
      </c>
      <c r="DY77" s="2">
        <v>45397</v>
      </c>
      <c r="DZ77" t="s">
        <v>602</v>
      </c>
      <c r="EA77" t="s">
        <v>415</v>
      </c>
      <c r="EB77" s="2">
        <v>45413</v>
      </c>
    </row>
    <row r="78" spans="1:132">
      <c r="A78" t="s">
        <v>142</v>
      </c>
      <c r="B78" t="s">
        <v>154</v>
      </c>
      <c r="C78" t="s">
        <v>166</v>
      </c>
      <c r="D78" t="s">
        <v>178</v>
      </c>
      <c r="E78" t="s">
        <v>190</v>
      </c>
      <c r="F78" t="s">
        <v>194</v>
      </c>
      <c r="G78">
        <v>000000102</v>
      </c>
      <c r="H78">
        <v>999900209</v>
      </c>
      <c r="I78" t="s">
        <v>203</v>
      </c>
      <c r="J78" t="s">
        <v>205</v>
      </c>
      <c r="K78" t="s">
        <v>282</v>
      </c>
      <c r="L78" s="2">
        <v>46566</v>
      </c>
      <c r="M78" s="2">
        <v>46499</v>
      </c>
      <c r="N78" s="2">
        <v>46484</v>
      </c>
      <c r="P78" t="s">
        <v>296</v>
      </c>
      <c r="Q78" t="s">
        <v>300</v>
      </c>
      <c r="R78" t="s">
        <v>309</v>
      </c>
      <c r="S78">
        <v>148</v>
      </c>
      <c r="T78" t="s">
        <v>311</v>
      </c>
      <c r="U78" s="2">
        <v>24838</v>
      </c>
      <c r="V78" t="s">
        <v>322</v>
      </c>
      <c r="W78" t="s">
        <v>327</v>
      </c>
      <c r="X78" t="s">
        <v>338</v>
      </c>
      <c r="Y78" t="s">
        <v>350</v>
      </c>
      <c r="Z78" t="s">
        <v>354</v>
      </c>
      <c r="AA78" t="s">
        <v>360</v>
      </c>
      <c r="AB78">
        <v>30308</v>
      </c>
      <c r="AC78" t="s">
        <v>360</v>
      </c>
      <c r="AD78" t="s">
        <v>362</v>
      </c>
      <c r="AE78" s="2">
        <v>44744</v>
      </c>
      <c r="AF78" t="s">
        <v>364</v>
      </c>
      <c r="AH78" s="2">
        <v>45769</v>
      </c>
      <c r="AI78" t="s">
        <v>383</v>
      </c>
      <c r="AJ78" t="s">
        <v>395</v>
      </c>
      <c r="AK78" t="s">
        <v>407</v>
      </c>
      <c r="AM78" t="s">
        <v>409</v>
      </c>
      <c r="AN78" s="2">
        <v>46454</v>
      </c>
      <c r="AO78">
        <v>0</v>
      </c>
      <c r="AP78">
        <v>0</v>
      </c>
      <c r="AR78" t="s">
        <v>410</v>
      </c>
      <c r="AS78" s="2">
        <v>45551</v>
      </c>
      <c r="AT78" t="s">
        <v>412</v>
      </c>
      <c r="AU78" t="s">
        <v>413</v>
      </c>
      <c r="AX78" s="2">
        <v>45551</v>
      </c>
      <c r="AY78" t="s">
        <v>414</v>
      </c>
      <c r="AZ78" t="s">
        <v>415</v>
      </c>
      <c r="BB78" t="s">
        <v>416</v>
      </c>
      <c r="BC78" t="s">
        <v>417</v>
      </c>
      <c r="BD78" t="s">
        <v>190</v>
      </c>
      <c r="BF78" s="2">
        <v>45551</v>
      </c>
      <c r="BG78" t="s">
        <v>418</v>
      </c>
      <c r="BH78" t="s">
        <v>420</v>
      </c>
      <c r="BI78" t="s">
        <v>421</v>
      </c>
      <c r="BJ78" s="2">
        <v>45551</v>
      </c>
      <c r="BK78" t="s">
        <v>422</v>
      </c>
      <c r="BL78" s="2">
        <v>45544</v>
      </c>
      <c r="BM78" t="s">
        <v>433</v>
      </c>
      <c r="BN78" t="s">
        <v>436</v>
      </c>
      <c r="BO78" t="s">
        <v>439</v>
      </c>
      <c r="BP78" t="s">
        <v>446</v>
      </c>
      <c r="BQ78">
        <v>5</v>
      </c>
      <c r="BR78">
        <v>5</v>
      </c>
      <c r="BS78">
        <v>4</v>
      </c>
      <c r="BT78">
        <v>5</v>
      </c>
      <c r="BU78">
        <v>5</v>
      </c>
      <c r="BV78">
        <v>5</v>
      </c>
      <c r="BW78">
        <v>4</v>
      </c>
      <c r="BX78">
        <v>5</v>
      </c>
      <c r="BY78">
        <v>5</v>
      </c>
      <c r="BZ78" t="s">
        <v>450</v>
      </c>
      <c r="CB78" t="s">
        <v>456</v>
      </c>
      <c r="CC78" t="s">
        <v>457</v>
      </c>
      <c r="CD78" t="s">
        <v>458</v>
      </c>
      <c r="CE78" s="2">
        <v>46037</v>
      </c>
      <c r="CF78" s="2">
        <v>46218</v>
      </c>
      <c r="CH78" t="s">
        <v>459</v>
      </c>
      <c r="CJ78" t="s">
        <v>470</v>
      </c>
      <c r="CK78" t="s">
        <v>481</v>
      </c>
      <c r="CL78" t="s">
        <v>548</v>
      </c>
      <c r="CM78" t="s">
        <v>360</v>
      </c>
      <c r="CN78" t="s">
        <v>555</v>
      </c>
      <c r="CO78" t="s">
        <v>154</v>
      </c>
      <c r="CP78" s="2">
        <v>45769</v>
      </c>
      <c r="CQ78" s="2">
        <v>46499</v>
      </c>
      <c r="CR78" t="s">
        <v>566</v>
      </c>
      <c r="CS78" t="s">
        <v>395</v>
      </c>
      <c r="CT78" s="2">
        <v>45769</v>
      </c>
      <c r="CU78" t="s">
        <v>578</v>
      </c>
      <c r="CV78" t="s">
        <v>407</v>
      </c>
      <c r="CW78" t="s">
        <v>582</v>
      </c>
      <c r="CX78" t="s">
        <v>360</v>
      </c>
      <c r="CY78" t="s">
        <v>585</v>
      </c>
      <c r="DA78" t="s">
        <v>587</v>
      </c>
      <c r="DB78" t="s">
        <v>587</v>
      </c>
      <c r="DC78" t="s">
        <v>587</v>
      </c>
      <c r="DD78" t="s">
        <v>587</v>
      </c>
      <c r="DE78" t="s">
        <v>587</v>
      </c>
      <c r="DF78" t="s">
        <v>587</v>
      </c>
      <c r="DG78" t="s">
        <v>590</v>
      </c>
      <c r="DH78" t="s">
        <v>592</v>
      </c>
      <c r="DI78" t="s">
        <v>594</v>
      </c>
      <c r="DJ78" t="s">
        <v>587</v>
      </c>
      <c r="DK78" t="s">
        <v>587</v>
      </c>
      <c r="DL78" t="s">
        <v>587</v>
      </c>
      <c r="DM78" t="s">
        <v>587</v>
      </c>
      <c r="DN78" t="s">
        <v>595</v>
      </c>
      <c r="DO78" t="s">
        <v>596</v>
      </c>
      <c r="DP78" t="s">
        <v>596</v>
      </c>
      <c r="DQ78" t="s">
        <v>450</v>
      </c>
      <c r="DR78" t="s">
        <v>597</v>
      </c>
      <c r="DS78" t="s">
        <v>598</v>
      </c>
      <c r="DT78" t="s">
        <v>599</v>
      </c>
      <c r="DU78" t="s">
        <v>600</v>
      </c>
      <c r="DV78" s="2">
        <v>45392</v>
      </c>
      <c r="DW78" s="2">
        <v>45394</v>
      </c>
      <c r="DX78" t="s">
        <v>601</v>
      </c>
      <c r="DY78" s="2">
        <v>45397</v>
      </c>
      <c r="DZ78" t="s">
        <v>602</v>
      </c>
      <c r="EA78" t="s">
        <v>415</v>
      </c>
      <c r="EB78" s="2">
        <v>45413</v>
      </c>
    </row>
    <row r="79" spans="1:132">
      <c r="A79" t="s">
        <v>143</v>
      </c>
      <c r="B79" t="s">
        <v>155</v>
      </c>
      <c r="C79" t="s">
        <v>167</v>
      </c>
      <c r="D79" t="s">
        <v>179</v>
      </c>
      <c r="E79" t="s">
        <v>191</v>
      </c>
      <c r="F79" t="s">
        <v>196</v>
      </c>
      <c r="G79">
        <v>000000109</v>
      </c>
      <c r="H79">
        <v>999900205</v>
      </c>
      <c r="I79" t="s">
        <v>197</v>
      </c>
      <c r="J79" t="s">
        <v>205</v>
      </c>
      <c r="K79" t="s">
        <v>283</v>
      </c>
      <c r="L79" s="2">
        <v>46706</v>
      </c>
      <c r="M79" s="2">
        <v>46609</v>
      </c>
      <c r="N79" s="2">
        <v>46519</v>
      </c>
      <c r="P79" t="s">
        <v>298</v>
      </c>
      <c r="Q79" t="s">
        <v>299</v>
      </c>
      <c r="R79" t="s">
        <v>306</v>
      </c>
      <c r="S79">
        <v>209</v>
      </c>
      <c r="T79" t="s">
        <v>310</v>
      </c>
      <c r="U79" s="2">
        <v>32874</v>
      </c>
      <c r="V79" t="s">
        <v>323</v>
      </c>
      <c r="W79" t="s">
        <v>324</v>
      </c>
      <c r="X79" t="s">
        <v>339</v>
      </c>
      <c r="Y79" t="s">
        <v>351</v>
      </c>
      <c r="Z79" t="s">
        <v>353</v>
      </c>
      <c r="AA79" t="s">
        <v>359</v>
      </c>
      <c r="AB79">
        <v>60605</v>
      </c>
      <c r="AC79" t="s">
        <v>359</v>
      </c>
      <c r="AD79" t="s">
        <v>362</v>
      </c>
      <c r="AE79" s="2">
        <v>44884</v>
      </c>
      <c r="AG79" t="s">
        <v>370</v>
      </c>
      <c r="AH79" s="2">
        <v>45879</v>
      </c>
      <c r="AI79" t="s">
        <v>384</v>
      </c>
      <c r="AJ79" t="s">
        <v>396</v>
      </c>
      <c r="AK79" t="s">
        <v>408</v>
      </c>
      <c r="AL79" t="s">
        <v>370</v>
      </c>
      <c r="AM79" t="s">
        <v>409</v>
      </c>
      <c r="AN79" s="2">
        <v>46489</v>
      </c>
      <c r="AO79">
        <v>1</v>
      </c>
      <c r="AP79">
        <v>1</v>
      </c>
      <c r="AQ79" t="s">
        <v>370</v>
      </c>
      <c r="AR79" t="s">
        <v>411</v>
      </c>
      <c r="AS79" s="2">
        <v>45579</v>
      </c>
      <c r="AT79" t="s">
        <v>412</v>
      </c>
      <c r="AU79" t="s">
        <v>413</v>
      </c>
      <c r="AX79" s="2">
        <v>45579</v>
      </c>
      <c r="AY79" t="s">
        <v>414</v>
      </c>
      <c r="AZ79" t="s">
        <v>415</v>
      </c>
      <c r="BB79" t="s">
        <v>416</v>
      </c>
      <c r="BC79" t="s">
        <v>417</v>
      </c>
      <c r="BD79" t="s">
        <v>191</v>
      </c>
      <c r="BF79" s="2">
        <v>45579</v>
      </c>
      <c r="BG79" t="s">
        <v>418</v>
      </c>
      <c r="BH79" t="s">
        <v>419</v>
      </c>
      <c r="BI79" t="s">
        <v>421</v>
      </c>
      <c r="BJ79" s="2">
        <v>45579</v>
      </c>
      <c r="BK79" t="s">
        <v>422</v>
      </c>
      <c r="BL79" s="2">
        <v>45572</v>
      </c>
      <c r="BM79" t="s">
        <v>434</v>
      </c>
      <c r="BN79" t="s">
        <v>435</v>
      </c>
      <c r="BO79" t="s">
        <v>439</v>
      </c>
      <c r="BP79" t="s">
        <v>445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4</v>
      </c>
      <c r="BY79">
        <v>4</v>
      </c>
      <c r="BZ79" t="s">
        <v>450</v>
      </c>
      <c r="CA79" t="s">
        <v>370</v>
      </c>
      <c r="CB79" t="s">
        <v>456</v>
      </c>
      <c r="CC79" t="s">
        <v>457</v>
      </c>
      <c r="CD79" t="s">
        <v>458</v>
      </c>
      <c r="CE79" s="2">
        <v>46037</v>
      </c>
      <c r="CF79" s="2">
        <v>46218</v>
      </c>
      <c r="CH79" t="s">
        <v>459</v>
      </c>
      <c r="CJ79" t="s">
        <v>471</v>
      </c>
      <c r="CK79" t="s">
        <v>482</v>
      </c>
      <c r="CL79" t="s">
        <v>283</v>
      </c>
      <c r="CM79" t="s">
        <v>359</v>
      </c>
      <c r="CN79" t="s">
        <v>555</v>
      </c>
      <c r="CO79" t="s">
        <v>155</v>
      </c>
      <c r="CP79" s="2">
        <v>45879</v>
      </c>
      <c r="CQ79" s="2">
        <v>46609</v>
      </c>
      <c r="CR79" t="s">
        <v>567</v>
      </c>
      <c r="CS79" t="s">
        <v>396</v>
      </c>
      <c r="CT79" s="2">
        <v>45879</v>
      </c>
      <c r="CU79" t="s">
        <v>579</v>
      </c>
      <c r="CV79" t="s">
        <v>408</v>
      </c>
      <c r="CW79" t="s">
        <v>584</v>
      </c>
      <c r="CX79" t="s">
        <v>359</v>
      </c>
      <c r="CY79" t="s">
        <v>585</v>
      </c>
      <c r="DA79" t="s">
        <v>587</v>
      </c>
      <c r="DB79" t="s">
        <v>587</v>
      </c>
      <c r="DC79" t="s">
        <v>587</v>
      </c>
      <c r="DD79" t="s">
        <v>587</v>
      </c>
      <c r="DE79" t="s">
        <v>588</v>
      </c>
      <c r="DF79" t="s">
        <v>587</v>
      </c>
      <c r="DG79" t="s">
        <v>590</v>
      </c>
      <c r="DH79" t="s">
        <v>592</v>
      </c>
      <c r="DI79" t="s">
        <v>594</v>
      </c>
      <c r="DJ79" t="s">
        <v>587</v>
      </c>
      <c r="DK79" t="s">
        <v>587</v>
      </c>
      <c r="DL79" t="s">
        <v>587</v>
      </c>
      <c r="DM79" t="s">
        <v>587</v>
      </c>
      <c r="DN79" t="s">
        <v>595</v>
      </c>
      <c r="DO79" t="s">
        <v>596</v>
      </c>
      <c r="DP79" t="s">
        <v>596</v>
      </c>
      <c r="DQ79" t="s">
        <v>450</v>
      </c>
      <c r="DR79" t="s">
        <v>597</v>
      </c>
      <c r="DS79" t="s">
        <v>598</v>
      </c>
      <c r="DT79" t="s">
        <v>599</v>
      </c>
      <c r="DU79" t="s">
        <v>600</v>
      </c>
      <c r="DV79" s="2">
        <v>45392</v>
      </c>
      <c r="DW79" s="2">
        <v>45394</v>
      </c>
      <c r="DX79" t="s">
        <v>601</v>
      </c>
      <c r="DY79" s="2">
        <v>45397</v>
      </c>
      <c r="DZ79" t="s">
        <v>602</v>
      </c>
      <c r="EA79" t="s">
        <v>415</v>
      </c>
      <c r="EB79" s="2">
        <v>45413</v>
      </c>
    </row>
    <row r="80" spans="1:132">
      <c r="A80" t="s">
        <v>143</v>
      </c>
      <c r="B80" t="s">
        <v>155</v>
      </c>
      <c r="C80" t="s">
        <v>167</v>
      </c>
      <c r="D80" t="s">
        <v>179</v>
      </c>
      <c r="E80" t="s">
        <v>191</v>
      </c>
      <c r="F80" t="s">
        <v>196</v>
      </c>
      <c r="G80">
        <v>000000109</v>
      </c>
      <c r="H80">
        <v>999900205</v>
      </c>
      <c r="I80" t="s">
        <v>198</v>
      </c>
      <c r="J80" t="s">
        <v>205</v>
      </c>
      <c r="K80" t="s">
        <v>284</v>
      </c>
      <c r="L80" s="2">
        <v>46706</v>
      </c>
      <c r="M80" s="2">
        <v>46609</v>
      </c>
      <c r="N80" s="2">
        <v>46519</v>
      </c>
      <c r="P80" t="s">
        <v>298</v>
      </c>
      <c r="Q80" t="s">
        <v>299</v>
      </c>
      <c r="R80" t="s">
        <v>306</v>
      </c>
      <c r="S80">
        <v>209</v>
      </c>
      <c r="T80" t="s">
        <v>310</v>
      </c>
      <c r="U80" s="2">
        <v>32874</v>
      </c>
      <c r="V80" t="s">
        <v>323</v>
      </c>
      <c r="W80" t="s">
        <v>324</v>
      </c>
      <c r="X80" t="s">
        <v>339</v>
      </c>
      <c r="Y80" t="s">
        <v>351</v>
      </c>
      <c r="Z80" t="s">
        <v>353</v>
      </c>
      <c r="AA80" t="s">
        <v>359</v>
      </c>
      <c r="AB80">
        <v>60605</v>
      </c>
      <c r="AC80" t="s">
        <v>359</v>
      </c>
      <c r="AD80" t="s">
        <v>362</v>
      </c>
      <c r="AE80" s="2">
        <v>44884</v>
      </c>
      <c r="AG80" t="s">
        <v>370</v>
      </c>
      <c r="AH80" s="2">
        <v>45879</v>
      </c>
      <c r="AI80" t="s">
        <v>384</v>
      </c>
      <c r="AJ80" t="s">
        <v>396</v>
      </c>
      <c r="AK80" t="s">
        <v>408</v>
      </c>
      <c r="AL80" t="s">
        <v>370</v>
      </c>
      <c r="AM80" t="s">
        <v>409</v>
      </c>
      <c r="AN80" s="2">
        <v>46489</v>
      </c>
      <c r="AO80">
        <v>1</v>
      </c>
      <c r="AP80">
        <v>1</v>
      </c>
      <c r="AQ80" t="s">
        <v>370</v>
      </c>
      <c r="AR80" t="s">
        <v>411</v>
      </c>
      <c r="AS80" s="2">
        <v>45579</v>
      </c>
      <c r="AT80" t="s">
        <v>412</v>
      </c>
      <c r="AU80" t="s">
        <v>413</v>
      </c>
      <c r="AX80" s="2">
        <v>45579</v>
      </c>
      <c r="AY80" t="s">
        <v>414</v>
      </c>
      <c r="AZ80" t="s">
        <v>415</v>
      </c>
      <c r="BB80" t="s">
        <v>416</v>
      </c>
      <c r="BC80" t="s">
        <v>417</v>
      </c>
      <c r="BD80" t="s">
        <v>191</v>
      </c>
      <c r="BF80" s="2">
        <v>45579</v>
      </c>
      <c r="BG80" t="s">
        <v>418</v>
      </c>
      <c r="BH80" t="s">
        <v>419</v>
      </c>
      <c r="BI80" t="s">
        <v>421</v>
      </c>
      <c r="BJ80" s="2">
        <v>45579</v>
      </c>
      <c r="BK80" t="s">
        <v>422</v>
      </c>
      <c r="BL80" s="2">
        <v>45572</v>
      </c>
      <c r="BM80" t="s">
        <v>434</v>
      </c>
      <c r="BN80" t="s">
        <v>435</v>
      </c>
      <c r="BO80" t="s">
        <v>439</v>
      </c>
      <c r="BP80" t="s">
        <v>445</v>
      </c>
      <c r="BQ80">
        <v>4</v>
      </c>
      <c r="BR80">
        <v>4</v>
      </c>
      <c r="BS80">
        <v>4</v>
      </c>
      <c r="BT80">
        <v>4</v>
      </c>
      <c r="BU80">
        <v>4</v>
      </c>
      <c r="BV80">
        <v>4</v>
      </c>
      <c r="BW80">
        <v>4</v>
      </c>
      <c r="BX80">
        <v>4</v>
      </c>
      <c r="BY80">
        <v>4</v>
      </c>
      <c r="BZ80" t="s">
        <v>450</v>
      </c>
      <c r="CA80" t="s">
        <v>370</v>
      </c>
      <c r="CB80" t="s">
        <v>456</v>
      </c>
      <c r="CC80" t="s">
        <v>457</v>
      </c>
      <c r="CD80" t="s">
        <v>458</v>
      </c>
      <c r="CE80" s="2">
        <v>46037</v>
      </c>
      <c r="CF80" s="2">
        <v>46218</v>
      </c>
      <c r="CH80" t="s">
        <v>459</v>
      </c>
      <c r="CJ80" t="s">
        <v>471</v>
      </c>
      <c r="CK80" t="s">
        <v>482</v>
      </c>
      <c r="CL80" t="s">
        <v>549</v>
      </c>
      <c r="CM80" t="s">
        <v>359</v>
      </c>
      <c r="CN80" t="s">
        <v>555</v>
      </c>
      <c r="CO80" t="s">
        <v>155</v>
      </c>
      <c r="CP80" s="2">
        <v>45879</v>
      </c>
      <c r="CQ80" s="2">
        <v>46609</v>
      </c>
      <c r="CR80" t="s">
        <v>567</v>
      </c>
      <c r="CS80" t="s">
        <v>396</v>
      </c>
      <c r="CT80" s="2">
        <v>45879</v>
      </c>
      <c r="CU80" t="s">
        <v>579</v>
      </c>
      <c r="CV80" t="s">
        <v>408</v>
      </c>
      <c r="CW80" t="s">
        <v>584</v>
      </c>
      <c r="CX80" t="s">
        <v>359</v>
      </c>
      <c r="CY80" t="s">
        <v>585</v>
      </c>
      <c r="DA80" t="s">
        <v>587</v>
      </c>
      <c r="DB80" t="s">
        <v>587</v>
      </c>
      <c r="DC80" t="s">
        <v>587</v>
      </c>
      <c r="DD80" t="s">
        <v>587</v>
      </c>
      <c r="DE80" t="s">
        <v>588</v>
      </c>
      <c r="DF80" t="s">
        <v>587</v>
      </c>
      <c r="DG80" t="s">
        <v>590</v>
      </c>
      <c r="DH80" t="s">
        <v>592</v>
      </c>
      <c r="DI80" t="s">
        <v>594</v>
      </c>
      <c r="DJ80" t="s">
        <v>587</v>
      </c>
      <c r="DK80" t="s">
        <v>587</v>
      </c>
      <c r="DL80" t="s">
        <v>587</v>
      </c>
      <c r="DM80" t="s">
        <v>587</v>
      </c>
      <c r="DN80" t="s">
        <v>595</v>
      </c>
      <c r="DO80" t="s">
        <v>596</v>
      </c>
      <c r="DP80" t="s">
        <v>596</v>
      </c>
      <c r="DQ80" t="s">
        <v>450</v>
      </c>
      <c r="DR80" t="s">
        <v>597</v>
      </c>
      <c r="DS80" t="s">
        <v>598</v>
      </c>
      <c r="DT80" t="s">
        <v>599</v>
      </c>
      <c r="DU80" t="s">
        <v>600</v>
      </c>
      <c r="DV80" s="2">
        <v>45392</v>
      </c>
      <c r="DW80" s="2">
        <v>45394</v>
      </c>
      <c r="DX80" t="s">
        <v>601</v>
      </c>
      <c r="DY80" s="2">
        <v>45397</v>
      </c>
      <c r="DZ80" t="s">
        <v>602</v>
      </c>
      <c r="EA80" t="s">
        <v>415</v>
      </c>
      <c r="EB80" s="2">
        <v>45413</v>
      </c>
    </row>
    <row r="81" spans="1:132">
      <c r="A81" t="s">
        <v>143</v>
      </c>
      <c r="B81" t="s">
        <v>155</v>
      </c>
      <c r="C81" t="s">
        <v>167</v>
      </c>
      <c r="D81" t="s">
        <v>179</v>
      </c>
      <c r="E81" t="s">
        <v>191</v>
      </c>
      <c r="F81" t="s">
        <v>196</v>
      </c>
      <c r="G81">
        <v>000000109</v>
      </c>
      <c r="H81">
        <v>999900205</v>
      </c>
      <c r="I81" t="s">
        <v>199</v>
      </c>
      <c r="J81" t="s">
        <v>205</v>
      </c>
      <c r="K81" t="s">
        <v>285</v>
      </c>
      <c r="L81" s="2">
        <v>46706</v>
      </c>
      <c r="M81" s="2">
        <v>46609</v>
      </c>
      <c r="N81" s="2">
        <v>46519</v>
      </c>
      <c r="P81" t="s">
        <v>298</v>
      </c>
      <c r="Q81" t="s">
        <v>299</v>
      </c>
      <c r="R81" t="s">
        <v>306</v>
      </c>
      <c r="S81">
        <v>209</v>
      </c>
      <c r="T81" t="s">
        <v>310</v>
      </c>
      <c r="U81" s="2">
        <v>32874</v>
      </c>
      <c r="V81" t="s">
        <v>323</v>
      </c>
      <c r="W81" t="s">
        <v>324</v>
      </c>
      <c r="X81" t="s">
        <v>339</v>
      </c>
      <c r="Y81" t="s">
        <v>351</v>
      </c>
      <c r="Z81" t="s">
        <v>353</v>
      </c>
      <c r="AA81" t="s">
        <v>359</v>
      </c>
      <c r="AB81">
        <v>60605</v>
      </c>
      <c r="AC81" t="s">
        <v>359</v>
      </c>
      <c r="AD81" t="s">
        <v>362</v>
      </c>
      <c r="AE81" s="2">
        <v>44884</v>
      </c>
      <c r="AG81" t="s">
        <v>370</v>
      </c>
      <c r="AH81" s="2">
        <v>45879</v>
      </c>
      <c r="AI81" t="s">
        <v>384</v>
      </c>
      <c r="AJ81" t="s">
        <v>396</v>
      </c>
      <c r="AK81" t="s">
        <v>408</v>
      </c>
      <c r="AL81" t="s">
        <v>370</v>
      </c>
      <c r="AM81" t="s">
        <v>409</v>
      </c>
      <c r="AN81" s="2">
        <v>46489</v>
      </c>
      <c r="AO81">
        <v>1</v>
      </c>
      <c r="AP81">
        <v>1</v>
      </c>
      <c r="AQ81" t="s">
        <v>370</v>
      </c>
      <c r="AR81" t="s">
        <v>411</v>
      </c>
      <c r="AS81" s="2">
        <v>45579</v>
      </c>
      <c r="AT81" t="s">
        <v>412</v>
      </c>
      <c r="AU81" t="s">
        <v>413</v>
      </c>
      <c r="AX81" s="2">
        <v>45579</v>
      </c>
      <c r="AY81" t="s">
        <v>414</v>
      </c>
      <c r="AZ81" t="s">
        <v>415</v>
      </c>
      <c r="BB81" t="s">
        <v>416</v>
      </c>
      <c r="BC81" t="s">
        <v>417</v>
      </c>
      <c r="BD81" t="s">
        <v>191</v>
      </c>
      <c r="BF81" s="2">
        <v>45579</v>
      </c>
      <c r="BG81" t="s">
        <v>418</v>
      </c>
      <c r="BH81" t="s">
        <v>419</v>
      </c>
      <c r="BI81" t="s">
        <v>421</v>
      </c>
      <c r="BJ81" s="2">
        <v>45579</v>
      </c>
      <c r="BK81" t="s">
        <v>422</v>
      </c>
      <c r="BL81" s="2">
        <v>45572</v>
      </c>
      <c r="BM81" t="s">
        <v>434</v>
      </c>
      <c r="BN81" t="s">
        <v>435</v>
      </c>
      <c r="BO81" t="s">
        <v>439</v>
      </c>
      <c r="BP81" t="s">
        <v>445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 t="s">
        <v>450</v>
      </c>
      <c r="CA81" t="s">
        <v>370</v>
      </c>
      <c r="CB81" t="s">
        <v>456</v>
      </c>
      <c r="CC81" t="s">
        <v>457</v>
      </c>
      <c r="CD81" t="s">
        <v>458</v>
      </c>
      <c r="CE81" s="2">
        <v>46037</v>
      </c>
      <c r="CF81" s="2">
        <v>46218</v>
      </c>
      <c r="CH81" t="s">
        <v>459</v>
      </c>
      <c r="CJ81" t="s">
        <v>471</v>
      </c>
      <c r="CK81" t="s">
        <v>482</v>
      </c>
      <c r="CL81" t="s">
        <v>550</v>
      </c>
      <c r="CM81" t="s">
        <v>359</v>
      </c>
      <c r="CN81" t="s">
        <v>555</v>
      </c>
      <c r="CO81" t="s">
        <v>155</v>
      </c>
      <c r="CP81" s="2">
        <v>45879</v>
      </c>
      <c r="CQ81" s="2">
        <v>46609</v>
      </c>
      <c r="CR81" t="s">
        <v>567</v>
      </c>
      <c r="CS81" t="s">
        <v>396</v>
      </c>
      <c r="CT81" s="2">
        <v>45879</v>
      </c>
      <c r="CU81" t="s">
        <v>579</v>
      </c>
      <c r="CV81" t="s">
        <v>408</v>
      </c>
      <c r="CW81" t="s">
        <v>584</v>
      </c>
      <c r="CX81" t="s">
        <v>359</v>
      </c>
      <c r="CY81" t="s">
        <v>585</v>
      </c>
      <c r="DA81" t="s">
        <v>587</v>
      </c>
      <c r="DB81" t="s">
        <v>587</v>
      </c>
      <c r="DC81" t="s">
        <v>587</v>
      </c>
      <c r="DD81" t="s">
        <v>587</v>
      </c>
      <c r="DE81" t="s">
        <v>588</v>
      </c>
      <c r="DF81" t="s">
        <v>587</v>
      </c>
      <c r="DG81" t="s">
        <v>590</v>
      </c>
      <c r="DH81" t="s">
        <v>592</v>
      </c>
      <c r="DI81" t="s">
        <v>594</v>
      </c>
      <c r="DJ81" t="s">
        <v>587</v>
      </c>
      <c r="DK81" t="s">
        <v>587</v>
      </c>
      <c r="DL81" t="s">
        <v>587</v>
      </c>
      <c r="DM81" t="s">
        <v>587</v>
      </c>
      <c r="DN81" t="s">
        <v>595</v>
      </c>
      <c r="DO81" t="s">
        <v>596</v>
      </c>
      <c r="DP81" t="s">
        <v>596</v>
      </c>
      <c r="DQ81" t="s">
        <v>450</v>
      </c>
      <c r="DR81" t="s">
        <v>597</v>
      </c>
      <c r="DS81" t="s">
        <v>598</v>
      </c>
      <c r="DT81" t="s">
        <v>599</v>
      </c>
      <c r="DU81" t="s">
        <v>600</v>
      </c>
      <c r="DV81" s="2">
        <v>45392</v>
      </c>
      <c r="DW81" s="2">
        <v>45394</v>
      </c>
      <c r="DX81" t="s">
        <v>601</v>
      </c>
      <c r="DY81" s="2">
        <v>45397</v>
      </c>
      <c r="DZ81" t="s">
        <v>602</v>
      </c>
      <c r="EA81" t="s">
        <v>415</v>
      </c>
      <c r="EB81" s="2">
        <v>45413</v>
      </c>
    </row>
    <row r="82" spans="1:132">
      <c r="A82" t="s">
        <v>143</v>
      </c>
      <c r="B82" t="s">
        <v>155</v>
      </c>
      <c r="C82" t="s">
        <v>167</v>
      </c>
      <c r="D82" t="s">
        <v>179</v>
      </c>
      <c r="E82" t="s">
        <v>191</v>
      </c>
      <c r="F82" t="s">
        <v>196</v>
      </c>
      <c r="G82">
        <v>000000109</v>
      </c>
      <c r="H82">
        <v>999900205</v>
      </c>
      <c r="I82" t="s">
        <v>200</v>
      </c>
      <c r="J82" t="s">
        <v>205</v>
      </c>
      <c r="K82" t="s">
        <v>286</v>
      </c>
      <c r="L82" s="2">
        <v>46706</v>
      </c>
      <c r="M82" s="2">
        <v>46609</v>
      </c>
      <c r="N82" s="2">
        <v>46519</v>
      </c>
      <c r="P82" t="s">
        <v>298</v>
      </c>
      <c r="Q82" t="s">
        <v>299</v>
      </c>
      <c r="R82" t="s">
        <v>306</v>
      </c>
      <c r="S82">
        <v>209</v>
      </c>
      <c r="T82" t="s">
        <v>310</v>
      </c>
      <c r="U82" s="2">
        <v>32874</v>
      </c>
      <c r="V82" t="s">
        <v>323</v>
      </c>
      <c r="W82" t="s">
        <v>324</v>
      </c>
      <c r="X82" t="s">
        <v>339</v>
      </c>
      <c r="Y82" t="s">
        <v>351</v>
      </c>
      <c r="Z82" t="s">
        <v>353</v>
      </c>
      <c r="AA82" t="s">
        <v>359</v>
      </c>
      <c r="AB82">
        <v>60605</v>
      </c>
      <c r="AC82" t="s">
        <v>359</v>
      </c>
      <c r="AD82" t="s">
        <v>362</v>
      </c>
      <c r="AE82" s="2">
        <v>44884</v>
      </c>
      <c r="AG82" t="s">
        <v>370</v>
      </c>
      <c r="AH82" s="2">
        <v>45879</v>
      </c>
      <c r="AI82" t="s">
        <v>384</v>
      </c>
      <c r="AJ82" t="s">
        <v>396</v>
      </c>
      <c r="AK82" t="s">
        <v>408</v>
      </c>
      <c r="AL82" t="s">
        <v>370</v>
      </c>
      <c r="AM82" t="s">
        <v>409</v>
      </c>
      <c r="AN82" s="2">
        <v>46489</v>
      </c>
      <c r="AO82">
        <v>1</v>
      </c>
      <c r="AP82">
        <v>1</v>
      </c>
      <c r="AQ82" t="s">
        <v>370</v>
      </c>
      <c r="AR82" t="s">
        <v>411</v>
      </c>
      <c r="AS82" s="2">
        <v>45579</v>
      </c>
      <c r="AT82" t="s">
        <v>412</v>
      </c>
      <c r="AU82" t="s">
        <v>413</v>
      </c>
      <c r="AX82" s="2">
        <v>45579</v>
      </c>
      <c r="AY82" t="s">
        <v>414</v>
      </c>
      <c r="AZ82" t="s">
        <v>415</v>
      </c>
      <c r="BB82" t="s">
        <v>416</v>
      </c>
      <c r="BC82" t="s">
        <v>417</v>
      </c>
      <c r="BD82" t="s">
        <v>191</v>
      </c>
      <c r="BF82" s="2">
        <v>45579</v>
      </c>
      <c r="BG82" t="s">
        <v>418</v>
      </c>
      <c r="BH82" t="s">
        <v>419</v>
      </c>
      <c r="BI82" t="s">
        <v>421</v>
      </c>
      <c r="BJ82" s="2">
        <v>45579</v>
      </c>
      <c r="BK82" t="s">
        <v>422</v>
      </c>
      <c r="BL82" s="2">
        <v>45572</v>
      </c>
      <c r="BM82" t="s">
        <v>434</v>
      </c>
      <c r="BN82" t="s">
        <v>435</v>
      </c>
      <c r="BO82" t="s">
        <v>439</v>
      </c>
      <c r="BP82" t="s">
        <v>445</v>
      </c>
      <c r="BQ82">
        <v>4</v>
      </c>
      <c r="BR82">
        <v>4</v>
      </c>
      <c r="BS82">
        <v>4</v>
      </c>
      <c r="BT82">
        <v>4</v>
      </c>
      <c r="BU82">
        <v>4</v>
      </c>
      <c r="BV82">
        <v>4</v>
      </c>
      <c r="BW82">
        <v>4</v>
      </c>
      <c r="BX82">
        <v>4</v>
      </c>
      <c r="BY82">
        <v>4</v>
      </c>
      <c r="BZ82" t="s">
        <v>450</v>
      </c>
      <c r="CA82" t="s">
        <v>370</v>
      </c>
      <c r="CB82" t="s">
        <v>456</v>
      </c>
      <c r="CC82" t="s">
        <v>457</v>
      </c>
      <c r="CD82" t="s">
        <v>458</v>
      </c>
      <c r="CE82" s="2">
        <v>46037</v>
      </c>
      <c r="CF82" s="2">
        <v>46218</v>
      </c>
      <c r="CH82" t="s">
        <v>459</v>
      </c>
      <c r="CJ82" t="s">
        <v>471</v>
      </c>
      <c r="CK82" t="s">
        <v>482</v>
      </c>
      <c r="CL82" t="s">
        <v>551</v>
      </c>
      <c r="CM82" t="s">
        <v>359</v>
      </c>
      <c r="CN82" t="s">
        <v>555</v>
      </c>
      <c r="CO82" t="s">
        <v>155</v>
      </c>
      <c r="CP82" s="2">
        <v>45879</v>
      </c>
      <c r="CQ82" s="2">
        <v>46609</v>
      </c>
      <c r="CR82" t="s">
        <v>567</v>
      </c>
      <c r="CS82" t="s">
        <v>396</v>
      </c>
      <c r="CT82" s="2">
        <v>45879</v>
      </c>
      <c r="CU82" t="s">
        <v>579</v>
      </c>
      <c r="CV82" t="s">
        <v>408</v>
      </c>
      <c r="CW82" t="s">
        <v>584</v>
      </c>
      <c r="CX82" t="s">
        <v>359</v>
      </c>
      <c r="CY82" t="s">
        <v>585</v>
      </c>
      <c r="DA82" t="s">
        <v>587</v>
      </c>
      <c r="DB82" t="s">
        <v>587</v>
      </c>
      <c r="DC82" t="s">
        <v>587</v>
      </c>
      <c r="DD82" t="s">
        <v>587</v>
      </c>
      <c r="DE82" t="s">
        <v>588</v>
      </c>
      <c r="DF82" t="s">
        <v>587</v>
      </c>
      <c r="DG82" t="s">
        <v>590</v>
      </c>
      <c r="DH82" t="s">
        <v>592</v>
      </c>
      <c r="DI82" t="s">
        <v>594</v>
      </c>
      <c r="DJ82" t="s">
        <v>587</v>
      </c>
      <c r="DK82" t="s">
        <v>587</v>
      </c>
      <c r="DL82" t="s">
        <v>587</v>
      </c>
      <c r="DM82" t="s">
        <v>587</v>
      </c>
      <c r="DN82" t="s">
        <v>595</v>
      </c>
      <c r="DO82" t="s">
        <v>596</v>
      </c>
      <c r="DP82" t="s">
        <v>596</v>
      </c>
      <c r="DQ82" t="s">
        <v>450</v>
      </c>
      <c r="DR82" t="s">
        <v>597</v>
      </c>
      <c r="DS82" t="s">
        <v>598</v>
      </c>
      <c r="DT82" t="s">
        <v>599</v>
      </c>
      <c r="DU82" t="s">
        <v>600</v>
      </c>
      <c r="DV82" s="2">
        <v>45392</v>
      </c>
      <c r="DW82" s="2">
        <v>45394</v>
      </c>
      <c r="DX82" t="s">
        <v>601</v>
      </c>
      <c r="DY82" s="2">
        <v>45397</v>
      </c>
      <c r="DZ82" t="s">
        <v>602</v>
      </c>
      <c r="EA82" t="s">
        <v>415</v>
      </c>
      <c r="EB82" s="2">
        <v>45413</v>
      </c>
    </row>
    <row r="83" spans="1:132">
      <c r="A83" t="s">
        <v>143</v>
      </c>
      <c r="B83" t="s">
        <v>155</v>
      </c>
      <c r="C83" t="s">
        <v>167</v>
      </c>
      <c r="D83" t="s">
        <v>179</v>
      </c>
      <c r="E83" t="s">
        <v>191</v>
      </c>
      <c r="F83" t="s">
        <v>196</v>
      </c>
      <c r="G83">
        <v>000000109</v>
      </c>
      <c r="H83">
        <v>999900205</v>
      </c>
      <c r="I83" t="s">
        <v>201</v>
      </c>
      <c r="J83" t="s">
        <v>205</v>
      </c>
      <c r="K83" t="s">
        <v>287</v>
      </c>
      <c r="L83" s="2">
        <v>46706</v>
      </c>
      <c r="M83" s="2">
        <v>46609</v>
      </c>
      <c r="N83" s="2">
        <v>46519</v>
      </c>
      <c r="P83" t="s">
        <v>298</v>
      </c>
      <c r="Q83" t="s">
        <v>299</v>
      </c>
      <c r="R83" t="s">
        <v>306</v>
      </c>
      <c r="S83">
        <v>209</v>
      </c>
      <c r="T83" t="s">
        <v>310</v>
      </c>
      <c r="U83" s="2">
        <v>32874</v>
      </c>
      <c r="V83" t="s">
        <v>323</v>
      </c>
      <c r="W83" t="s">
        <v>324</v>
      </c>
      <c r="X83" t="s">
        <v>339</v>
      </c>
      <c r="Y83" t="s">
        <v>351</v>
      </c>
      <c r="Z83" t="s">
        <v>353</v>
      </c>
      <c r="AA83" t="s">
        <v>359</v>
      </c>
      <c r="AB83">
        <v>60605</v>
      </c>
      <c r="AC83" t="s">
        <v>359</v>
      </c>
      <c r="AD83" t="s">
        <v>362</v>
      </c>
      <c r="AE83" s="2">
        <v>44884</v>
      </c>
      <c r="AG83" t="s">
        <v>370</v>
      </c>
      <c r="AH83" s="2">
        <v>45879</v>
      </c>
      <c r="AI83" t="s">
        <v>384</v>
      </c>
      <c r="AJ83" t="s">
        <v>396</v>
      </c>
      <c r="AK83" t="s">
        <v>408</v>
      </c>
      <c r="AL83" t="s">
        <v>370</v>
      </c>
      <c r="AM83" t="s">
        <v>409</v>
      </c>
      <c r="AN83" s="2">
        <v>46489</v>
      </c>
      <c r="AO83">
        <v>1</v>
      </c>
      <c r="AP83">
        <v>1</v>
      </c>
      <c r="AQ83" t="s">
        <v>370</v>
      </c>
      <c r="AR83" t="s">
        <v>411</v>
      </c>
      <c r="AS83" s="2">
        <v>45579</v>
      </c>
      <c r="AT83" t="s">
        <v>412</v>
      </c>
      <c r="AU83" t="s">
        <v>413</v>
      </c>
      <c r="AX83" s="2">
        <v>45579</v>
      </c>
      <c r="AY83" t="s">
        <v>414</v>
      </c>
      <c r="AZ83" t="s">
        <v>415</v>
      </c>
      <c r="BB83" t="s">
        <v>416</v>
      </c>
      <c r="BC83" t="s">
        <v>417</v>
      </c>
      <c r="BD83" t="s">
        <v>191</v>
      </c>
      <c r="BF83" s="2">
        <v>45579</v>
      </c>
      <c r="BG83" t="s">
        <v>418</v>
      </c>
      <c r="BH83" t="s">
        <v>419</v>
      </c>
      <c r="BI83" t="s">
        <v>421</v>
      </c>
      <c r="BJ83" s="2">
        <v>45579</v>
      </c>
      <c r="BK83" t="s">
        <v>422</v>
      </c>
      <c r="BL83" s="2">
        <v>45572</v>
      </c>
      <c r="BM83" t="s">
        <v>434</v>
      </c>
      <c r="BN83" t="s">
        <v>435</v>
      </c>
      <c r="BO83" t="s">
        <v>439</v>
      </c>
      <c r="BP83" t="s">
        <v>445</v>
      </c>
      <c r="BQ83">
        <v>4</v>
      </c>
      <c r="BR83">
        <v>4</v>
      </c>
      <c r="BS83">
        <v>4</v>
      </c>
      <c r="BT83">
        <v>4</v>
      </c>
      <c r="BU83">
        <v>4</v>
      </c>
      <c r="BV83">
        <v>4</v>
      </c>
      <c r="BW83">
        <v>4</v>
      </c>
      <c r="BX83">
        <v>4</v>
      </c>
      <c r="BY83">
        <v>4</v>
      </c>
      <c r="BZ83" t="s">
        <v>450</v>
      </c>
      <c r="CA83" t="s">
        <v>370</v>
      </c>
      <c r="CB83" t="s">
        <v>456</v>
      </c>
      <c r="CC83" t="s">
        <v>457</v>
      </c>
      <c r="CD83" t="s">
        <v>458</v>
      </c>
      <c r="CE83" s="2">
        <v>46037</v>
      </c>
      <c r="CF83" s="2">
        <v>46218</v>
      </c>
      <c r="CH83" t="s">
        <v>459</v>
      </c>
      <c r="CJ83" t="s">
        <v>471</v>
      </c>
      <c r="CK83" t="s">
        <v>482</v>
      </c>
      <c r="CL83" t="s">
        <v>552</v>
      </c>
      <c r="CM83" t="s">
        <v>359</v>
      </c>
      <c r="CN83" t="s">
        <v>555</v>
      </c>
      <c r="CO83" t="s">
        <v>155</v>
      </c>
      <c r="CP83" s="2">
        <v>45879</v>
      </c>
      <c r="CQ83" s="2">
        <v>46609</v>
      </c>
      <c r="CR83" t="s">
        <v>567</v>
      </c>
      <c r="CS83" t="s">
        <v>396</v>
      </c>
      <c r="CT83" s="2">
        <v>45879</v>
      </c>
      <c r="CU83" t="s">
        <v>579</v>
      </c>
      <c r="CV83" t="s">
        <v>408</v>
      </c>
      <c r="CW83" t="s">
        <v>584</v>
      </c>
      <c r="CX83" t="s">
        <v>359</v>
      </c>
      <c r="CY83" t="s">
        <v>585</v>
      </c>
      <c r="DA83" t="s">
        <v>587</v>
      </c>
      <c r="DB83" t="s">
        <v>587</v>
      </c>
      <c r="DC83" t="s">
        <v>587</v>
      </c>
      <c r="DD83" t="s">
        <v>587</v>
      </c>
      <c r="DE83" t="s">
        <v>588</v>
      </c>
      <c r="DF83" t="s">
        <v>587</v>
      </c>
      <c r="DG83" t="s">
        <v>590</v>
      </c>
      <c r="DH83" t="s">
        <v>592</v>
      </c>
      <c r="DI83" t="s">
        <v>594</v>
      </c>
      <c r="DJ83" t="s">
        <v>587</v>
      </c>
      <c r="DK83" t="s">
        <v>587</v>
      </c>
      <c r="DL83" t="s">
        <v>587</v>
      </c>
      <c r="DM83" t="s">
        <v>587</v>
      </c>
      <c r="DN83" t="s">
        <v>595</v>
      </c>
      <c r="DO83" t="s">
        <v>596</v>
      </c>
      <c r="DP83" t="s">
        <v>596</v>
      </c>
      <c r="DQ83" t="s">
        <v>450</v>
      </c>
      <c r="DR83" t="s">
        <v>597</v>
      </c>
      <c r="DS83" t="s">
        <v>598</v>
      </c>
      <c r="DT83" t="s">
        <v>599</v>
      </c>
      <c r="DU83" t="s">
        <v>600</v>
      </c>
      <c r="DV83" s="2">
        <v>45392</v>
      </c>
      <c r="DW83" s="2">
        <v>45394</v>
      </c>
      <c r="DX83" t="s">
        <v>601</v>
      </c>
      <c r="DY83" s="2">
        <v>45397</v>
      </c>
      <c r="DZ83" t="s">
        <v>602</v>
      </c>
      <c r="EA83" t="s">
        <v>415</v>
      </c>
      <c r="EB83" s="2">
        <v>45413</v>
      </c>
    </row>
    <row r="84" spans="1:132">
      <c r="A84" t="s">
        <v>143</v>
      </c>
      <c r="B84" t="s">
        <v>155</v>
      </c>
      <c r="C84" t="s">
        <v>167</v>
      </c>
      <c r="D84" t="s">
        <v>179</v>
      </c>
      <c r="E84" t="s">
        <v>191</v>
      </c>
      <c r="F84" t="s">
        <v>196</v>
      </c>
      <c r="G84">
        <v>000000109</v>
      </c>
      <c r="H84">
        <v>999900205</v>
      </c>
      <c r="I84" t="s">
        <v>202</v>
      </c>
      <c r="J84" t="s">
        <v>205</v>
      </c>
      <c r="K84" t="s">
        <v>288</v>
      </c>
      <c r="L84" s="2">
        <v>46706</v>
      </c>
      <c r="M84" s="2">
        <v>46609</v>
      </c>
      <c r="N84" s="2">
        <v>46519</v>
      </c>
      <c r="O84" t="s">
        <v>294</v>
      </c>
      <c r="P84" t="s">
        <v>298</v>
      </c>
      <c r="Q84" t="s">
        <v>299</v>
      </c>
      <c r="R84" t="s">
        <v>306</v>
      </c>
      <c r="S84">
        <v>209</v>
      </c>
      <c r="T84" t="s">
        <v>310</v>
      </c>
      <c r="U84" s="2">
        <v>32874</v>
      </c>
      <c r="V84" t="s">
        <v>323</v>
      </c>
      <c r="W84" t="s">
        <v>324</v>
      </c>
      <c r="X84" t="s">
        <v>339</v>
      </c>
      <c r="Y84" t="s">
        <v>351</v>
      </c>
      <c r="Z84" t="s">
        <v>353</v>
      </c>
      <c r="AA84" t="s">
        <v>359</v>
      </c>
      <c r="AB84">
        <v>60605</v>
      </c>
      <c r="AC84" t="s">
        <v>359</v>
      </c>
      <c r="AD84" t="s">
        <v>362</v>
      </c>
      <c r="AE84" s="2">
        <v>44884</v>
      </c>
      <c r="AG84" t="s">
        <v>370</v>
      </c>
      <c r="AH84" s="2">
        <v>45879</v>
      </c>
      <c r="AI84" t="s">
        <v>384</v>
      </c>
      <c r="AJ84" t="s">
        <v>396</v>
      </c>
      <c r="AK84" t="s">
        <v>408</v>
      </c>
      <c r="AL84" t="s">
        <v>370</v>
      </c>
      <c r="AM84" t="s">
        <v>409</v>
      </c>
      <c r="AN84" s="2">
        <v>46489</v>
      </c>
      <c r="AO84">
        <v>1</v>
      </c>
      <c r="AP84">
        <v>1</v>
      </c>
      <c r="AQ84" t="s">
        <v>370</v>
      </c>
      <c r="AR84" t="s">
        <v>411</v>
      </c>
      <c r="AS84" s="2">
        <v>45579</v>
      </c>
      <c r="AT84" t="s">
        <v>412</v>
      </c>
      <c r="AU84" t="s">
        <v>413</v>
      </c>
      <c r="AX84" s="2">
        <v>45579</v>
      </c>
      <c r="AY84" t="s">
        <v>414</v>
      </c>
      <c r="AZ84" t="s">
        <v>415</v>
      </c>
      <c r="BB84" t="s">
        <v>416</v>
      </c>
      <c r="BC84" t="s">
        <v>417</v>
      </c>
      <c r="BD84" t="s">
        <v>191</v>
      </c>
      <c r="BF84" s="2">
        <v>45579</v>
      </c>
      <c r="BG84" t="s">
        <v>418</v>
      </c>
      <c r="BH84" t="s">
        <v>419</v>
      </c>
      <c r="BI84" t="s">
        <v>421</v>
      </c>
      <c r="BJ84" s="2">
        <v>45579</v>
      </c>
      <c r="BK84" t="s">
        <v>422</v>
      </c>
      <c r="BL84" s="2">
        <v>45572</v>
      </c>
      <c r="BM84" t="s">
        <v>434</v>
      </c>
      <c r="BN84" t="s">
        <v>435</v>
      </c>
      <c r="BO84" t="s">
        <v>439</v>
      </c>
      <c r="BP84" t="s">
        <v>445</v>
      </c>
      <c r="BQ84">
        <v>4</v>
      </c>
      <c r="BR84">
        <v>4</v>
      </c>
      <c r="BS84">
        <v>4</v>
      </c>
      <c r="BT84">
        <v>4</v>
      </c>
      <c r="BU84">
        <v>4</v>
      </c>
      <c r="BV84">
        <v>4</v>
      </c>
      <c r="BW84">
        <v>4</v>
      </c>
      <c r="BX84">
        <v>4</v>
      </c>
      <c r="BY84">
        <v>4</v>
      </c>
      <c r="BZ84" t="s">
        <v>450</v>
      </c>
      <c r="CA84" t="s">
        <v>370</v>
      </c>
      <c r="CB84" t="s">
        <v>456</v>
      </c>
      <c r="CC84" t="s">
        <v>457</v>
      </c>
      <c r="CD84" t="s">
        <v>458</v>
      </c>
      <c r="CE84" s="2">
        <v>46037</v>
      </c>
      <c r="CF84" s="2">
        <v>46218</v>
      </c>
      <c r="CH84" t="s">
        <v>459</v>
      </c>
      <c r="CJ84" t="s">
        <v>471</v>
      </c>
      <c r="CK84" t="s">
        <v>482</v>
      </c>
      <c r="CL84" t="s">
        <v>553</v>
      </c>
      <c r="CM84" t="s">
        <v>359</v>
      </c>
      <c r="CN84" t="s">
        <v>555</v>
      </c>
      <c r="CO84" t="s">
        <v>155</v>
      </c>
      <c r="CP84" s="2">
        <v>45879</v>
      </c>
      <c r="CQ84" s="2">
        <v>46609</v>
      </c>
      <c r="CR84" t="s">
        <v>567</v>
      </c>
      <c r="CS84" t="s">
        <v>396</v>
      </c>
      <c r="CT84" s="2">
        <v>45879</v>
      </c>
      <c r="CU84" t="s">
        <v>579</v>
      </c>
      <c r="CV84" t="s">
        <v>408</v>
      </c>
      <c r="CW84" t="s">
        <v>584</v>
      </c>
      <c r="CX84" t="s">
        <v>359</v>
      </c>
      <c r="CY84" t="s">
        <v>585</v>
      </c>
      <c r="DA84" t="s">
        <v>587</v>
      </c>
      <c r="DB84" t="s">
        <v>587</v>
      </c>
      <c r="DC84" t="s">
        <v>587</v>
      </c>
      <c r="DD84" t="s">
        <v>587</v>
      </c>
      <c r="DE84" t="s">
        <v>588</v>
      </c>
      <c r="DF84" t="s">
        <v>587</v>
      </c>
      <c r="DG84" t="s">
        <v>590</v>
      </c>
      <c r="DH84" t="s">
        <v>592</v>
      </c>
      <c r="DI84" t="s">
        <v>594</v>
      </c>
      <c r="DJ84" t="s">
        <v>587</v>
      </c>
      <c r="DK84" t="s">
        <v>587</v>
      </c>
      <c r="DL84" t="s">
        <v>587</v>
      </c>
      <c r="DM84" t="s">
        <v>587</v>
      </c>
      <c r="DN84" t="s">
        <v>595</v>
      </c>
      <c r="DO84" t="s">
        <v>596</v>
      </c>
      <c r="DP84" t="s">
        <v>596</v>
      </c>
      <c r="DQ84" t="s">
        <v>450</v>
      </c>
      <c r="DR84" t="s">
        <v>597</v>
      </c>
      <c r="DS84" t="s">
        <v>598</v>
      </c>
      <c r="DT84" t="s">
        <v>599</v>
      </c>
      <c r="DU84" t="s">
        <v>600</v>
      </c>
      <c r="DV84" s="2">
        <v>45392</v>
      </c>
      <c r="DW84" s="2">
        <v>45394</v>
      </c>
      <c r="DX84" t="s">
        <v>601</v>
      </c>
      <c r="DY84" s="2">
        <v>45397</v>
      </c>
      <c r="DZ84" t="s">
        <v>602</v>
      </c>
      <c r="EA84" t="s">
        <v>415</v>
      </c>
      <c r="EB84" s="2">
        <v>45413</v>
      </c>
    </row>
    <row r="85" spans="1:132">
      <c r="A85" t="s">
        <v>143</v>
      </c>
      <c r="B85" t="s">
        <v>155</v>
      </c>
      <c r="C85" t="s">
        <v>167</v>
      </c>
      <c r="D85" t="s">
        <v>179</v>
      </c>
      <c r="E85" t="s">
        <v>191</v>
      </c>
      <c r="F85" t="s">
        <v>196</v>
      </c>
      <c r="G85">
        <v>000000109</v>
      </c>
      <c r="H85">
        <v>999900205</v>
      </c>
      <c r="I85" t="s">
        <v>203</v>
      </c>
      <c r="J85" t="s">
        <v>205</v>
      </c>
      <c r="K85" t="s">
        <v>289</v>
      </c>
      <c r="L85" s="2">
        <v>46706</v>
      </c>
      <c r="M85" s="2">
        <v>46609</v>
      </c>
      <c r="N85" s="2">
        <v>46519</v>
      </c>
      <c r="P85" t="s">
        <v>298</v>
      </c>
      <c r="Q85" t="s">
        <v>299</v>
      </c>
      <c r="R85" t="s">
        <v>306</v>
      </c>
      <c r="S85">
        <v>209</v>
      </c>
      <c r="T85" t="s">
        <v>310</v>
      </c>
      <c r="U85" s="2">
        <v>32874</v>
      </c>
      <c r="V85" t="s">
        <v>323</v>
      </c>
      <c r="W85" t="s">
        <v>324</v>
      </c>
      <c r="X85" t="s">
        <v>339</v>
      </c>
      <c r="Y85" t="s">
        <v>351</v>
      </c>
      <c r="Z85" t="s">
        <v>353</v>
      </c>
      <c r="AA85" t="s">
        <v>359</v>
      </c>
      <c r="AB85">
        <v>60605</v>
      </c>
      <c r="AC85" t="s">
        <v>359</v>
      </c>
      <c r="AD85" t="s">
        <v>362</v>
      </c>
      <c r="AE85" s="2">
        <v>44884</v>
      </c>
      <c r="AG85" t="s">
        <v>370</v>
      </c>
      <c r="AH85" s="2">
        <v>45879</v>
      </c>
      <c r="AI85" t="s">
        <v>384</v>
      </c>
      <c r="AJ85" t="s">
        <v>396</v>
      </c>
      <c r="AK85" t="s">
        <v>408</v>
      </c>
      <c r="AL85" t="s">
        <v>370</v>
      </c>
      <c r="AM85" t="s">
        <v>409</v>
      </c>
      <c r="AN85" s="2">
        <v>46489</v>
      </c>
      <c r="AO85">
        <v>1</v>
      </c>
      <c r="AP85">
        <v>1</v>
      </c>
      <c r="AQ85" t="s">
        <v>370</v>
      </c>
      <c r="AR85" t="s">
        <v>411</v>
      </c>
      <c r="AS85" s="2">
        <v>45579</v>
      </c>
      <c r="AT85" t="s">
        <v>412</v>
      </c>
      <c r="AU85" t="s">
        <v>413</v>
      </c>
      <c r="AX85" s="2">
        <v>45579</v>
      </c>
      <c r="AY85" t="s">
        <v>414</v>
      </c>
      <c r="AZ85" t="s">
        <v>415</v>
      </c>
      <c r="BB85" t="s">
        <v>416</v>
      </c>
      <c r="BC85" t="s">
        <v>417</v>
      </c>
      <c r="BD85" t="s">
        <v>191</v>
      </c>
      <c r="BF85" s="2">
        <v>45579</v>
      </c>
      <c r="BG85" t="s">
        <v>418</v>
      </c>
      <c r="BH85" t="s">
        <v>419</v>
      </c>
      <c r="BI85" t="s">
        <v>421</v>
      </c>
      <c r="BJ85" s="2">
        <v>45579</v>
      </c>
      <c r="BK85" t="s">
        <v>422</v>
      </c>
      <c r="BL85" s="2">
        <v>45572</v>
      </c>
      <c r="BM85" t="s">
        <v>434</v>
      </c>
      <c r="BN85" t="s">
        <v>435</v>
      </c>
      <c r="BO85" t="s">
        <v>439</v>
      </c>
      <c r="BP85" t="s">
        <v>445</v>
      </c>
      <c r="BQ85">
        <v>4</v>
      </c>
      <c r="BR85">
        <v>4</v>
      </c>
      <c r="BS85">
        <v>4</v>
      </c>
      <c r="BT85">
        <v>4</v>
      </c>
      <c r="BU85">
        <v>4</v>
      </c>
      <c r="BV85">
        <v>4</v>
      </c>
      <c r="BW85">
        <v>4</v>
      </c>
      <c r="BX85">
        <v>4</v>
      </c>
      <c r="BY85">
        <v>4</v>
      </c>
      <c r="BZ85" t="s">
        <v>450</v>
      </c>
      <c r="CA85" t="s">
        <v>370</v>
      </c>
      <c r="CB85" t="s">
        <v>456</v>
      </c>
      <c r="CC85" t="s">
        <v>457</v>
      </c>
      <c r="CD85" t="s">
        <v>458</v>
      </c>
      <c r="CE85" s="2">
        <v>46037</v>
      </c>
      <c r="CF85" s="2">
        <v>46218</v>
      </c>
      <c r="CH85" t="s">
        <v>459</v>
      </c>
      <c r="CJ85" t="s">
        <v>471</v>
      </c>
      <c r="CK85" t="s">
        <v>482</v>
      </c>
      <c r="CL85" t="s">
        <v>554</v>
      </c>
      <c r="CM85" t="s">
        <v>359</v>
      </c>
      <c r="CN85" t="s">
        <v>555</v>
      </c>
      <c r="CO85" t="s">
        <v>155</v>
      </c>
      <c r="CP85" s="2">
        <v>45879</v>
      </c>
      <c r="CQ85" s="2">
        <v>46609</v>
      </c>
      <c r="CR85" t="s">
        <v>567</v>
      </c>
      <c r="CS85" t="s">
        <v>396</v>
      </c>
      <c r="CT85" s="2">
        <v>45879</v>
      </c>
      <c r="CU85" t="s">
        <v>579</v>
      </c>
      <c r="CV85" t="s">
        <v>408</v>
      </c>
      <c r="CW85" t="s">
        <v>584</v>
      </c>
      <c r="CX85" t="s">
        <v>359</v>
      </c>
      <c r="CY85" t="s">
        <v>585</v>
      </c>
      <c r="DA85" t="s">
        <v>587</v>
      </c>
      <c r="DB85" t="s">
        <v>587</v>
      </c>
      <c r="DC85" t="s">
        <v>587</v>
      </c>
      <c r="DD85" t="s">
        <v>587</v>
      </c>
      <c r="DE85" t="s">
        <v>588</v>
      </c>
      <c r="DF85" t="s">
        <v>587</v>
      </c>
      <c r="DG85" t="s">
        <v>590</v>
      </c>
      <c r="DH85" t="s">
        <v>592</v>
      </c>
      <c r="DI85" t="s">
        <v>594</v>
      </c>
      <c r="DJ85" t="s">
        <v>587</v>
      </c>
      <c r="DK85" t="s">
        <v>587</v>
      </c>
      <c r="DL85" t="s">
        <v>587</v>
      </c>
      <c r="DM85" t="s">
        <v>587</v>
      </c>
      <c r="DN85" t="s">
        <v>595</v>
      </c>
      <c r="DO85" t="s">
        <v>596</v>
      </c>
      <c r="DP85" t="s">
        <v>596</v>
      </c>
      <c r="DQ85" t="s">
        <v>450</v>
      </c>
      <c r="DR85" t="s">
        <v>597</v>
      </c>
      <c r="DS85" t="s">
        <v>598</v>
      </c>
      <c r="DT85" t="s">
        <v>599</v>
      </c>
      <c r="DU85" t="s">
        <v>600</v>
      </c>
      <c r="DV85" s="2">
        <v>45392</v>
      </c>
      <c r="DW85" s="2">
        <v>45394</v>
      </c>
      <c r="DX85" t="s">
        <v>601</v>
      </c>
      <c r="DY85" s="2">
        <v>45397</v>
      </c>
      <c r="DZ85" t="s">
        <v>602</v>
      </c>
      <c r="EA85" t="s">
        <v>415</v>
      </c>
      <c r="EB85" s="2">
        <v>45413</v>
      </c>
    </row>
    <row r="87" spans="1:132">
      <c r="A87" s="3" t="s">
        <v>603</v>
      </c>
      <c r="D87" t="s">
        <v>615</v>
      </c>
    </row>
    <row r="88" spans="1:132">
      <c r="A88" s="3" t="s">
        <v>604</v>
      </c>
      <c r="D88" t="s">
        <v>616</v>
      </c>
    </row>
    <row r="89" spans="1:132">
      <c r="A89" s="3" t="s">
        <v>605</v>
      </c>
      <c r="D89" t="s">
        <v>617</v>
      </c>
    </row>
    <row r="90" spans="1:132">
      <c r="A90" s="3" t="s">
        <v>606</v>
      </c>
      <c r="D90" t="s">
        <v>618</v>
      </c>
    </row>
    <row r="91" spans="1:132">
      <c r="A91" s="3" t="s">
        <v>607</v>
      </c>
      <c r="D91" t="s">
        <v>619</v>
      </c>
    </row>
    <row r="92" spans="1:132">
      <c r="A92" s="3" t="s">
        <v>608</v>
      </c>
      <c r="D92" t="s">
        <v>620</v>
      </c>
    </row>
    <row r="93" spans="1:132">
      <c r="A93" s="3" t="s">
        <v>609</v>
      </c>
      <c r="D93" t="s">
        <v>621</v>
      </c>
    </row>
    <row r="94" spans="1:132">
      <c r="A94" s="3" t="s">
        <v>610</v>
      </c>
      <c r="D94" t="s">
        <v>622</v>
      </c>
    </row>
    <row r="95" spans="1:132">
      <c r="A95" s="3" t="s">
        <v>611</v>
      </c>
      <c r="D95" t="s">
        <v>623</v>
      </c>
    </row>
    <row r="96" spans="1:132">
      <c r="A96" s="3" t="s">
        <v>612</v>
      </c>
      <c r="D96" t="s">
        <v>624</v>
      </c>
    </row>
    <row r="97" spans="1:4">
      <c r="A97" s="3" t="s">
        <v>613</v>
      </c>
      <c r="D97" t="s">
        <v>625</v>
      </c>
    </row>
    <row r="98" spans="1:4">
      <c r="A98" s="3" t="s">
        <v>614</v>
      </c>
      <c r="D98" t="s">
        <v>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00E4-5151-4B70-8463-63DC036DE44B}">
  <dimension ref="A1:DF13"/>
  <sheetViews>
    <sheetView showGridLines="0" topLeftCell="BF1" workbookViewId="0">
      <selection activeCell="BG15" sqref="BG15"/>
    </sheetView>
  </sheetViews>
  <sheetFormatPr defaultRowHeight="14.4"/>
  <cols>
    <col min="1" max="1" width="10" style="12" customWidth="1"/>
    <col min="2" max="2" width="11" style="12" customWidth="1"/>
    <col min="3" max="3" width="14" style="12" customWidth="1"/>
    <col min="4" max="5" width="10" style="12" customWidth="1"/>
    <col min="6" max="6" width="14" style="12" customWidth="1"/>
    <col min="7" max="7" width="19" style="12" customWidth="1"/>
    <col min="8" max="8" width="13" style="12" customWidth="1"/>
    <col min="9" max="9" width="27" style="12" customWidth="1"/>
    <col min="10" max="10" width="22" style="12" customWidth="1"/>
    <col min="11" max="11" width="21" style="12" customWidth="1"/>
    <col min="12" max="12" width="24" style="12" customWidth="1"/>
    <col min="13" max="13" width="23" style="12" customWidth="1"/>
    <col min="14" max="15" width="28" style="12" customWidth="1"/>
    <col min="16" max="16" width="26" style="12" customWidth="1"/>
    <col min="17" max="18" width="28" style="12" customWidth="1"/>
    <col min="19" max="19" width="23" style="12" customWidth="1"/>
    <col min="20" max="20" width="17" style="12" customWidth="1"/>
    <col min="21" max="21" width="15" style="12" customWidth="1"/>
    <col min="22" max="22" width="18" style="12" customWidth="1"/>
    <col min="23" max="23" width="16" style="12" customWidth="1"/>
    <col min="24" max="24" width="20" style="12" customWidth="1"/>
    <col min="25" max="29" width="30" style="12" customWidth="1"/>
    <col min="30" max="30" width="18" style="12" customWidth="1"/>
    <col min="31" max="31" width="20" style="12" customWidth="1"/>
    <col min="32" max="32" width="22" style="12" customWidth="1"/>
    <col min="33" max="33" width="20" style="12" customWidth="1"/>
    <col min="34" max="34" width="18" style="12" customWidth="1"/>
    <col min="35" max="35" width="20" style="12" customWidth="1"/>
    <col min="36" max="36" width="16" style="12" customWidth="1"/>
    <col min="37" max="37" width="22" style="12" customWidth="1"/>
    <col min="38" max="38" width="28" style="12" customWidth="1"/>
    <col min="39" max="39" width="16" style="12" customWidth="1"/>
    <col min="40" max="40" width="12" style="12" customWidth="1"/>
    <col min="41" max="41" width="18" style="12" customWidth="1"/>
    <col min="42" max="42" width="22" style="12" customWidth="1"/>
    <col min="43" max="43" width="28" style="12" customWidth="1"/>
    <col min="44" max="44" width="16" style="12" customWidth="1"/>
    <col min="45" max="45" width="12" style="12" customWidth="1"/>
    <col min="46" max="47" width="18" style="12" customWidth="1"/>
    <col min="48" max="48" width="14" style="12" customWidth="1"/>
    <col min="49" max="50" width="12" style="12" customWidth="1"/>
    <col min="51" max="51" width="14" style="12" customWidth="1"/>
    <col min="52" max="52" width="20" style="12" customWidth="1"/>
    <col min="53" max="53" width="16" style="12" customWidth="1"/>
    <col min="54" max="54" width="14" style="12" customWidth="1"/>
    <col min="55" max="55" width="20" style="12" customWidth="1"/>
    <col min="56" max="56" width="14" style="12" customWidth="1"/>
    <col min="57" max="57" width="18" style="12" customWidth="1"/>
    <col min="58" max="59" width="20" style="12" customWidth="1"/>
    <col min="60" max="60" width="22" style="12" customWidth="1"/>
    <col min="61" max="61" width="16" style="12" customWidth="1"/>
    <col min="62" max="63" width="18" style="12" customWidth="1"/>
    <col min="64" max="64" width="14" style="12" customWidth="1"/>
    <col min="65" max="65" width="16" style="12" customWidth="1"/>
    <col min="66" max="67" width="14" style="12" customWidth="1"/>
    <col min="68" max="68" width="16" style="12" customWidth="1"/>
    <col min="69" max="69" width="18" style="12" customWidth="1"/>
    <col min="70" max="70" width="20" style="12" customWidth="1"/>
    <col min="71" max="71" width="18" style="12" customWidth="1"/>
    <col min="72" max="16384" width="8.88671875" style="12"/>
  </cols>
  <sheetData>
    <row r="1" spans="1:110">
      <c r="A1" s="11" t="s">
        <v>889</v>
      </c>
      <c r="B1" s="11" t="s">
        <v>0</v>
      </c>
      <c r="C1" s="11" t="s">
        <v>700</v>
      </c>
      <c r="D1" s="11" t="s">
        <v>860</v>
      </c>
      <c r="E1" s="11" t="s">
        <v>890</v>
      </c>
      <c r="F1" s="11" t="s">
        <v>675</v>
      </c>
      <c r="G1" s="11" t="s">
        <v>891</v>
      </c>
      <c r="H1" s="11" t="s">
        <v>892</v>
      </c>
      <c r="I1" s="11" t="s">
        <v>893</v>
      </c>
      <c r="J1" s="11" t="s">
        <v>894</v>
      </c>
      <c r="K1" s="11" t="s">
        <v>895</v>
      </c>
      <c r="L1" s="11" t="s">
        <v>896</v>
      </c>
      <c r="M1" s="11" t="s">
        <v>897</v>
      </c>
      <c r="N1" s="11" t="s">
        <v>898</v>
      </c>
      <c r="O1" s="11" t="s">
        <v>899</v>
      </c>
      <c r="P1" s="11" t="s">
        <v>900</v>
      </c>
      <c r="Q1" s="11" t="s">
        <v>901</v>
      </c>
      <c r="R1" s="11" t="s">
        <v>902</v>
      </c>
      <c r="S1" s="11" t="s">
        <v>903</v>
      </c>
      <c r="T1" s="11" t="s">
        <v>904</v>
      </c>
      <c r="U1" s="11" t="s">
        <v>905</v>
      </c>
      <c r="V1" s="11" t="s">
        <v>906</v>
      </c>
      <c r="W1" s="11" t="s">
        <v>907</v>
      </c>
      <c r="X1" s="11" t="s">
        <v>908</v>
      </c>
      <c r="Y1" s="11" t="s">
        <v>909</v>
      </c>
      <c r="Z1" s="11" t="s">
        <v>910</v>
      </c>
      <c r="AA1" s="11" t="s">
        <v>911</v>
      </c>
      <c r="AB1" s="11" t="s">
        <v>912</v>
      </c>
      <c r="AC1" s="11" t="s">
        <v>707</v>
      </c>
      <c r="AD1" s="11" t="s">
        <v>913</v>
      </c>
      <c r="AE1" s="11" t="s">
        <v>914</v>
      </c>
      <c r="AF1" s="11" t="s">
        <v>915</v>
      </c>
      <c r="AG1" s="11" t="s">
        <v>916</v>
      </c>
      <c r="AH1" s="11" t="s">
        <v>917</v>
      </c>
      <c r="AI1" s="11" t="s">
        <v>918</v>
      </c>
      <c r="AJ1" s="11" t="s">
        <v>919</v>
      </c>
      <c r="AK1" s="11" t="s">
        <v>920</v>
      </c>
      <c r="AL1" s="11" t="s">
        <v>921</v>
      </c>
      <c r="AM1" s="11" t="s">
        <v>922</v>
      </c>
      <c r="AN1" s="11" t="s">
        <v>923</v>
      </c>
      <c r="AO1" s="11" t="s">
        <v>924</v>
      </c>
      <c r="AP1" s="11" t="s">
        <v>925</v>
      </c>
      <c r="AQ1" s="11" t="s">
        <v>926</v>
      </c>
      <c r="AR1" s="11" t="s">
        <v>927</v>
      </c>
      <c r="AS1" s="11" t="s">
        <v>928</v>
      </c>
      <c r="AT1" s="11" t="s">
        <v>929</v>
      </c>
      <c r="AU1" s="11" t="s">
        <v>930</v>
      </c>
      <c r="AV1" s="11" t="s">
        <v>931</v>
      </c>
      <c r="AW1" s="11" t="s">
        <v>932</v>
      </c>
      <c r="AX1" s="11" t="s">
        <v>933</v>
      </c>
      <c r="AY1" s="11" t="s">
        <v>934</v>
      </c>
      <c r="AZ1" s="11" t="s">
        <v>935</v>
      </c>
      <c r="BA1" s="11" t="s">
        <v>936</v>
      </c>
      <c r="BB1" s="11" t="s">
        <v>937</v>
      </c>
      <c r="BC1" s="11" t="s">
        <v>938</v>
      </c>
      <c r="BD1" s="11" t="s">
        <v>939</v>
      </c>
      <c r="BE1" s="11" t="s">
        <v>940</v>
      </c>
      <c r="BF1" s="11" t="s">
        <v>941</v>
      </c>
      <c r="BG1" s="11" t="s">
        <v>942</v>
      </c>
      <c r="BH1" s="11" t="s">
        <v>943</v>
      </c>
      <c r="BI1" s="11" t="s">
        <v>944</v>
      </c>
      <c r="BJ1" s="11" t="s">
        <v>945</v>
      </c>
      <c r="BK1" s="11" t="s">
        <v>710</v>
      </c>
      <c r="BL1" s="11" t="s">
        <v>711</v>
      </c>
      <c r="BM1" s="11" t="s">
        <v>712</v>
      </c>
      <c r="BN1" s="11" t="s">
        <v>713</v>
      </c>
      <c r="BO1" s="11" t="s">
        <v>714</v>
      </c>
      <c r="BP1" s="11" t="s">
        <v>715</v>
      </c>
      <c r="BQ1" s="11" t="s">
        <v>716</v>
      </c>
      <c r="BR1" s="11" t="s">
        <v>717</v>
      </c>
      <c r="BS1" s="11" t="s">
        <v>718</v>
      </c>
      <c r="BT1" s="12" t="s">
        <v>946</v>
      </c>
      <c r="BU1" s="12" t="s">
        <v>947</v>
      </c>
      <c r="BV1" s="12" t="s">
        <v>948</v>
      </c>
      <c r="BW1" s="12" t="s">
        <v>949</v>
      </c>
      <c r="BX1" s="12" t="s">
        <v>950</v>
      </c>
      <c r="BY1" s="12" t="s">
        <v>951</v>
      </c>
      <c r="BZ1" s="12" t="s">
        <v>952</v>
      </c>
      <c r="CA1" s="12" t="s">
        <v>953</v>
      </c>
      <c r="CB1" s="12" t="s">
        <v>954</v>
      </c>
      <c r="CC1" s="12" t="s">
        <v>955</v>
      </c>
      <c r="CD1" s="12" t="s">
        <v>956</v>
      </c>
      <c r="CE1" s="12" t="s">
        <v>957</v>
      </c>
      <c r="CF1" s="12" t="s">
        <v>958</v>
      </c>
      <c r="CG1" s="12" t="s">
        <v>959</v>
      </c>
      <c r="CH1" s="12" t="s">
        <v>960</v>
      </c>
      <c r="CI1" s="12" t="s">
        <v>961</v>
      </c>
      <c r="CJ1" s="12" t="s">
        <v>962</v>
      </c>
      <c r="CK1" s="12" t="s">
        <v>963</v>
      </c>
      <c r="CL1" s="12" t="s">
        <v>964</v>
      </c>
      <c r="CM1" s="12" t="s">
        <v>965</v>
      </c>
      <c r="CN1" s="12" t="s">
        <v>966</v>
      </c>
      <c r="CO1" s="12" t="s">
        <v>967</v>
      </c>
      <c r="CP1" s="12" t="s">
        <v>968</v>
      </c>
      <c r="CQ1" s="12" t="s">
        <v>969</v>
      </c>
      <c r="CR1" s="12" t="s">
        <v>970</v>
      </c>
      <c r="CS1" s="12" t="s">
        <v>971</v>
      </c>
      <c r="CT1" s="12" t="s">
        <v>719</v>
      </c>
      <c r="CU1" s="12" t="s">
        <v>972</v>
      </c>
      <c r="CV1" s="12" t="s">
        <v>973</v>
      </c>
      <c r="CW1" s="12" t="s">
        <v>974</v>
      </c>
      <c r="CX1" s="12" t="s">
        <v>975</v>
      </c>
      <c r="CY1" s="12" t="s">
        <v>976</v>
      </c>
      <c r="CZ1" s="12" t="s">
        <v>977</v>
      </c>
      <c r="DA1" s="12" t="s">
        <v>978</v>
      </c>
      <c r="DB1" s="12" t="s">
        <v>979</v>
      </c>
      <c r="DC1" s="12" t="s">
        <v>980</v>
      </c>
      <c r="DD1" s="12" t="s">
        <v>981</v>
      </c>
      <c r="DE1" s="12" t="s">
        <v>982</v>
      </c>
      <c r="DF1" s="12" t="s">
        <v>983</v>
      </c>
    </row>
    <row r="2" spans="1:110">
      <c r="A2" s="12" t="s">
        <v>742</v>
      </c>
      <c r="B2" s="12" t="s">
        <v>132</v>
      </c>
      <c r="C2" s="12" t="s">
        <v>144</v>
      </c>
      <c r="D2" s="12" t="s">
        <v>868</v>
      </c>
      <c r="E2" s="15">
        <v>2000</v>
      </c>
      <c r="F2" s="15">
        <v>65</v>
      </c>
      <c r="G2" s="12" t="s">
        <v>741</v>
      </c>
      <c r="H2" s="12" t="s">
        <v>984</v>
      </c>
      <c r="J2" s="12" t="s">
        <v>985</v>
      </c>
      <c r="K2" s="12" t="s">
        <v>986</v>
      </c>
      <c r="L2" s="12" t="s">
        <v>987</v>
      </c>
      <c r="M2" s="12" t="s">
        <v>988</v>
      </c>
      <c r="N2" s="12" t="str">
        <f t="shared" ref="N2:N13" si="0">IF(L2="","PENDING",IF(L2&lt;&gt;J2,"MISMATCH","VERIFIED"))</f>
        <v>MISMATCH</v>
      </c>
      <c r="O2" s="12" t="str">
        <f t="shared" ref="O2:O13" si="1">IF(N2="MISMATCH","SEAL_MISMATCH",IF(OR(K2="",M2=""),"PHOTO_MISSING",""))</f>
        <v>SEAL_MISMATCH</v>
      </c>
      <c r="Q2" s="12" t="e">
        <f ca="1">IF(O2="","",_xludf.CONCAT("Pickup:",J2," | Delivery:",L2," | Override:",IF(P2="","NONE",P2)))</f>
        <v>#NAME?</v>
      </c>
      <c r="R2" s="12" t="str">
        <f t="shared" ref="R2:R13" si="2">IF(O2="","CLEAR",IF(P2="","LOCKED","OVERRIDDEN"))</f>
        <v>LOCKED</v>
      </c>
      <c r="S2" s="12" t="s">
        <v>989</v>
      </c>
      <c r="T2" s="12" t="s">
        <v>745</v>
      </c>
      <c r="U2" s="12" t="s">
        <v>728</v>
      </c>
      <c r="V2" s="12" t="s">
        <v>990</v>
      </c>
      <c r="W2" s="12" t="s">
        <v>733</v>
      </c>
      <c r="X2" s="12" t="s">
        <v>984</v>
      </c>
      <c r="Y2" s="12" t="s">
        <v>991</v>
      </c>
      <c r="Z2" s="12" t="s">
        <v>992</v>
      </c>
      <c r="AA2" s="12" t="s">
        <v>993</v>
      </c>
      <c r="AB2" s="12" t="s">
        <v>994</v>
      </c>
      <c r="AC2" s="12" t="s">
        <v>995</v>
      </c>
      <c r="AD2" s="12" t="s">
        <v>996</v>
      </c>
      <c r="AE2" s="12" t="s">
        <v>997</v>
      </c>
      <c r="AF2" s="12" t="s">
        <v>998</v>
      </c>
      <c r="AG2" s="12" t="s">
        <v>999</v>
      </c>
      <c r="AH2" s="12" t="s">
        <v>1000</v>
      </c>
      <c r="AI2" s="12" t="s">
        <v>1001</v>
      </c>
      <c r="AJ2" s="12" t="s">
        <v>1002</v>
      </c>
      <c r="AK2" s="12" t="s">
        <v>1003</v>
      </c>
      <c r="AL2" s="12" t="s">
        <v>1004</v>
      </c>
      <c r="AM2" s="12" t="s">
        <v>354</v>
      </c>
      <c r="AN2" s="12" t="s">
        <v>360</v>
      </c>
      <c r="AO2" s="37">
        <v>45839.416666666657</v>
      </c>
      <c r="AP2" s="12" t="s">
        <v>1005</v>
      </c>
      <c r="AQ2" s="12" t="s">
        <v>1006</v>
      </c>
      <c r="AR2" s="12" t="s">
        <v>1007</v>
      </c>
      <c r="AS2" s="12" t="s">
        <v>1008</v>
      </c>
      <c r="AT2" s="37">
        <v>45842.75</v>
      </c>
      <c r="AU2" s="12" t="s">
        <v>1009</v>
      </c>
      <c r="AV2" s="38">
        <v>26024</v>
      </c>
      <c r="AW2" s="38">
        <v>19</v>
      </c>
      <c r="AX2" s="38">
        <v>456</v>
      </c>
      <c r="AY2" s="12" t="s">
        <v>1010</v>
      </c>
      <c r="AZ2" s="12" t="s">
        <v>1011</v>
      </c>
      <c r="BA2" s="12" t="s">
        <v>1012</v>
      </c>
      <c r="BB2" s="12" t="s">
        <v>745</v>
      </c>
      <c r="BC2" s="37">
        <v>45842.791666666657</v>
      </c>
      <c r="BD2" s="15">
        <v>315</v>
      </c>
      <c r="BE2" s="12" t="s">
        <v>1013</v>
      </c>
      <c r="BF2" s="37">
        <v>45839.421527777777</v>
      </c>
      <c r="BG2" s="37">
        <v>45842.757638888892</v>
      </c>
      <c r="BH2" s="12" t="s">
        <v>1014</v>
      </c>
      <c r="BI2" s="12" t="s">
        <v>1015</v>
      </c>
      <c r="BJ2" s="12" t="s">
        <v>1016</v>
      </c>
      <c r="BK2" s="12" t="s">
        <v>1016</v>
      </c>
      <c r="BL2" s="12" t="s">
        <v>1017</v>
      </c>
      <c r="BM2" s="12" t="s">
        <v>1016</v>
      </c>
      <c r="BN2" s="14"/>
      <c r="BO2" s="15">
        <v>0</v>
      </c>
      <c r="BP2" s="15">
        <v>500</v>
      </c>
      <c r="BQ2" s="12" t="s">
        <v>1016</v>
      </c>
      <c r="BR2" s="12" t="s">
        <v>738</v>
      </c>
      <c r="BS2" s="12" t="s">
        <v>1018</v>
      </c>
      <c r="BT2" s="12" t="s">
        <v>1019</v>
      </c>
      <c r="BU2" s="12" t="s">
        <v>1020</v>
      </c>
      <c r="BV2" s="14">
        <v>46204</v>
      </c>
      <c r="BW2" s="14">
        <v>46205</v>
      </c>
      <c r="BX2" s="12" t="s">
        <v>1021</v>
      </c>
      <c r="BY2" s="12" t="s">
        <v>1022</v>
      </c>
      <c r="BZ2" s="15">
        <v>2065</v>
      </c>
      <c r="CA2" s="15">
        <v>1640</v>
      </c>
      <c r="CB2" s="15">
        <v>240</v>
      </c>
      <c r="CC2" s="15">
        <v>0</v>
      </c>
      <c r="CD2" s="15">
        <v>120</v>
      </c>
      <c r="CE2" s="12">
        <v>240</v>
      </c>
      <c r="CF2" s="12" t="s">
        <v>1023</v>
      </c>
      <c r="CG2" s="12" t="s">
        <v>1024</v>
      </c>
      <c r="CH2" s="12" t="s">
        <v>1025</v>
      </c>
      <c r="CI2" s="12" t="s">
        <v>996</v>
      </c>
      <c r="CJ2" s="12" t="s">
        <v>1026</v>
      </c>
      <c r="CK2" s="12" t="s">
        <v>1027</v>
      </c>
      <c r="CL2" s="14">
        <v>46204</v>
      </c>
      <c r="CM2" s="12" t="s">
        <v>1027</v>
      </c>
      <c r="CN2" s="14">
        <v>46203</v>
      </c>
      <c r="CO2" s="12" t="s">
        <v>1028</v>
      </c>
      <c r="CP2" s="12" t="s">
        <v>1029</v>
      </c>
      <c r="CQ2" s="37">
        <v>46205.427083333343</v>
      </c>
      <c r="CR2" s="12" t="s">
        <v>1030</v>
      </c>
      <c r="CS2" s="12" t="s">
        <v>741</v>
      </c>
      <c r="CT2" s="12" t="s">
        <v>1031</v>
      </c>
      <c r="CU2" s="15">
        <v>0</v>
      </c>
      <c r="CV2" s="15">
        <v>0</v>
      </c>
      <c r="CW2" s="12" t="s">
        <v>1032</v>
      </c>
      <c r="CX2" s="12" t="s">
        <v>741</v>
      </c>
      <c r="CY2" s="12" t="s">
        <v>745</v>
      </c>
      <c r="CZ2" s="15">
        <v>2065</v>
      </c>
      <c r="DA2" s="15">
        <v>560</v>
      </c>
      <c r="DB2" s="12" t="s">
        <v>741</v>
      </c>
      <c r="DC2" s="12" t="s">
        <v>1016</v>
      </c>
      <c r="DD2" s="12" t="s">
        <v>1033</v>
      </c>
      <c r="DE2" s="12" t="s">
        <v>360</v>
      </c>
      <c r="DF2" s="12" t="s">
        <v>1008</v>
      </c>
    </row>
    <row r="3" spans="1:110">
      <c r="A3" s="12" t="s">
        <v>760</v>
      </c>
      <c r="B3" s="12" t="s">
        <v>133</v>
      </c>
      <c r="C3" s="12" t="s">
        <v>145</v>
      </c>
      <c r="D3" s="12" t="s">
        <v>780</v>
      </c>
      <c r="E3" s="15">
        <v>1800</v>
      </c>
      <c r="F3" s="15">
        <v>95</v>
      </c>
      <c r="G3" s="12" t="s">
        <v>741</v>
      </c>
      <c r="H3" s="12" t="s">
        <v>1034</v>
      </c>
      <c r="J3" s="12" t="s">
        <v>1035</v>
      </c>
      <c r="K3" s="12" t="s">
        <v>1036</v>
      </c>
      <c r="L3" s="12" t="s">
        <v>1035</v>
      </c>
      <c r="M3" s="12" t="s">
        <v>1037</v>
      </c>
      <c r="N3" s="12" t="str">
        <f t="shared" si="0"/>
        <v>VERIFIED</v>
      </c>
      <c r="O3" s="12" t="str">
        <f t="shared" si="1"/>
        <v/>
      </c>
      <c r="Q3" s="12" t="str">
        <f>IF(O3="","",_xludf.CONCAT("Pickup:",J3," | Delivery:",L3," | Override:",IF(P3="","NONE",P3)))</f>
        <v/>
      </c>
      <c r="R3" s="12" t="str">
        <f t="shared" si="2"/>
        <v>CLEAR</v>
      </c>
      <c r="S3" s="12" t="s">
        <v>1015</v>
      </c>
      <c r="T3" s="12" t="s">
        <v>741</v>
      </c>
      <c r="U3" s="12" t="s">
        <v>1038</v>
      </c>
      <c r="V3" s="12" t="s">
        <v>1039</v>
      </c>
      <c r="W3" s="12" t="s">
        <v>1040</v>
      </c>
      <c r="X3" s="12" t="s">
        <v>1034</v>
      </c>
      <c r="Y3" s="12" t="s">
        <v>1041</v>
      </c>
      <c r="Z3" s="12" t="s">
        <v>1042</v>
      </c>
      <c r="AA3" s="12" t="s">
        <v>1043</v>
      </c>
      <c r="AB3" s="12" t="s">
        <v>1044</v>
      </c>
      <c r="AC3" s="12" t="s">
        <v>783</v>
      </c>
      <c r="AD3" s="12" t="s">
        <v>1045</v>
      </c>
      <c r="AE3" s="12" t="s">
        <v>1046</v>
      </c>
      <c r="AF3" s="12" t="s">
        <v>1047</v>
      </c>
      <c r="AG3" s="12" t="s">
        <v>1048</v>
      </c>
      <c r="AH3" s="12" t="s">
        <v>1049</v>
      </c>
      <c r="AI3" s="12" t="s">
        <v>1050</v>
      </c>
      <c r="AJ3" s="12" t="s">
        <v>1051</v>
      </c>
      <c r="AK3" s="12" t="s">
        <v>1052</v>
      </c>
      <c r="AL3" s="12" t="s">
        <v>1053</v>
      </c>
      <c r="AM3" s="12" t="s">
        <v>352</v>
      </c>
      <c r="AN3" s="12" t="s">
        <v>358</v>
      </c>
      <c r="AO3" s="37">
        <v>45841.5</v>
      </c>
      <c r="AP3" s="12" t="s">
        <v>1054</v>
      </c>
      <c r="AQ3" s="12" t="s">
        <v>1055</v>
      </c>
      <c r="AR3" s="12" t="s">
        <v>1056</v>
      </c>
      <c r="AS3" s="12" t="s">
        <v>1057</v>
      </c>
      <c r="AT3" s="37">
        <v>45845.083333333343</v>
      </c>
      <c r="AU3" s="12" t="s">
        <v>1058</v>
      </c>
      <c r="AV3" s="38">
        <v>40981</v>
      </c>
      <c r="AW3" s="38">
        <v>25</v>
      </c>
      <c r="AX3" s="38">
        <v>675</v>
      </c>
      <c r="AY3" s="12" t="s">
        <v>1059</v>
      </c>
      <c r="AZ3" s="12" t="s">
        <v>1060</v>
      </c>
      <c r="BA3" s="12" t="s">
        <v>1061</v>
      </c>
      <c r="BB3" s="12" t="s">
        <v>1040</v>
      </c>
      <c r="BC3" s="37">
        <v>46207.458333333343</v>
      </c>
      <c r="BD3" s="15">
        <v>0</v>
      </c>
      <c r="BE3" s="12" t="s">
        <v>1062</v>
      </c>
      <c r="BF3" s="37">
        <v>45841.522222222222</v>
      </c>
      <c r="BG3" s="37">
        <v>46207.416666666657</v>
      </c>
      <c r="BH3" s="12" t="s">
        <v>1063</v>
      </c>
      <c r="BI3" s="12" t="s">
        <v>1064</v>
      </c>
      <c r="BJ3" s="12" t="s">
        <v>1016</v>
      </c>
      <c r="BK3" s="12" t="s">
        <v>1016</v>
      </c>
      <c r="BL3" s="12" t="s">
        <v>1017</v>
      </c>
      <c r="BM3" s="12" t="s">
        <v>1016</v>
      </c>
      <c r="BN3" s="14"/>
      <c r="BO3" s="15">
        <v>0</v>
      </c>
      <c r="BP3" s="15">
        <v>500</v>
      </c>
      <c r="BQ3" s="12" t="s">
        <v>1016</v>
      </c>
      <c r="BR3" s="12" t="s">
        <v>772</v>
      </c>
      <c r="BS3" s="12" t="s">
        <v>1065</v>
      </c>
      <c r="BT3" s="12" t="s">
        <v>1066</v>
      </c>
      <c r="BU3" s="12" t="s">
        <v>1067</v>
      </c>
      <c r="BV3" s="14">
        <v>46206</v>
      </c>
      <c r="BW3" s="14">
        <v>46207</v>
      </c>
      <c r="BX3" s="12" t="s">
        <v>1068</v>
      </c>
      <c r="BY3" s="12" t="s">
        <v>1069</v>
      </c>
      <c r="BZ3" s="15">
        <v>1895</v>
      </c>
      <c r="CA3" s="15">
        <v>1476</v>
      </c>
      <c r="CB3" s="15">
        <v>216</v>
      </c>
      <c r="CC3" s="15">
        <v>50</v>
      </c>
      <c r="CD3" s="15">
        <v>58</v>
      </c>
      <c r="CE3" s="12">
        <v>297</v>
      </c>
      <c r="CF3" s="12" t="s">
        <v>1070</v>
      </c>
      <c r="CG3" s="12" t="s">
        <v>1071</v>
      </c>
      <c r="CH3" s="12" t="s">
        <v>1040</v>
      </c>
      <c r="CI3" s="12" t="s">
        <v>1045</v>
      </c>
      <c r="CJ3" s="12" t="s">
        <v>1072</v>
      </c>
      <c r="CK3" s="12" t="s">
        <v>1027</v>
      </c>
      <c r="CL3" s="14">
        <v>46206</v>
      </c>
      <c r="CM3" s="12" t="s">
        <v>1027</v>
      </c>
      <c r="CN3" s="14">
        <v>46205</v>
      </c>
      <c r="CO3" s="12" t="s">
        <v>1073</v>
      </c>
      <c r="CP3" s="12" t="s">
        <v>1074</v>
      </c>
      <c r="CQ3" s="37">
        <v>46207.427083333343</v>
      </c>
      <c r="CR3" s="12" t="s">
        <v>1075</v>
      </c>
      <c r="CS3" s="12" t="s">
        <v>741</v>
      </c>
      <c r="CT3" s="12" t="s">
        <v>1031</v>
      </c>
      <c r="CU3" s="15">
        <v>0</v>
      </c>
      <c r="CV3" s="15">
        <v>0</v>
      </c>
      <c r="CW3" s="12" t="s">
        <v>770</v>
      </c>
      <c r="CX3" s="12" t="s">
        <v>741</v>
      </c>
      <c r="CY3" s="12" t="s">
        <v>745</v>
      </c>
      <c r="CZ3" s="15">
        <v>1895</v>
      </c>
      <c r="DA3" s="15">
        <v>504</v>
      </c>
      <c r="DB3" s="12" t="s">
        <v>741</v>
      </c>
      <c r="DC3" s="12" t="s">
        <v>1016</v>
      </c>
      <c r="DD3" s="12" t="s">
        <v>1033</v>
      </c>
      <c r="DE3" s="12" t="s">
        <v>358</v>
      </c>
      <c r="DF3" s="12" t="s">
        <v>1057</v>
      </c>
    </row>
    <row r="4" spans="1:110">
      <c r="A4" s="12" t="s">
        <v>775</v>
      </c>
      <c r="B4" s="12" t="s">
        <v>134</v>
      </c>
      <c r="C4" s="12" t="s">
        <v>146</v>
      </c>
      <c r="D4" s="12" t="s">
        <v>873</v>
      </c>
      <c r="E4" s="15">
        <v>2100</v>
      </c>
      <c r="F4" s="15">
        <v>45</v>
      </c>
      <c r="G4" s="12" t="s">
        <v>741</v>
      </c>
      <c r="H4" s="12" t="s">
        <v>984</v>
      </c>
      <c r="J4" s="12" t="s">
        <v>1076</v>
      </c>
      <c r="K4" s="12" t="s">
        <v>1077</v>
      </c>
      <c r="N4" s="12" t="str">
        <f t="shared" si="0"/>
        <v>PENDING</v>
      </c>
      <c r="O4" s="12" t="str">
        <f t="shared" si="1"/>
        <v>PHOTO_MISSING</v>
      </c>
      <c r="Q4" s="12" t="e">
        <f ca="1">IF(O4="","",_xludf.CONCAT("Pickup:",J4," | Delivery:",L4," | Override:",IF(P4="","NONE",P4)))</f>
        <v>#NAME?</v>
      </c>
      <c r="R4" s="12" t="str">
        <f t="shared" si="2"/>
        <v>LOCKED</v>
      </c>
      <c r="S4" s="12" t="s">
        <v>1078</v>
      </c>
      <c r="T4" s="12" t="s">
        <v>745</v>
      </c>
      <c r="U4" s="12" t="s">
        <v>728</v>
      </c>
      <c r="V4" s="12" t="s">
        <v>1079</v>
      </c>
      <c r="W4" s="12" t="s">
        <v>733</v>
      </c>
      <c r="X4" s="12" t="s">
        <v>984</v>
      </c>
      <c r="Y4" s="12" t="s">
        <v>1080</v>
      </c>
      <c r="Z4" s="12" t="s">
        <v>1081</v>
      </c>
      <c r="AA4" s="12" t="s">
        <v>1082</v>
      </c>
      <c r="AB4" s="12" t="s">
        <v>1083</v>
      </c>
      <c r="AC4" s="12" t="s">
        <v>1084</v>
      </c>
      <c r="AD4" s="12" t="s">
        <v>1085</v>
      </c>
      <c r="AE4" s="12" t="s">
        <v>1086</v>
      </c>
      <c r="AF4" s="12" t="s">
        <v>1087</v>
      </c>
      <c r="AG4" s="12" t="s">
        <v>1088</v>
      </c>
      <c r="AH4" s="12" t="s">
        <v>1089</v>
      </c>
      <c r="AI4" s="12" t="s">
        <v>1090</v>
      </c>
      <c r="AJ4" s="12" t="s">
        <v>1091</v>
      </c>
      <c r="AK4" s="12" t="s">
        <v>1092</v>
      </c>
      <c r="AL4" s="12" t="s">
        <v>1093</v>
      </c>
      <c r="AM4" s="12" t="s">
        <v>355</v>
      </c>
      <c r="AN4" s="12" t="s">
        <v>358</v>
      </c>
      <c r="AO4" s="37">
        <v>45843.625</v>
      </c>
      <c r="AP4" s="12" t="s">
        <v>1094</v>
      </c>
      <c r="AQ4" s="12" t="s">
        <v>1095</v>
      </c>
      <c r="AR4" s="12" t="s">
        <v>1096</v>
      </c>
      <c r="AS4" s="12" t="s">
        <v>1097</v>
      </c>
      <c r="AT4" s="37">
        <v>45845.041666666657</v>
      </c>
      <c r="AU4" s="12" t="s">
        <v>1098</v>
      </c>
      <c r="AV4" s="38">
        <v>21169</v>
      </c>
      <c r="AW4" s="38">
        <v>23</v>
      </c>
      <c r="AX4" s="38">
        <v>1081</v>
      </c>
      <c r="AY4" s="12" t="s">
        <v>1099</v>
      </c>
      <c r="AZ4" s="12" t="s">
        <v>1100</v>
      </c>
      <c r="BA4" s="12" t="s">
        <v>1101</v>
      </c>
      <c r="BB4" s="12" t="s">
        <v>745</v>
      </c>
      <c r="BC4" s="37">
        <v>45845.083333333343</v>
      </c>
      <c r="BD4" s="15">
        <v>240</v>
      </c>
      <c r="BE4" s="12" t="s">
        <v>1102</v>
      </c>
      <c r="BF4" s="37">
        <v>45843.633333333331</v>
      </c>
      <c r="BG4" s="37">
        <v>45845.089583333327</v>
      </c>
      <c r="BH4" s="12" t="s">
        <v>1103</v>
      </c>
      <c r="BI4" s="12" t="s">
        <v>1015</v>
      </c>
      <c r="BJ4" s="12" t="s">
        <v>1104</v>
      </c>
      <c r="BK4" s="12" t="s">
        <v>1105</v>
      </c>
      <c r="BL4" s="12" t="s">
        <v>1106</v>
      </c>
      <c r="BM4" s="12" t="s">
        <v>1107</v>
      </c>
      <c r="BN4" s="14">
        <v>46209</v>
      </c>
      <c r="BO4" s="15">
        <v>2500</v>
      </c>
      <c r="BP4" s="15">
        <v>500</v>
      </c>
      <c r="BQ4" s="12" t="s">
        <v>1108</v>
      </c>
      <c r="BR4" s="12" t="s">
        <v>1109</v>
      </c>
      <c r="BS4" s="12" t="s">
        <v>1110</v>
      </c>
      <c r="BT4" s="12" t="s">
        <v>1111</v>
      </c>
      <c r="BU4" s="12" t="s">
        <v>1112</v>
      </c>
      <c r="BV4" s="14">
        <v>46208</v>
      </c>
      <c r="BW4" s="14">
        <v>46209</v>
      </c>
      <c r="BX4" s="12" t="s">
        <v>1113</v>
      </c>
      <c r="BY4" s="12" t="s">
        <v>1114</v>
      </c>
      <c r="BZ4" s="15">
        <v>2145</v>
      </c>
      <c r="CA4" s="15">
        <v>1722</v>
      </c>
      <c r="CB4" s="15">
        <v>252</v>
      </c>
      <c r="CC4" s="15">
        <v>75</v>
      </c>
      <c r="CD4" s="15">
        <v>51</v>
      </c>
      <c r="CE4" s="12">
        <v>354</v>
      </c>
      <c r="CF4" s="12" t="s">
        <v>1115</v>
      </c>
      <c r="CG4" s="12" t="s">
        <v>1116</v>
      </c>
      <c r="CH4" s="12" t="s">
        <v>1025</v>
      </c>
      <c r="CI4" s="12" t="s">
        <v>1085</v>
      </c>
      <c r="CJ4" s="12" t="s">
        <v>1117</v>
      </c>
      <c r="CK4" s="12" t="s">
        <v>1118</v>
      </c>
      <c r="CL4" s="14">
        <v>46208</v>
      </c>
      <c r="CM4" s="12" t="s">
        <v>1027</v>
      </c>
      <c r="CN4" s="14">
        <v>46207</v>
      </c>
      <c r="CO4" s="12" t="s">
        <v>1119</v>
      </c>
      <c r="CP4" s="12" t="s">
        <v>1120</v>
      </c>
      <c r="CQ4" s="37">
        <v>46209.427083333343</v>
      </c>
      <c r="CR4" s="12" t="s">
        <v>1121</v>
      </c>
      <c r="CS4" s="12" t="s">
        <v>745</v>
      </c>
      <c r="CT4" s="12" t="s">
        <v>1031</v>
      </c>
      <c r="CU4" s="15">
        <v>2125</v>
      </c>
      <c r="CV4" s="15">
        <v>2500</v>
      </c>
      <c r="CW4" s="12" t="s">
        <v>1122</v>
      </c>
      <c r="CX4" s="12" t="s">
        <v>745</v>
      </c>
      <c r="CY4" s="12" t="s">
        <v>741</v>
      </c>
      <c r="CZ4" s="15">
        <v>2145</v>
      </c>
      <c r="DA4" s="15">
        <v>588</v>
      </c>
      <c r="DB4" s="12" t="s">
        <v>745</v>
      </c>
      <c r="DC4" s="12" t="s">
        <v>1123</v>
      </c>
      <c r="DD4" s="12" t="s">
        <v>1124</v>
      </c>
      <c r="DE4" s="12" t="s">
        <v>358</v>
      </c>
      <c r="DF4" s="12" t="s">
        <v>1097</v>
      </c>
    </row>
    <row r="5" spans="1:110">
      <c r="A5" s="12" t="s">
        <v>785</v>
      </c>
      <c r="B5" s="12" t="s">
        <v>135</v>
      </c>
      <c r="C5" s="12" t="s">
        <v>147</v>
      </c>
      <c r="D5" s="12" t="s">
        <v>764</v>
      </c>
      <c r="E5" s="15">
        <v>1950</v>
      </c>
      <c r="F5" s="15">
        <v>88</v>
      </c>
      <c r="G5" s="12" t="s">
        <v>745</v>
      </c>
      <c r="H5" s="12" t="s">
        <v>1040</v>
      </c>
      <c r="I5" s="12" t="s">
        <v>1125</v>
      </c>
      <c r="J5" s="12" t="s">
        <v>1126</v>
      </c>
      <c r="K5" s="12" t="s">
        <v>1127</v>
      </c>
      <c r="L5" s="12" t="s">
        <v>1128</v>
      </c>
      <c r="M5" s="12" t="s">
        <v>1129</v>
      </c>
      <c r="N5" s="12" t="str">
        <f t="shared" si="0"/>
        <v>MISMATCH</v>
      </c>
      <c r="O5" s="12" t="str">
        <f t="shared" si="1"/>
        <v>SEAL_MISMATCH</v>
      </c>
      <c r="P5" s="12" t="s">
        <v>1130</v>
      </c>
      <c r="Q5" s="12" t="e">
        <f ca="1">IF(O5="","",_xludf.CONCAT("Pickup:",J5," | Delivery:",L5," | Override:",IF(P5="","NONE",P5)))</f>
        <v>#NAME?</v>
      </c>
      <c r="R5" s="12" t="str">
        <f t="shared" si="2"/>
        <v>OVERRIDDEN</v>
      </c>
      <c r="S5" s="12" t="s">
        <v>989</v>
      </c>
      <c r="T5" s="12" t="s">
        <v>745</v>
      </c>
      <c r="U5" s="12" t="s">
        <v>728</v>
      </c>
      <c r="V5" s="12" t="s">
        <v>1131</v>
      </c>
      <c r="W5" s="12" t="s">
        <v>1040</v>
      </c>
      <c r="X5" s="12" t="s">
        <v>1040</v>
      </c>
      <c r="Y5" s="12" t="s">
        <v>1132</v>
      </c>
      <c r="Z5" s="12" t="s">
        <v>1133</v>
      </c>
      <c r="AA5" s="12" t="s">
        <v>1134</v>
      </c>
      <c r="AB5" s="12" t="s">
        <v>1135</v>
      </c>
      <c r="AC5" s="12" t="s">
        <v>767</v>
      </c>
      <c r="AD5" s="12" t="s">
        <v>1136</v>
      </c>
      <c r="AE5" s="12" t="s">
        <v>1137</v>
      </c>
      <c r="AF5" s="12" t="s">
        <v>1138</v>
      </c>
      <c r="AG5" s="12" t="s">
        <v>1139</v>
      </c>
      <c r="AH5" s="12" t="s">
        <v>1140</v>
      </c>
      <c r="AI5" s="12" t="s">
        <v>1141</v>
      </c>
      <c r="AJ5" s="12" t="s">
        <v>1142</v>
      </c>
      <c r="AK5" s="12" t="s">
        <v>1143</v>
      </c>
      <c r="AL5" s="12" t="s">
        <v>1144</v>
      </c>
      <c r="AM5" s="12" t="s">
        <v>1145</v>
      </c>
      <c r="AN5" s="12" t="s">
        <v>1146</v>
      </c>
      <c r="AO5" s="37">
        <v>45845.708333333343</v>
      </c>
      <c r="AP5" s="12" t="s">
        <v>1147</v>
      </c>
      <c r="AQ5" s="12" t="s">
        <v>1148</v>
      </c>
      <c r="AR5" s="12" t="s">
        <v>1149</v>
      </c>
      <c r="AS5" s="12" t="s">
        <v>360</v>
      </c>
      <c r="AT5" s="37">
        <v>45848.916666666657</v>
      </c>
      <c r="AU5" s="12" t="s">
        <v>1150</v>
      </c>
      <c r="AV5" s="38">
        <v>19501</v>
      </c>
      <c r="AW5" s="38">
        <v>19</v>
      </c>
      <c r="AX5" s="38">
        <v>836</v>
      </c>
      <c r="AY5" s="12" t="s">
        <v>1151</v>
      </c>
      <c r="AZ5" s="12" t="s">
        <v>1152</v>
      </c>
      <c r="BA5" s="12" t="s">
        <v>1153</v>
      </c>
      <c r="BB5" s="12" t="s">
        <v>741</v>
      </c>
      <c r="BC5" s="37">
        <v>46211.458333333343</v>
      </c>
      <c r="BD5" s="15">
        <v>0</v>
      </c>
      <c r="BE5" s="12" t="s">
        <v>1154</v>
      </c>
      <c r="BF5" s="37">
        <v>45845.723611111112</v>
      </c>
      <c r="BG5" s="37">
        <v>46211.416666666657</v>
      </c>
      <c r="BH5" s="12" t="s">
        <v>1155</v>
      </c>
      <c r="BI5" s="12" t="s">
        <v>1015</v>
      </c>
      <c r="BJ5" s="12" t="s">
        <v>1156</v>
      </c>
      <c r="BK5" s="12" t="s">
        <v>1157</v>
      </c>
      <c r="BL5" s="12" t="s">
        <v>1158</v>
      </c>
      <c r="BM5" s="12" t="s">
        <v>1159</v>
      </c>
      <c r="BN5" s="14">
        <v>45845</v>
      </c>
      <c r="BO5" s="15">
        <v>9110.39</v>
      </c>
      <c r="BP5" s="15">
        <v>1500</v>
      </c>
      <c r="BQ5" s="12" t="s">
        <v>771</v>
      </c>
      <c r="BR5" s="12" t="s">
        <v>1160</v>
      </c>
      <c r="BS5" s="12" t="s">
        <v>1161</v>
      </c>
      <c r="BT5" s="12" t="s">
        <v>1162</v>
      </c>
      <c r="BU5" s="12" t="s">
        <v>1163</v>
      </c>
      <c r="BV5" s="14">
        <v>46210</v>
      </c>
      <c r="BW5" s="14">
        <v>46211</v>
      </c>
      <c r="BX5" s="12" t="s">
        <v>1021</v>
      </c>
      <c r="BY5" s="12" t="s">
        <v>1022</v>
      </c>
      <c r="BZ5" s="15">
        <v>2038</v>
      </c>
      <c r="CA5" s="15">
        <v>1599</v>
      </c>
      <c r="CB5" s="15">
        <v>234</v>
      </c>
      <c r="CC5" s="15">
        <v>0</v>
      </c>
      <c r="CD5" s="15">
        <v>117</v>
      </c>
      <c r="CE5" s="12">
        <v>411</v>
      </c>
      <c r="CF5" s="12" t="s">
        <v>1164</v>
      </c>
      <c r="CG5" s="12" t="s">
        <v>1165</v>
      </c>
      <c r="CH5" s="12" t="s">
        <v>1025</v>
      </c>
      <c r="CI5" s="12" t="s">
        <v>1136</v>
      </c>
      <c r="CJ5" s="12" t="s">
        <v>1166</v>
      </c>
      <c r="CK5" s="12" t="s">
        <v>1027</v>
      </c>
      <c r="CL5" s="14">
        <v>46210</v>
      </c>
      <c r="CM5" s="12" t="s">
        <v>1027</v>
      </c>
      <c r="CN5" s="14">
        <v>46209</v>
      </c>
      <c r="CO5" s="12" t="s">
        <v>1167</v>
      </c>
      <c r="CP5" s="12" t="s">
        <v>1168</v>
      </c>
      <c r="CQ5" s="37">
        <v>46211.427083333343</v>
      </c>
      <c r="CR5" s="12" t="s">
        <v>1169</v>
      </c>
      <c r="CS5" s="12" t="s">
        <v>745</v>
      </c>
      <c r="CT5" s="12" t="s">
        <v>1170</v>
      </c>
      <c r="CU5" s="15">
        <v>7743.8314999999993</v>
      </c>
      <c r="CV5" s="15">
        <v>7610.3899999999994</v>
      </c>
      <c r="CW5" s="12" t="s">
        <v>1032</v>
      </c>
      <c r="CX5" s="12" t="s">
        <v>745</v>
      </c>
      <c r="CY5" s="12" t="s">
        <v>745</v>
      </c>
      <c r="CZ5" s="15">
        <v>2038</v>
      </c>
      <c r="DA5" s="15">
        <v>546</v>
      </c>
      <c r="DB5" s="12" t="s">
        <v>741</v>
      </c>
      <c r="DC5" s="12" t="s">
        <v>1016</v>
      </c>
      <c r="DD5" s="12" t="s">
        <v>1033</v>
      </c>
      <c r="DE5" s="12" t="s">
        <v>1146</v>
      </c>
      <c r="DF5" s="12" t="s">
        <v>360</v>
      </c>
    </row>
    <row r="6" spans="1:110">
      <c r="A6" s="12" t="s">
        <v>1171</v>
      </c>
      <c r="B6" s="12" t="s">
        <v>136</v>
      </c>
      <c r="C6" s="12" t="s">
        <v>148</v>
      </c>
      <c r="D6" s="12" t="s">
        <v>870</v>
      </c>
      <c r="E6" s="15">
        <v>2200</v>
      </c>
      <c r="F6" s="15">
        <v>45</v>
      </c>
      <c r="G6" s="12" t="s">
        <v>741</v>
      </c>
      <c r="H6" s="12" t="s">
        <v>984</v>
      </c>
      <c r="J6" s="12" t="s">
        <v>1172</v>
      </c>
      <c r="K6" s="12" t="s">
        <v>1173</v>
      </c>
      <c r="L6" s="12" t="s">
        <v>1172</v>
      </c>
      <c r="M6" s="12" t="s">
        <v>1174</v>
      </c>
      <c r="N6" s="12" t="str">
        <f t="shared" si="0"/>
        <v>VERIFIED</v>
      </c>
      <c r="O6" s="12" t="str">
        <f t="shared" si="1"/>
        <v/>
      </c>
      <c r="Q6" s="12" t="str">
        <f>IF(O6="","",_xludf.CONCAT("Pickup:",J6," | Delivery:",L6," | Override:",IF(P6="","NONE",P6)))</f>
        <v/>
      </c>
      <c r="R6" s="12" t="str">
        <f t="shared" si="2"/>
        <v>CLEAR</v>
      </c>
      <c r="S6" s="12" t="s">
        <v>1015</v>
      </c>
      <c r="T6" s="12" t="s">
        <v>741</v>
      </c>
      <c r="U6" s="12" t="s">
        <v>1038</v>
      </c>
      <c r="V6" s="12" t="s">
        <v>1175</v>
      </c>
      <c r="W6" s="12" t="s">
        <v>733</v>
      </c>
      <c r="X6" s="12" t="s">
        <v>984</v>
      </c>
      <c r="Y6" s="12" t="s">
        <v>1176</v>
      </c>
      <c r="Z6" s="12" t="s">
        <v>1177</v>
      </c>
      <c r="AA6" s="12" t="s">
        <v>1178</v>
      </c>
      <c r="AB6" s="12" t="s">
        <v>1179</v>
      </c>
      <c r="AC6" s="12" t="s">
        <v>1180</v>
      </c>
      <c r="AD6" s="12" t="s">
        <v>1181</v>
      </c>
      <c r="AE6" s="12" t="s">
        <v>1182</v>
      </c>
      <c r="AF6" s="12" t="s">
        <v>1183</v>
      </c>
      <c r="AG6" s="12" t="s">
        <v>1184</v>
      </c>
      <c r="AH6" s="12" t="s">
        <v>1185</v>
      </c>
      <c r="AI6" s="12" t="s">
        <v>1186</v>
      </c>
      <c r="AJ6" s="12" t="s">
        <v>1187</v>
      </c>
      <c r="AK6" s="12" t="s">
        <v>1188</v>
      </c>
      <c r="AL6" s="12" t="s">
        <v>1189</v>
      </c>
      <c r="AM6" s="12" t="s">
        <v>356</v>
      </c>
      <c r="AN6" s="12" t="s">
        <v>361</v>
      </c>
      <c r="AO6" s="37">
        <v>45847.583333333343</v>
      </c>
      <c r="AP6" s="12" t="s">
        <v>1190</v>
      </c>
      <c r="AQ6" s="12" t="s">
        <v>1191</v>
      </c>
      <c r="AR6" s="12" t="s">
        <v>353</v>
      </c>
      <c r="AS6" s="12" t="s">
        <v>359</v>
      </c>
      <c r="AT6" s="37">
        <v>45850</v>
      </c>
      <c r="AU6" s="12" t="s">
        <v>1192</v>
      </c>
      <c r="AV6" s="38">
        <v>26845</v>
      </c>
      <c r="AW6" s="38">
        <v>19</v>
      </c>
      <c r="AX6" s="38">
        <v>779</v>
      </c>
      <c r="AY6" s="12" t="s">
        <v>1193</v>
      </c>
      <c r="AZ6" s="12" t="s">
        <v>1194</v>
      </c>
      <c r="BA6" s="12" t="s">
        <v>1195</v>
      </c>
      <c r="BB6" s="12" t="s">
        <v>745</v>
      </c>
      <c r="BC6" s="37">
        <v>45850.083333333343</v>
      </c>
      <c r="BD6" s="15">
        <v>0</v>
      </c>
      <c r="BE6" s="12" t="s">
        <v>1196</v>
      </c>
      <c r="BF6" s="37">
        <v>45847.604166666657</v>
      </c>
      <c r="BG6" s="37">
        <v>45850.018750000003</v>
      </c>
      <c r="BH6" s="12" t="s">
        <v>1197</v>
      </c>
      <c r="BI6" s="12" t="s">
        <v>1015</v>
      </c>
      <c r="BJ6" s="12" t="s">
        <v>1016</v>
      </c>
      <c r="BK6" s="12" t="s">
        <v>1198</v>
      </c>
      <c r="BL6" s="12" t="s">
        <v>1199</v>
      </c>
      <c r="BM6" s="12" t="s">
        <v>1159</v>
      </c>
      <c r="BN6" s="14">
        <v>46213</v>
      </c>
      <c r="BO6" s="15">
        <v>750</v>
      </c>
      <c r="BP6" s="15">
        <v>500</v>
      </c>
      <c r="BQ6" s="12" t="s">
        <v>1200</v>
      </c>
      <c r="BR6" s="12" t="s">
        <v>1201</v>
      </c>
      <c r="BS6" s="12" t="s">
        <v>1202</v>
      </c>
      <c r="BT6" s="12" t="s">
        <v>1203</v>
      </c>
      <c r="BU6" s="12" t="s">
        <v>1204</v>
      </c>
      <c r="BV6" s="14">
        <v>46212</v>
      </c>
      <c r="BW6" s="14">
        <v>46213</v>
      </c>
      <c r="BX6" s="12" t="s">
        <v>1068</v>
      </c>
      <c r="BY6" s="12" t="s">
        <v>1069</v>
      </c>
      <c r="BZ6" s="15">
        <v>2245</v>
      </c>
      <c r="CA6" s="15">
        <v>1804</v>
      </c>
      <c r="CB6" s="15">
        <v>264</v>
      </c>
      <c r="CC6" s="15">
        <v>25</v>
      </c>
      <c r="CD6" s="15">
        <v>107</v>
      </c>
      <c r="CE6" s="12">
        <v>468</v>
      </c>
      <c r="CF6" s="12" t="s">
        <v>1205</v>
      </c>
      <c r="CG6" s="12" t="s">
        <v>1206</v>
      </c>
      <c r="CH6" s="12" t="s">
        <v>1040</v>
      </c>
      <c r="CI6" s="12" t="s">
        <v>1181</v>
      </c>
      <c r="CJ6" s="12" t="s">
        <v>1026</v>
      </c>
      <c r="CK6" s="12" t="s">
        <v>1027</v>
      </c>
      <c r="CL6" s="14">
        <v>46212</v>
      </c>
      <c r="CM6" s="12" t="s">
        <v>1027</v>
      </c>
      <c r="CN6" s="14">
        <v>46211</v>
      </c>
      <c r="CO6" s="12" t="s">
        <v>1207</v>
      </c>
      <c r="CP6" s="12" t="s">
        <v>1208</v>
      </c>
      <c r="CQ6" s="37">
        <v>46213.427083333343</v>
      </c>
      <c r="CR6" s="12" t="s">
        <v>1209</v>
      </c>
      <c r="CS6" s="12" t="s">
        <v>745</v>
      </c>
      <c r="CT6" s="12" t="s">
        <v>1210</v>
      </c>
      <c r="CU6" s="15">
        <v>637.5</v>
      </c>
      <c r="CV6" s="15">
        <v>750</v>
      </c>
      <c r="CW6" s="12" t="s">
        <v>770</v>
      </c>
      <c r="CX6" s="12" t="s">
        <v>745</v>
      </c>
      <c r="CY6" s="12" t="s">
        <v>745</v>
      </c>
      <c r="CZ6" s="15">
        <v>2245</v>
      </c>
      <c r="DA6" s="15">
        <v>616</v>
      </c>
      <c r="DB6" s="12" t="s">
        <v>741</v>
      </c>
      <c r="DC6" s="12" t="s">
        <v>1016</v>
      </c>
      <c r="DD6" s="12" t="s">
        <v>1033</v>
      </c>
      <c r="DE6" s="12" t="s">
        <v>361</v>
      </c>
      <c r="DF6" s="12" t="s">
        <v>359</v>
      </c>
    </row>
    <row r="7" spans="1:110">
      <c r="A7" s="12" t="s">
        <v>1211</v>
      </c>
      <c r="B7" s="12" t="s">
        <v>137</v>
      </c>
      <c r="C7" s="12" t="s">
        <v>149</v>
      </c>
      <c r="D7" s="12" t="s">
        <v>869</v>
      </c>
      <c r="E7" s="15">
        <v>2050</v>
      </c>
      <c r="F7" s="15">
        <v>72</v>
      </c>
      <c r="G7" s="12" t="s">
        <v>745</v>
      </c>
      <c r="H7" s="12" t="s">
        <v>984</v>
      </c>
      <c r="J7" s="12" t="s">
        <v>1212</v>
      </c>
      <c r="K7" s="12" t="s">
        <v>1213</v>
      </c>
      <c r="N7" s="12" t="str">
        <f t="shared" si="0"/>
        <v>PENDING</v>
      </c>
      <c r="O7" s="12" t="str">
        <f t="shared" si="1"/>
        <v>PHOTO_MISSING</v>
      </c>
      <c r="Q7" s="12" t="e">
        <f ca="1">IF(O7="","",_xludf.CONCAT("Pickup:",J7," | Delivery:",L7," | Override:",IF(P7="","NONE",P7)))</f>
        <v>#NAME?</v>
      </c>
      <c r="R7" s="12" t="str">
        <f t="shared" si="2"/>
        <v>LOCKED</v>
      </c>
      <c r="S7" s="12" t="s">
        <v>1078</v>
      </c>
      <c r="T7" s="12" t="s">
        <v>745</v>
      </c>
      <c r="U7" s="12" t="s">
        <v>728</v>
      </c>
      <c r="V7" s="12" t="s">
        <v>1214</v>
      </c>
      <c r="W7" s="12" t="s">
        <v>733</v>
      </c>
      <c r="X7" s="12" t="s">
        <v>984</v>
      </c>
      <c r="Y7" s="12" t="s">
        <v>1215</v>
      </c>
      <c r="Z7" s="12" t="s">
        <v>1216</v>
      </c>
      <c r="AA7" s="12" t="s">
        <v>1217</v>
      </c>
      <c r="AB7" s="12" t="s">
        <v>1218</v>
      </c>
      <c r="AC7" s="12" t="s">
        <v>752</v>
      </c>
      <c r="AD7" s="12" t="s">
        <v>1219</v>
      </c>
      <c r="AE7" s="12" t="s">
        <v>1220</v>
      </c>
      <c r="AF7" s="12" t="s">
        <v>1221</v>
      </c>
      <c r="AG7" s="12" t="s">
        <v>1222</v>
      </c>
      <c r="AH7" s="12" t="s">
        <v>1000</v>
      </c>
      <c r="AI7" s="12" t="s">
        <v>1001</v>
      </c>
      <c r="AJ7" s="12" t="s">
        <v>1002</v>
      </c>
      <c r="AK7" s="12" t="s">
        <v>1223</v>
      </c>
      <c r="AL7" s="12" t="s">
        <v>1224</v>
      </c>
      <c r="AM7" s="12" t="s">
        <v>1225</v>
      </c>
      <c r="AN7" s="12" t="s">
        <v>1226</v>
      </c>
      <c r="AO7" s="37">
        <v>45849.708333333343</v>
      </c>
      <c r="AP7" s="12" t="s">
        <v>1227</v>
      </c>
      <c r="AQ7" s="12" t="s">
        <v>1228</v>
      </c>
      <c r="AR7" s="12" t="s">
        <v>1229</v>
      </c>
      <c r="AS7" s="12" t="s">
        <v>1230</v>
      </c>
      <c r="AT7" s="37">
        <v>45853.166666666657</v>
      </c>
      <c r="AU7" s="12" t="s">
        <v>1231</v>
      </c>
      <c r="AV7" s="38">
        <v>30964</v>
      </c>
      <c r="AW7" s="38">
        <v>26</v>
      </c>
      <c r="AX7" s="38">
        <v>624</v>
      </c>
      <c r="AY7" s="12" t="s">
        <v>1232</v>
      </c>
      <c r="AZ7" s="12" t="s">
        <v>1233</v>
      </c>
      <c r="BA7" s="12" t="s">
        <v>1234</v>
      </c>
      <c r="BB7" s="12" t="s">
        <v>745</v>
      </c>
      <c r="BC7" s="37">
        <v>45853.416666666657</v>
      </c>
      <c r="BD7" s="15">
        <v>315</v>
      </c>
      <c r="BE7" s="12" t="s">
        <v>1235</v>
      </c>
      <c r="BF7" s="37">
        <v>45849.722916666673</v>
      </c>
      <c r="BG7" s="37">
        <v>45853.206250000003</v>
      </c>
      <c r="BH7" s="12" t="s">
        <v>1236</v>
      </c>
      <c r="BI7" s="12" t="s">
        <v>1015</v>
      </c>
      <c r="BJ7" s="12" t="s">
        <v>1237</v>
      </c>
      <c r="BK7" s="12" t="s">
        <v>1238</v>
      </c>
      <c r="BL7" s="12" t="s">
        <v>1158</v>
      </c>
      <c r="BM7" s="12" t="s">
        <v>1239</v>
      </c>
      <c r="BN7" s="14">
        <v>45853</v>
      </c>
      <c r="BO7" s="15">
        <v>2268.19</v>
      </c>
      <c r="BP7" s="15">
        <v>500</v>
      </c>
      <c r="BQ7" s="12" t="s">
        <v>771</v>
      </c>
      <c r="BR7" s="12" t="s">
        <v>1160</v>
      </c>
      <c r="BS7" s="12" t="s">
        <v>1240</v>
      </c>
      <c r="BT7" s="12" t="s">
        <v>1241</v>
      </c>
      <c r="BU7" s="12" t="s">
        <v>1242</v>
      </c>
      <c r="BV7" s="14">
        <v>46214</v>
      </c>
      <c r="BW7" s="14">
        <v>46215</v>
      </c>
      <c r="BX7" s="12" t="s">
        <v>1113</v>
      </c>
      <c r="BY7" s="12" t="s">
        <v>1114</v>
      </c>
      <c r="BZ7" s="15">
        <v>2122</v>
      </c>
      <c r="CA7" s="15">
        <v>1681</v>
      </c>
      <c r="CB7" s="15">
        <v>246</v>
      </c>
      <c r="CC7" s="15">
        <v>0</v>
      </c>
      <c r="CD7" s="15">
        <v>123</v>
      </c>
      <c r="CE7" s="12">
        <v>525</v>
      </c>
      <c r="CF7" s="12" t="s">
        <v>1243</v>
      </c>
      <c r="CG7" s="12" t="s">
        <v>1244</v>
      </c>
      <c r="CH7" s="12" t="s">
        <v>1025</v>
      </c>
      <c r="CI7" s="12" t="s">
        <v>1219</v>
      </c>
      <c r="CJ7" s="12" t="s">
        <v>1072</v>
      </c>
      <c r="CK7" s="12" t="s">
        <v>1027</v>
      </c>
      <c r="CL7" s="14">
        <v>46214</v>
      </c>
      <c r="CM7" s="12" t="s">
        <v>1027</v>
      </c>
      <c r="CN7" s="14">
        <v>46213</v>
      </c>
      <c r="CO7" s="12" t="s">
        <v>1245</v>
      </c>
      <c r="CP7" s="12" t="s">
        <v>1246</v>
      </c>
      <c r="CQ7" s="37">
        <v>46215.427083333343</v>
      </c>
      <c r="CR7" s="12" t="s">
        <v>1030</v>
      </c>
      <c r="CS7" s="12" t="s">
        <v>745</v>
      </c>
      <c r="CT7" s="12" t="s">
        <v>1247</v>
      </c>
      <c r="CU7" s="15">
        <v>1927.9614999999999</v>
      </c>
      <c r="CV7" s="15">
        <v>1768.19</v>
      </c>
      <c r="CW7" s="12" t="s">
        <v>1122</v>
      </c>
      <c r="CX7" s="12" t="s">
        <v>745</v>
      </c>
      <c r="CY7" s="12" t="s">
        <v>745</v>
      </c>
      <c r="CZ7" s="15">
        <v>2122</v>
      </c>
      <c r="DA7" s="15">
        <v>574</v>
      </c>
      <c r="DB7" s="12" t="s">
        <v>741</v>
      </c>
      <c r="DC7" s="12" t="s">
        <v>1016</v>
      </c>
      <c r="DD7" s="12" t="s">
        <v>1033</v>
      </c>
      <c r="DE7" s="12" t="s">
        <v>1226</v>
      </c>
      <c r="DF7" s="12" t="s">
        <v>1230</v>
      </c>
    </row>
    <row r="8" spans="1:110">
      <c r="A8" s="12" t="s">
        <v>1248</v>
      </c>
      <c r="B8" s="12" t="s">
        <v>138</v>
      </c>
      <c r="C8" s="12" t="s">
        <v>150</v>
      </c>
      <c r="D8" s="12" t="s">
        <v>874</v>
      </c>
      <c r="E8" s="15">
        <v>2300</v>
      </c>
      <c r="F8" s="15">
        <v>58</v>
      </c>
      <c r="G8" s="12" t="s">
        <v>741</v>
      </c>
      <c r="H8" s="12" t="s">
        <v>1034</v>
      </c>
      <c r="J8" s="12" t="s">
        <v>1249</v>
      </c>
      <c r="K8" s="12" t="s">
        <v>1250</v>
      </c>
      <c r="L8" s="12" t="s">
        <v>1251</v>
      </c>
      <c r="M8" s="12" t="s">
        <v>1252</v>
      </c>
      <c r="N8" s="12" t="str">
        <f t="shared" si="0"/>
        <v>MISMATCH</v>
      </c>
      <c r="O8" s="12" t="str">
        <f t="shared" si="1"/>
        <v>SEAL_MISMATCH</v>
      </c>
      <c r="Q8" s="12" t="e">
        <f ca="1">IF(O8="","",_xludf.CONCAT("Pickup:",J8," | Delivery:",L8," | Override:",IF(P8="","NONE",P8)))</f>
        <v>#NAME?</v>
      </c>
      <c r="R8" s="12" t="str">
        <f t="shared" si="2"/>
        <v>LOCKED</v>
      </c>
      <c r="S8" s="12" t="s">
        <v>989</v>
      </c>
      <c r="T8" s="12" t="s">
        <v>745</v>
      </c>
      <c r="U8" s="12" t="s">
        <v>728</v>
      </c>
      <c r="V8" s="12" t="s">
        <v>1253</v>
      </c>
      <c r="W8" s="12" t="s">
        <v>1040</v>
      </c>
      <c r="X8" s="12" t="s">
        <v>1034</v>
      </c>
      <c r="Y8" s="12" t="s">
        <v>1254</v>
      </c>
      <c r="Z8" s="12" t="s">
        <v>1255</v>
      </c>
      <c r="AA8" s="12" t="s">
        <v>1256</v>
      </c>
      <c r="AB8" s="12" t="s">
        <v>1257</v>
      </c>
      <c r="AC8" s="12" t="s">
        <v>1258</v>
      </c>
      <c r="AD8" s="12" t="s">
        <v>1259</v>
      </c>
      <c r="AE8" s="12" t="s">
        <v>1260</v>
      </c>
      <c r="AF8" s="12" t="s">
        <v>1261</v>
      </c>
      <c r="AG8" s="12" t="s">
        <v>1262</v>
      </c>
      <c r="AH8" s="12" t="s">
        <v>1049</v>
      </c>
      <c r="AI8" s="12" t="s">
        <v>1050</v>
      </c>
      <c r="AJ8" s="12" t="s">
        <v>1051</v>
      </c>
      <c r="AK8" s="12" t="s">
        <v>1263</v>
      </c>
      <c r="AL8" s="12" t="s">
        <v>1264</v>
      </c>
      <c r="AM8" s="12" t="s">
        <v>1265</v>
      </c>
      <c r="AN8" s="12" t="s">
        <v>1266</v>
      </c>
      <c r="AO8" s="37">
        <v>45851.708333333343</v>
      </c>
      <c r="AP8" s="12" t="s">
        <v>1267</v>
      </c>
      <c r="AQ8" s="12" t="s">
        <v>1268</v>
      </c>
      <c r="AR8" s="12" t="s">
        <v>1269</v>
      </c>
      <c r="AS8" s="12" t="s">
        <v>1270</v>
      </c>
      <c r="AT8" s="37">
        <v>45854.916666666657</v>
      </c>
      <c r="AU8" s="12" t="s">
        <v>1271</v>
      </c>
      <c r="AV8" s="38">
        <v>30608</v>
      </c>
      <c r="AW8" s="38">
        <v>24</v>
      </c>
      <c r="AX8" s="38">
        <v>936</v>
      </c>
      <c r="AY8" s="12" t="s">
        <v>1272</v>
      </c>
      <c r="AZ8" s="12" t="s">
        <v>1273</v>
      </c>
      <c r="BA8" s="12" t="s">
        <v>1274</v>
      </c>
      <c r="BB8" s="12" t="s">
        <v>1040</v>
      </c>
      <c r="BC8" s="37">
        <v>46217.458333333343</v>
      </c>
      <c r="BD8" s="15">
        <v>315</v>
      </c>
      <c r="BE8" s="12" t="s">
        <v>1275</v>
      </c>
      <c r="BF8" s="37">
        <v>45851.716666666667</v>
      </c>
      <c r="BG8" s="37">
        <v>46217.416666666657</v>
      </c>
      <c r="BH8" s="12" t="s">
        <v>1276</v>
      </c>
      <c r="BI8" s="12" t="s">
        <v>1015</v>
      </c>
      <c r="BJ8" s="12" t="s">
        <v>1104</v>
      </c>
      <c r="BK8" s="12" t="s">
        <v>1016</v>
      </c>
      <c r="BL8" s="12" t="s">
        <v>1017</v>
      </c>
      <c r="BM8" s="12" t="s">
        <v>1016</v>
      </c>
      <c r="BN8" s="14"/>
      <c r="BO8" s="15">
        <v>0</v>
      </c>
      <c r="BP8" s="15">
        <v>500</v>
      </c>
      <c r="BQ8" s="12" t="s">
        <v>1016</v>
      </c>
      <c r="BR8" s="12" t="s">
        <v>772</v>
      </c>
      <c r="BS8" s="12" t="s">
        <v>1277</v>
      </c>
      <c r="BT8" s="12" t="s">
        <v>1278</v>
      </c>
      <c r="BU8" s="12" t="s">
        <v>1279</v>
      </c>
      <c r="BV8" s="14">
        <v>46216</v>
      </c>
      <c r="BW8" s="14">
        <v>46217</v>
      </c>
      <c r="BX8" s="12" t="s">
        <v>1021</v>
      </c>
      <c r="BY8" s="12" t="s">
        <v>1022</v>
      </c>
      <c r="BZ8" s="15">
        <v>2358</v>
      </c>
      <c r="CA8" s="15">
        <v>1886</v>
      </c>
      <c r="CB8" s="15">
        <v>276</v>
      </c>
      <c r="CC8" s="15">
        <v>50</v>
      </c>
      <c r="CD8" s="15">
        <v>88</v>
      </c>
      <c r="CE8" s="12">
        <v>582</v>
      </c>
      <c r="CF8" s="12" t="s">
        <v>1280</v>
      </c>
      <c r="CG8" s="12" t="s">
        <v>1281</v>
      </c>
      <c r="CH8" s="12" t="s">
        <v>1025</v>
      </c>
      <c r="CI8" s="12" t="s">
        <v>1259</v>
      </c>
      <c r="CJ8" s="12" t="s">
        <v>1117</v>
      </c>
      <c r="CK8" s="12" t="s">
        <v>1118</v>
      </c>
      <c r="CL8" s="14">
        <v>46216</v>
      </c>
      <c r="CM8" s="12" t="s">
        <v>1027</v>
      </c>
      <c r="CN8" s="14">
        <v>46215</v>
      </c>
      <c r="CO8" s="12" t="s">
        <v>1282</v>
      </c>
      <c r="CP8" s="12" t="s">
        <v>1283</v>
      </c>
      <c r="CQ8" s="37">
        <v>46217.427083333343</v>
      </c>
      <c r="CR8" s="12" t="s">
        <v>1075</v>
      </c>
      <c r="CS8" s="12" t="s">
        <v>741</v>
      </c>
      <c r="CT8" s="12" t="s">
        <v>1031</v>
      </c>
      <c r="CU8" s="15">
        <v>0</v>
      </c>
      <c r="CV8" s="15">
        <v>0</v>
      </c>
      <c r="CW8" s="12" t="s">
        <v>1032</v>
      </c>
      <c r="CX8" s="12" t="s">
        <v>741</v>
      </c>
      <c r="CY8" s="12" t="s">
        <v>741</v>
      </c>
      <c r="CZ8" s="15">
        <v>2358</v>
      </c>
      <c r="DA8" s="15">
        <v>644</v>
      </c>
      <c r="DB8" s="12" t="s">
        <v>745</v>
      </c>
      <c r="DC8" s="12" t="s">
        <v>1123</v>
      </c>
      <c r="DD8" s="12" t="s">
        <v>1124</v>
      </c>
      <c r="DE8" s="12" t="s">
        <v>1266</v>
      </c>
      <c r="DF8" s="12" t="s">
        <v>1270</v>
      </c>
    </row>
    <row r="9" spans="1:110">
      <c r="A9" s="12" t="s">
        <v>1284</v>
      </c>
      <c r="B9" s="12" t="s">
        <v>139</v>
      </c>
      <c r="C9" s="12" t="s">
        <v>151</v>
      </c>
      <c r="D9" s="12" t="s">
        <v>729</v>
      </c>
      <c r="E9" s="15">
        <v>1750</v>
      </c>
      <c r="F9" s="15">
        <v>81</v>
      </c>
      <c r="G9" s="12" t="s">
        <v>745</v>
      </c>
      <c r="H9" s="12" t="s">
        <v>984</v>
      </c>
      <c r="J9" s="12" t="s">
        <v>1285</v>
      </c>
      <c r="K9" s="12" t="s">
        <v>1286</v>
      </c>
      <c r="L9" s="12" t="s">
        <v>1285</v>
      </c>
      <c r="M9" s="12" t="s">
        <v>1287</v>
      </c>
      <c r="N9" s="12" t="str">
        <f t="shared" si="0"/>
        <v>VERIFIED</v>
      </c>
      <c r="O9" s="12" t="str">
        <f t="shared" si="1"/>
        <v/>
      </c>
      <c r="Q9" s="12" t="str">
        <f>IF(O9="","",_xludf.CONCAT("Pickup:",J9," | Delivery:",L9," | Override:",IF(P9="","NONE",P9)))</f>
        <v/>
      </c>
      <c r="R9" s="12" t="str">
        <f t="shared" si="2"/>
        <v>CLEAR</v>
      </c>
      <c r="S9" s="12" t="s">
        <v>1015</v>
      </c>
      <c r="T9" s="12" t="s">
        <v>741</v>
      </c>
      <c r="U9" s="12" t="s">
        <v>1038</v>
      </c>
      <c r="V9" s="12" t="s">
        <v>1288</v>
      </c>
      <c r="W9" s="12" t="s">
        <v>733</v>
      </c>
      <c r="X9" s="12" t="s">
        <v>984</v>
      </c>
      <c r="Y9" s="12" t="s">
        <v>1289</v>
      </c>
      <c r="Z9" s="12" t="s">
        <v>1290</v>
      </c>
      <c r="AA9" s="12" t="s">
        <v>1291</v>
      </c>
      <c r="AB9" s="12" t="s">
        <v>1292</v>
      </c>
      <c r="AC9" s="12" t="s">
        <v>1293</v>
      </c>
      <c r="AD9" s="12" t="s">
        <v>1294</v>
      </c>
      <c r="AE9" s="12" t="s">
        <v>1295</v>
      </c>
      <c r="AF9" s="12" t="s">
        <v>1296</v>
      </c>
      <c r="AG9" s="12" t="s">
        <v>1297</v>
      </c>
      <c r="AH9" s="12" t="s">
        <v>1089</v>
      </c>
      <c r="AI9" s="12" t="s">
        <v>1090</v>
      </c>
      <c r="AJ9" s="12" t="s">
        <v>1091</v>
      </c>
      <c r="AK9" s="12" t="s">
        <v>1003</v>
      </c>
      <c r="AL9" s="12" t="s">
        <v>1004</v>
      </c>
      <c r="AM9" s="12" t="s">
        <v>354</v>
      </c>
      <c r="AN9" s="12" t="s">
        <v>360</v>
      </c>
      <c r="AO9" s="37">
        <v>45853.75</v>
      </c>
      <c r="AP9" s="12" t="s">
        <v>1005</v>
      </c>
      <c r="AQ9" s="12" t="s">
        <v>1006</v>
      </c>
      <c r="AR9" s="12" t="s">
        <v>1007</v>
      </c>
      <c r="AS9" s="12" t="s">
        <v>1008</v>
      </c>
      <c r="AT9" s="37">
        <v>45855.083333333343</v>
      </c>
      <c r="AU9" s="12" t="s">
        <v>1298</v>
      </c>
      <c r="AV9" s="38">
        <v>34403</v>
      </c>
      <c r="AW9" s="38">
        <v>17</v>
      </c>
      <c r="AX9" s="38">
        <v>612</v>
      </c>
      <c r="AY9" s="12" t="s">
        <v>1299</v>
      </c>
      <c r="AZ9" s="12" t="s">
        <v>1300</v>
      </c>
      <c r="BA9" s="12" t="s">
        <v>1301</v>
      </c>
      <c r="BB9" s="12" t="s">
        <v>745</v>
      </c>
      <c r="BC9" s="37">
        <v>45855.333333333343</v>
      </c>
      <c r="BD9" s="15">
        <v>315</v>
      </c>
      <c r="BE9" s="12" t="s">
        <v>1302</v>
      </c>
      <c r="BF9" s="37">
        <v>45853.761805555558</v>
      </c>
      <c r="BG9" s="37">
        <v>45855.09652777778</v>
      </c>
      <c r="BH9" s="12" t="s">
        <v>1303</v>
      </c>
      <c r="BI9" s="12" t="s">
        <v>1015</v>
      </c>
      <c r="BJ9" s="12" t="s">
        <v>1304</v>
      </c>
      <c r="BK9" s="12" t="s">
        <v>1305</v>
      </c>
      <c r="BL9" s="12" t="s">
        <v>728</v>
      </c>
      <c r="BM9" s="12" t="s">
        <v>1159</v>
      </c>
      <c r="BN9" s="14">
        <v>45855</v>
      </c>
      <c r="BO9" s="15">
        <v>6722.38</v>
      </c>
      <c r="BP9" s="15">
        <v>500</v>
      </c>
      <c r="BQ9" s="12" t="s">
        <v>1306</v>
      </c>
      <c r="BR9" s="12" t="s">
        <v>772</v>
      </c>
      <c r="BS9" s="12" t="s">
        <v>1307</v>
      </c>
      <c r="BT9" s="12" t="s">
        <v>1308</v>
      </c>
      <c r="BU9" s="12" t="s">
        <v>1309</v>
      </c>
      <c r="BV9" s="14">
        <v>46218</v>
      </c>
      <c r="BW9" s="14">
        <v>46219</v>
      </c>
      <c r="BX9" s="12" t="s">
        <v>1068</v>
      </c>
      <c r="BY9" s="12" t="s">
        <v>1069</v>
      </c>
      <c r="BZ9" s="15">
        <v>1831</v>
      </c>
      <c r="CA9" s="15">
        <v>1435</v>
      </c>
      <c r="CB9" s="15">
        <v>210</v>
      </c>
      <c r="CC9" s="15">
        <v>75</v>
      </c>
      <c r="CD9" s="15">
        <v>30</v>
      </c>
      <c r="CE9" s="12">
        <v>639</v>
      </c>
      <c r="CF9" s="12" t="s">
        <v>1310</v>
      </c>
      <c r="CG9" s="12" t="s">
        <v>1311</v>
      </c>
      <c r="CH9" s="12" t="s">
        <v>1040</v>
      </c>
      <c r="CI9" s="12" t="s">
        <v>1294</v>
      </c>
      <c r="CJ9" s="12" t="s">
        <v>1166</v>
      </c>
      <c r="CK9" s="12" t="s">
        <v>1027</v>
      </c>
      <c r="CL9" s="14">
        <v>46218</v>
      </c>
      <c r="CM9" s="12" t="s">
        <v>1027</v>
      </c>
      <c r="CN9" s="14">
        <v>46217</v>
      </c>
      <c r="CO9" s="12" t="s">
        <v>1312</v>
      </c>
      <c r="CP9" s="12" t="s">
        <v>1313</v>
      </c>
      <c r="CQ9" s="37">
        <v>46219.427083333343</v>
      </c>
      <c r="CR9" s="12" t="s">
        <v>1121</v>
      </c>
      <c r="CS9" s="12" t="s">
        <v>745</v>
      </c>
      <c r="CT9" s="12" t="s">
        <v>1031</v>
      </c>
      <c r="CU9" s="15">
        <v>5714.0230000000001</v>
      </c>
      <c r="CV9" s="15">
        <v>6222.38</v>
      </c>
      <c r="CW9" s="12" t="s">
        <v>770</v>
      </c>
      <c r="CX9" s="12" t="s">
        <v>745</v>
      </c>
      <c r="CY9" s="12" t="s">
        <v>745</v>
      </c>
      <c r="CZ9" s="15">
        <v>1831</v>
      </c>
      <c r="DA9" s="15">
        <v>490</v>
      </c>
      <c r="DB9" s="12" t="s">
        <v>741</v>
      </c>
      <c r="DC9" s="12" t="s">
        <v>1016</v>
      </c>
      <c r="DD9" s="12" t="s">
        <v>1033</v>
      </c>
      <c r="DE9" s="12" t="s">
        <v>360</v>
      </c>
      <c r="DF9" s="12" t="s">
        <v>1008</v>
      </c>
    </row>
    <row r="10" spans="1:110">
      <c r="A10" s="12" t="s">
        <v>1314</v>
      </c>
      <c r="B10" s="12" t="s">
        <v>140</v>
      </c>
      <c r="C10" s="12" t="s">
        <v>152</v>
      </c>
      <c r="D10" s="12" t="s">
        <v>749</v>
      </c>
      <c r="E10" s="15">
        <v>2400</v>
      </c>
      <c r="F10" s="15">
        <v>49</v>
      </c>
      <c r="G10" s="12" t="s">
        <v>741</v>
      </c>
      <c r="H10" s="12" t="s">
        <v>1040</v>
      </c>
      <c r="I10" s="12" t="s">
        <v>1315</v>
      </c>
      <c r="J10" s="12" t="s">
        <v>1316</v>
      </c>
      <c r="K10" s="12" t="s">
        <v>1317</v>
      </c>
      <c r="L10" s="12" t="s">
        <v>1318</v>
      </c>
      <c r="M10" s="12" t="s">
        <v>1319</v>
      </c>
      <c r="N10" s="12" t="str">
        <f t="shared" si="0"/>
        <v>MISMATCH</v>
      </c>
      <c r="O10" s="12" t="str">
        <f t="shared" si="1"/>
        <v>SEAL_MISMATCH</v>
      </c>
      <c r="P10" s="12" t="s">
        <v>1320</v>
      </c>
      <c r="Q10" s="12" t="e">
        <f ca="1">IF(O10="","",_xludf.CONCAT("Pickup:",J10," | Delivery:",L10," | Override:",IF(P10="","NONE",P10)))</f>
        <v>#NAME?</v>
      </c>
      <c r="R10" s="12" t="str">
        <f t="shared" si="2"/>
        <v>OVERRIDDEN</v>
      </c>
      <c r="S10" s="12" t="s">
        <v>989</v>
      </c>
      <c r="T10" s="12" t="s">
        <v>745</v>
      </c>
      <c r="U10" s="12" t="s">
        <v>728</v>
      </c>
      <c r="V10" s="12" t="s">
        <v>1321</v>
      </c>
      <c r="W10" s="12" t="s">
        <v>1040</v>
      </c>
      <c r="X10" s="12" t="s">
        <v>1040</v>
      </c>
      <c r="Y10" s="12" t="s">
        <v>1322</v>
      </c>
      <c r="Z10" s="12" t="s">
        <v>1323</v>
      </c>
      <c r="AA10" s="12" t="s">
        <v>1324</v>
      </c>
      <c r="AB10" s="12" t="s">
        <v>1325</v>
      </c>
      <c r="AC10" s="12" t="s">
        <v>1326</v>
      </c>
      <c r="AD10" s="12" t="s">
        <v>1327</v>
      </c>
      <c r="AE10" s="12" t="s">
        <v>1328</v>
      </c>
      <c r="AF10" s="12" t="s">
        <v>1329</v>
      </c>
      <c r="AG10" s="12" t="s">
        <v>1330</v>
      </c>
      <c r="AH10" s="12" t="s">
        <v>1140</v>
      </c>
      <c r="AI10" s="12" t="s">
        <v>1141</v>
      </c>
      <c r="AJ10" s="12" t="s">
        <v>1142</v>
      </c>
      <c r="AK10" s="12" t="s">
        <v>1052</v>
      </c>
      <c r="AL10" s="12" t="s">
        <v>1053</v>
      </c>
      <c r="AM10" s="12" t="s">
        <v>352</v>
      </c>
      <c r="AN10" s="12" t="s">
        <v>358</v>
      </c>
      <c r="AO10" s="37">
        <v>45855.5</v>
      </c>
      <c r="AP10" s="12" t="s">
        <v>1054</v>
      </c>
      <c r="AQ10" s="12" t="s">
        <v>1055</v>
      </c>
      <c r="AR10" s="12" t="s">
        <v>1056</v>
      </c>
      <c r="AS10" s="12" t="s">
        <v>1057</v>
      </c>
      <c r="AT10" s="37">
        <v>45858.708333333343</v>
      </c>
      <c r="AU10" s="12" t="s">
        <v>1009</v>
      </c>
      <c r="AV10" s="38">
        <v>20806</v>
      </c>
      <c r="AW10" s="38">
        <v>27</v>
      </c>
      <c r="AX10" s="38">
        <v>1242</v>
      </c>
      <c r="AY10" s="12" t="s">
        <v>1331</v>
      </c>
      <c r="AZ10" s="12" t="s">
        <v>1332</v>
      </c>
      <c r="BA10" s="12" t="s">
        <v>1333</v>
      </c>
      <c r="BB10" s="12" t="s">
        <v>741</v>
      </c>
      <c r="BC10" s="37">
        <v>46221.458333333343</v>
      </c>
      <c r="BD10" s="15">
        <v>125</v>
      </c>
      <c r="BE10" s="12" t="s">
        <v>1334</v>
      </c>
      <c r="BF10" s="37">
        <v>45855.524305555547</v>
      </c>
      <c r="BG10" s="37">
        <v>46221.416666666657</v>
      </c>
      <c r="BH10" s="12" t="s">
        <v>1335</v>
      </c>
      <c r="BI10" s="12" t="s">
        <v>1064</v>
      </c>
      <c r="BJ10" s="12" t="s">
        <v>1016</v>
      </c>
      <c r="BK10" s="12" t="s">
        <v>1016</v>
      </c>
      <c r="BL10" s="12" t="s">
        <v>1017</v>
      </c>
      <c r="BM10" s="12" t="s">
        <v>1016</v>
      </c>
      <c r="BN10" s="14"/>
      <c r="BO10" s="15">
        <v>0</v>
      </c>
      <c r="BP10" s="15">
        <v>500</v>
      </c>
      <c r="BQ10" s="12" t="s">
        <v>1016</v>
      </c>
      <c r="BR10" s="12" t="s">
        <v>1336</v>
      </c>
      <c r="BS10" s="12" t="s">
        <v>1337</v>
      </c>
      <c r="BT10" s="12" t="s">
        <v>1338</v>
      </c>
      <c r="BU10" s="12" t="s">
        <v>1339</v>
      </c>
      <c r="BV10" s="14">
        <v>46220</v>
      </c>
      <c r="BW10" s="14">
        <v>46221</v>
      </c>
      <c r="BX10" s="12" t="s">
        <v>1113</v>
      </c>
      <c r="BY10" s="12" t="s">
        <v>1114</v>
      </c>
      <c r="BZ10" s="15">
        <v>2449</v>
      </c>
      <c r="CA10" s="15">
        <v>1967</v>
      </c>
      <c r="CB10" s="15">
        <v>288</v>
      </c>
      <c r="CC10" s="15">
        <v>0</v>
      </c>
      <c r="CD10" s="15">
        <v>145</v>
      </c>
      <c r="CE10" s="12">
        <v>696</v>
      </c>
      <c r="CF10" s="12" t="s">
        <v>1340</v>
      </c>
      <c r="CG10" s="12" t="s">
        <v>1341</v>
      </c>
      <c r="CH10" s="12" t="s">
        <v>1025</v>
      </c>
      <c r="CI10" s="12" t="s">
        <v>1327</v>
      </c>
      <c r="CJ10" s="12" t="s">
        <v>1026</v>
      </c>
      <c r="CK10" s="12" t="s">
        <v>1027</v>
      </c>
      <c r="CL10" s="14">
        <v>46220</v>
      </c>
      <c r="CM10" s="12" t="s">
        <v>1027</v>
      </c>
      <c r="CN10" s="14">
        <v>46219</v>
      </c>
      <c r="CO10" s="12" t="s">
        <v>1342</v>
      </c>
      <c r="CP10" s="12" t="s">
        <v>1343</v>
      </c>
      <c r="CQ10" s="37">
        <v>46221.427083333343</v>
      </c>
      <c r="CR10" s="12" t="s">
        <v>1169</v>
      </c>
      <c r="CS10" s="12" t="s">
        <v>741</v>
      </c>
      <c r="CT10" s="12" t="s">
        <v>1031</v>
      </c>
      <c r="CU10" s="15">
        <v>0</v>
      </c>
      <c r="CV10" s="15">
        <v>0</v>
      </c>
      <c r="CW10" s="12" t="s">
        <v>1122</v>
      </c>
      <c r="CX10" s="12" t="s">
        <v>741</v>
      </c>
      <c r="CY10" s="12" t="s">
        <v>745</v>
      </c>
      <c r="CZ10" s="15">
        <v>2449</v>
      </c>
      <c r="DA10" s="15">
        <v>672</v>
      </c>
      <c r="DB10" s="12" t="s">
        <v>741</v>
      </c>
      <c r="DC10" s="12" t="s">
        <v>1016</v>
      </c>
      <c r="DD10" s="12" t="s">
        <v>1033</v>
      </c>
      <c r="DE10" s="12" t="s">
        <v>358</v>
      </c>
      <c r="DF10" s="12" t="s">
        <v>1057</v>
      </c>
    </row>
    <row r="11" spans="1:110">
      <c r="A11" s="12" t="s">
        <v>1344</v>
      </c>
      <c r="B11" s="12" t="s">
        <v>141</v>
      </c>
      <c r="C11" s="12" t="s">
        <v>153</v>
      </c>
      <c r="D11" s="12" t="s">
        <v>871</v>
      </c>
      <c r="E11" s="15">
        <v>1900</v>
      </c>
      <c r="F11" s="15">
        <v>77</v>
      </c>
      <c r="G11" s="12" t="s">
        <v>745</v>
      </c>
      <c r="H11" s="12" t="s">
        <v>984</v>
      </c>
      <c r="J11" s="12" t="s">
        <v>1345</v>
      </c>
      <c r="K11" s="12" t="s">
        <v>1346</v>
      </c>
      <c r="N11" s="12" t="str">
        <f t="shared" si="0"/>
        <v>PENDING</v>
      </c>
      <c r="O11" s="12" t="str">
        <f t="shared" si="1"/>
        <v>PHOTO_MISSING</v>
      </c>
      <c r="Q11" s="12" t="e">
        <f ca="1">IF(O11="","",_xludf.CONCAT("Pickup:",J11," | Delivery:",L11," | Override:",IF(P11="","NONE",P11)))</f>
        <v>#NAME?</v>
      </c>
      <c r="R11" s="12" t="str">
        <f t="shared" si="2"/>
        <v>LOCKED</v>
      </c>
      <c r="S11" s="12" t="s">
        <v>1078</v>
      </c>
      <c r="T11" s="12" t="s">
        <v>745</v>
      </c>
      <c r="U11" s="12" t="s">
        <v>728</v>
      </c>
      <c r="V11" s="12" t="s">
        <v>1347</v>
      </c>
      <c r="W11" s="12" t="s">
        <v>733</v>
      </c>
      <c r="X11" s="12" t="s">
        <v>984</v>
      </c>
      <c r="Y11" s="12" t="s">
        <v>1348</v>
      </c>
      <c r="Z11" s="12" t="s">
        <v>1349</v>
      </c>
      <c r="AA11" s="12" t="s">
        <v>1350</v>
      </c>
      <c r="AB11" s="12" t="s">
        <v>1351</v>
      </c>
      <c r="AC11" s="12" t="s">
        <v>732</v>
      </c>
      <c r="AD11" s="12" t="s">
        <v>1352</v>
      </c>
      <c r="AE11" s="12" t="s">
        <v>1353</v>
      </c>
      <c r="AF11" s="12" t="s">
        <v>1354</v>
      </c>
      <c r="AG11" s="12" t="s">
        <v>1355</v>
      </c>
      <c r="AH11" s="12" t="s">
        <v>1185</v>
      </c>
      <c r="AI11" s="12" t="s">
        <v>1186</v>
      </c>
      <c r="AJ11" s="12" t="s">
        <v>1187</v>
      </c>
      <c r="AK11" s="12" t="s">
        <v>1092</v>
      </c>
      <c r="AL11" s="12" t="s">
        <v>1093</v>
      </c>
      <c r="AM11" s="12" t="s">
        <v>355</v>
      </c>
      <c r="AN11" s="12" t="s">
        <v>358</v>
      </c>
      <c r="AO11" s="37">
        <v>45857.625</v>
      </c>
      <c r="AP11" s="12" t="s">
        <v>1094</v>
      </c>
      <c r="AQ11" s="12" t="s">
        <v>1095</v>
      </c>
      <c r="AR11" s="12" t="s">
        <v>1096</v>
      </c>
      <c r="AS11" s="12" t="s">
        <v>1097</v>
      </c>
      <c r="AT11" s="37">
        <v>45860.958333333343</v>
      </c>
      <c r="AU11" s="12" t="s">
        <v>1058</v>
      </c>
      <c r="AV11" s="38">
        <v>31074</v>
      </c>
      <c r="AW11" s="38">
        <v>23</v>
      </c>
      <c r="AX11" s="38">
        <v>782</v>
      </c>
      <c r="AY11" s="12" t="s">
        <v>1356</v>
      </c>
      <c r="AZ11" s="12" t="s">
        <v>1357</v>
      </c>
      <c r="BA11" s="12" t="s">
        <v>1358</v>
      </c>
      <c r="BB11" s="12" t="s">
        <v>745</v>
      </c>
      <c r="BC11" s="37">
        <v>45861.041666666657</v>
      </c>
      <c r="BD11" s="15">
        <v>125</v>
      </c>
      <c r="BE11" s="12" t="s">
        <v>1359</v>
      </c>
      <c r="BF11" s="37">
        <v>45857.643055555563</v>
      </c>
      <c r="BG11" s="37">
        <v>45860.96597222222</v>
      </c>
      <c r="BH11" s="12" t="s">
        <v>1360</v>
      </c>
      <c r="BI11" s="12" t="s">
        <v>1015</v>
      </c>
      <c r="BJ11" s="12" t="s">
        <v>1016</v>
      </c>
      <c r="BK11" s="12" t="s">
        <v>1361</v>
      </c>
      <c r="BL11" s="12" t="s">
        <v>728</v>
      </c>
      <c r="BM11" s="12" t="s">
        <v>837</v>
      </c>
      <c r="BN11" s="14">
        <v>45860</v>
      </c>
      <c r="BO11" s="15">
        <v>11390.7</v>
      </c>
      <c r="BP11" s="15">
        <v>1000</v>
      </c>
      <c r="BQ11" s="12" t="s">
        <v>771</v>
      </c>
      <c r="BR11" s="12" t="s">
        <v>1160</v>
      </c>
      <c r="BS11" s="12" t="s">
        <v>1362</v>
      </c>
      <c r="BT11" s="12" t="s">
        <v>1363</v>
      </c>
      <c r="BU11" s="12" t="s">
        <v>1364</v>
      </c>
      <c r="BV11" s="14">
        <v>46222</v>
      </c>
      <c r="BW11" s="14">
        <v>46223</v>
      </c>
      <c r="BX11" s="12" t="s">
        <v>1021</v>
      </c>
      <c r="BY11" s="12" t="s">
        <v>1022</v>
      </c>
      <c r="BZ11" s="15">
        <v>1977</v>
      </c>
      <c r="CA11" s="15">
        <v>1558</v>
      </c>
      <c r="CB11" s="15">
        <v>228</v>
      </c>
      <c r="CC11" s="15">
        <v>25</v>
      </c>
      <c r="CD11" s="15">
        <v>89</v>
      </c>
      <c r="CE11" s="12">
        <v>753</v>
      </c>
      <c r="CF11" s="12" t="s">
        <v>1365</v>
      </c>
      <c r="CG11" s="12" t="s">
        <v>1366</v>
      </c>
      <c r="CH11" s="12" t="s">
        <v>1025</v>
      </c>
      <c r="CI11" s="12" t="s">
        <v>1352</v>
      </c>
      <c r="CJ11" s="12" t="s">
        <v>1072</v>
      </c>
      <c r="CK11" s="12" t="s">
        <v>1027</v>
      </c>
      <c r="CL11" s="14">
        <v>46222</v>
      </c>
      <c r="CM11" s="12" t="s">
        <v>1027</v>
      </c>
      <c r="CN11" s="14">
        <v>46221</v>
      </c>
      <c r="CO11" s="12" t="s">
        <v>1367</v>
      </c>
      <c r="CP11" s="12" t="s">
        <v>1368</v>
      </c>
      <c r="CQ11" s="37">
        <v>46223.427083333343</v>
      </c>
      <c r="CR11" s="12" t="s">
        <v>1209</v>
      </c>
      <c r="CS11" s="12" t="s">
        <v>745</v>
      </c>
      <c r="CT11" s="12" t="s">
        <v>1210</v>
      </c>
      <c r="CU11" s="15">
        <v>9682.0950000000012</v>
      </c>
      <c r="CV11" s="15">
        <v>10390.700000000001</v>
      </c>
      <c r="CW11" s="12" t="s">
        <v>1032</v>
      </c>
      <c r="CX11" s="12" t="s">
        <v>745</v>
      </c>
      <c r="CY11" s="12" t="s">
        <v>745</v>
      </c>
      <c r="CZ11" s="15">
        <v>1977</v>
      </c>
      <c r="DA11" s="15">
        <v>532</v>
      </c>
      <c r="DB11" s="12" t="s">
        <v>741</v>
      </c>
      <c r="DC11" s="12" t="s">
        <v>1016</v>
      </c>
      <c r="DD11" s="12" t="s">
        <v>1033</v>
      </c>
      <c r="DE11" s="12" t="s">
        <v>358</v>
      </c>
      <c r="DF11" s="12" t="s">
        <v>1097</v>
      </c>
    </row>
    <row r="12" spans="1:110">
      <c r="A12" s="12" t="s">
        <v>1369</v>
      </c>
      <c r="B12" s="12" t="s">
        <v>142</v>
      </c>
      <c r="C12" s="12" t="s">
        <v>154</v>
      </c>
      <c r="D12" s="12" t="s">
        <v>875</v>
      </c>
      <c r="E12" s="15">
        <v>2250</v>
      </c>
      <c r="F12" s="15">
        <v>63</v>
      </c>
      <c r="G12" s="12" t="s">
        <v>741</v>
      </c>
      <c r="H12" s="12" t="s">
        <v>1034</v>
      </c>
      <c r="J12" s="12" t="s">
        <v>1370</v>
      </c>
      <c r="K12" s="12" t="s">
        <v>1371</v>
      </c>
      <c r="L12" s="12" t="s">
        <v>1370</v>
      </c>
      <c r="M12" s="12" t="s">
        <v>1372</v>
      </c>
      <c r="N12" s="12" t="str">
        <f t="shared" si="0"/>
        <v>VERIFIED</v>
      </c>
      <c r="O12" s="12" t="str">
        <f t="shared" si="1"/>
        <v/>
      </c>
      <c r="Q12" s="12" t="str">
        <f>IF(O12="","",_xludf.CONCAT("Pickup:",J12," | Delivery:",L12," | Override:",IF(P12="","NONE",P12)))</f>
        <v/>
      </c>
      <c r="R12" s="12" t="str">
        <f t="shared" si="2"/>
        <v>CLEAR</v>
      </c>
      <c r="S12" s="12" t="s">
        <v>1015</v>
      </c>
      <c r="T12" s="12" t="s">
        <v>741</v>
      </c>
      <c r="U12" s="12" t="s">
        <v>1038</v>
      </c>
      <c r="V12" s="12" t="s">
        <v>1373</v>
      </c>
      <c r="W12" s="12" t="s">
        <v>1040</v>
      </c>
      <c r="X12" s="12" t="s">
        <v>1034</v>
      </c>
      <c r="Y12" s="12" t="s">
        <v>1374</v>
      </c>
      <c r="Z12" s="12" t="s">
        <v>1375</v>
      </c>
      <c r="AA12" s="12" t="s">
        <v>1376</v>
      </c>
      <c r="AB12" s="12" t="s">
        <v>1377</v>
      </c>
      <c r="AC12" s="12" t="s">
        <v>1378</v>
      </c>
      <c r="AD12" s="12" t="s">
        <v>1379</v>
      </c>
      <c r="AE12" s="12" t="s">
        <v>1380</v>
      </c>
      <c r="AF12" s="12" t="s">
        <v>1381</v>
      </c>
      <c r="AG12" s="12" t="s">
        <v>1382</v>
      </c>
      <c r="AH12" s="12" t="s">
        <v>1000</v>
      </c>
      <c r="AI12" s="12" t="s">
        <v>1001</v>
      </c>
      <c r="AJ12" s="12" t="s">
        <v>1002</v>
      </c>
      <c r="AK12" s="12" t="s">
        <v>1143</v>
      </c>
      <c r="AL12" s="12" t="s">
        <v>1144</v>
      </c>
      <c r="AM12" s="12" t="s">
        <v>1145</v>
      </c>
      <c r="AN12" s="12" t="s">
        <v>1146</v>
      </c>
      <c r="AO12" s="37">
        <v>45859.791666666657</v>
      </c>
      <c r="AP12" s="12" t="s">
        <v>1147</v>
      </c>
      <c r="AQ12" s="12" t="s">
        <v>1148</v>
      </c>
      <c r="AR12" s="12" t="s">
        <v>1149</v>
      </c>
      <c r="AS12" s="12" t="s">
        <v>360</v>
      </c>
      <c r="AT12" s="37">
        <v>45863.041666666657</v>
      </c>
      <c r="AU12" s="12" t="s">
        <v>1098</v>
      </c>
      <c r="AV12" s="38">
        <v>41702</v>
      </c>
      <c r="AW12" s="38">
        <v>27</v>
      </c>
      <c r="AX12" s="38">
        <v>729</v>
      </c>
      <c r="AY12" s="12" t="s">
        <v>1383</v>
      </c>
      <c r="AZ12" s="12" t="s">
        <v>1384</v>
      </c>
      <c r="BA12" s="12" t="s">
        <v>1385</v>
      </c>
      <c r="BB12" s="12" t="s">
        <v>1040</v>
      </c>
      <c r="BC12" s="37">
        <v>46225.458333333343</v>
      </c>
      <c r="BD12" s="15">
        <v>125</v>
      </c>
      <c r="BE12" s="12" t="s">
        <v>1386</v>
      </c>
      <c r="BF12" s="37">
        <v>45859.799305555563</v>
      </c>
      <c r="BG12" s="37">
        <v>46225.416666666657</v>
      </c>
      <c r="BH12" s="12" t="s">
        <v>1155</v>
      </c>
      <c r="BI12" s="12" t="s">
        <v>1064</v>
      </c>
      <c r="BJ12" s="12" t="s">
        <v>1104</v>
      </c>
      <c r="BK12" s="12" t="s">
        <v>1016</v>
      </c>
      <c r="BL12" s="12" t="s">
        <v>1017</v>
      </c>
      <c r="BM12" s="12" t="s">
        <v>1016</v>
      </c>
      <c r="BN12" s="14"/>
      <c r="BO12" s="15">
        <v>0</v>
      </c>
      <c r="BP12" s="15">
        <v>500</v>
      </c>
      <c r="BQ12" s="12" t="s">
        <v>1016</v>
      </c>
      <c r="BR12" s="12" t="s">
        <v>738</v>
      </c>
      <c r="BS12" s="12" t="s">
        <v>1387</v>
      </c>
      <c r="BT12" s="12" t="s">
        <v>1388</v>
      </c>
      <c r="BU12" s="12" t="s">
        <v>1389</v>
      </c>
      <c r="BV12" s="14">
        <v>46224</v>
      </c>
      <c r="BW12" s="14">
        <v>46225</v>
      </c>
      <c r="BX12" s="12" t="s">
        <v>1068</v>
      </c>
      <c r="BY12" s="12" t="s">
        <v>1069</v>
      </c>
      <c r="BZ12" s="15">
        <v>2313</v>
      </c>
      <c r="CA12" s="15">
        <v>1845</v>
      </c>
      <c r="CB12" s="15">
        <v>270</v>
      </c>
      <c r="CC12" s="15">
        <v>0</v>
      </c>
      <c r="CD12" s="15">
        <v>135</v>
      </c>
      <c r="CE12" s="12">
        <v>810</v>
      </c>
      <c r="CF12" s="12" t="s">
        <v>1390</v>
      </c>
      <c r="CG12" s="12" t="s">
        <v>1391</v>
      </c>
      <c r="CH12" s="12" t="s">
        <v>1040</v>
      </c>
      <c r="CI12" s="12" t="s">
        <v>1379</v>
      </c>
      <c r="CJ12" s="12" t="s">
        <v>1117</v>
      </c>
      <c r="CK12" s="12" t="s">
        <v>1118</v>
      </c>
      <c r="CL12" s="14">
        <v>46224</v>
      </c>
      <c r="CM12" s="12" t="s">
        <v>1027</v>
      </c>
      <c r="CN12" s="14">
        <v>46223</v>
      </c>
      <c r="CO12" s="12" t="s">
        <v>1392</v>
      </c>
      <c r="CP12" s="12" t="s">
        <v>1393</v>
      </c>
      <c r="CQ12" s="37">
        <v>46225.427083333343</v>
      </c>
      <c r="CR12" s="12" t="s">
        <v>1030</v>
      </c>
      <c r="CS12" s="12" t="s">
        <v>741</v>
      </c>
      <c r="CT12" s="12" t="s">
        <v>1031</v>
      </c>
      <c r="CU12" s="15">
        <v>0</v>
      </c>
      <c r="CV12" s="15">
        <v>0</v>
      </c>
      <c r="CW12" s="12" t="s">
        <v>770</v>
      </c>
      <c r="CX12" s="12" t="s">
        <v>741</v>
      </c>
      <c r="CY12" s="12" t="s">
        <v>741</v>
      </c>
      <c r="CZ12" s="15">
        <v>2313</v>
      </c>
      <c r="DA12" s="15">
        <v>630</v>
      </c>
      <c r="DB12" s="12" t="s">
        <v>745</v>
      </c>
      <c r="DC12" s="12" t="s">
        <v>1123</v>
      </c>
      <c r="DD12" s="12" t="s">
        <v>1124</v>
      </c>
      <c r="DE12" s="12" t="s">
        <v>1146</v>
      </c>
      <c r="DF12" s="12" t="s">
        <v>360</v>
      </c>
    </row>
    <row r="13" spans="1:110">
      <c r="A13" s="12" t="s">
        <v>1394</v>
      </c>
      <c r="B13" s="12" t="s">
        <v>143</v>
      </c>
      <c r="D13" s="12" t="s">
        <v>872</v>
      </c>
      <c r="E13" s="15">
        <v>2150</v>
      </c>
      <c r="F13" s="15">
        <v>69</v>
      </c>
      <c r="G13" s="12" t="s">
        <v>745</v>
      </c>
      <c r="H13" s="12" t="s">
        <v>984</v>
      </c>
      <c r="J13" s="12" t="s">
        <v>1395</v>
      </c>
      <c r="K13" s="12" t="s">
        <v>1396</v>
      </c>
      <c r="L13" s="12" t="s">
        <v>1397</v>
      </c>
      <c r="M13" s="12" t="s">
        <v>1398</v>
      </c>
      <c r="N13" s="12" t="str">
        <f t="shared" si="0"/>
        <v>MISMATCH</v>
      </c>
      <c r="O13" s="12" t="str">
        <f t="shared" si="1"/>
        <v>SEAL_MISMATCH</v>
      </c>
      <c r="Q13" s="12" t="e">
        <f ca="1">IF(O13="","",_xludf.CONCAT("Pickup:",J13," | Delivery:",L13," | Override:",IF(P13="","NONE",P13)))</f>
        <v>#NAME?</v>
      </c>
      <c r="R13" s="12" t="str">
        <f t="shared" si="2"/>
        <v>LOCKED</v>
      </c>
      <c r="S13" s="12" t="s">
        <v>989</v>
      </c>
      <c r="T13" s="12" t="s">
        <v>745</v>
      </c>
      <c r="U13" s="12" t="s">
        <v>728</v>
      </c>
      <c r="V13" s="12" t="s">
        <v>1399</v>
      </c>
      <c r="W13" s="12" t="s">
        <v>733</v>
      </c>
      <c r="X13" s="12" t="s">
        <v>984</v>
      </c>
      <c r="Y13" s="12" t="s">
        <v>1400</v>
      </c>
      <c r="Z13" s="12" t="s">
        <v>1401</v>
      </c>
      <c r="AA13" s="12" t="s">
        <v>1402</v>
      </c>
      <c r="AB13" s="12" t="s">
        <v>1403</v>
      </c>
      <c r="AC13" s="12" t="s">
        <v>1404</v>
      </c>
      <c r="AD13" s="12" t="s">
        <v>1405</v>
      </c>
      <c r="AE13" s="12" t="s">
        <v>1406</v>
      </c>
      <c r="AF13" s="12" t="s">
        <v>1407</v>
      </c>
      <c r="AG13" s="12" t="s">
        <v>1408</v>
      </c>
      <c r="AH13" s="12" t="s">
        <v>1049</v>
      </c>
      <c r="AI13" s="12" t="s">
        <v>1050</v>
      </c>
      <c r="AJ13" s="12" t="s">
        <v>1051</v>
      </c>
      <c r="AK13" s="12" t="s">
        <v>1188</v>
      </c>
      <c r="AL13" s="12" t="s">
        <v>1189</v>
      </c>
      <c r="AM13" s="12" t="s">
        <v>356</v>
      </c>
      <c r="AN13" s="12" t="s">
        <v>361</v>
      </c>
      <c r="AO13" s="37">
        <v>45861.416666666657</v>
      </c>
      <c r="AP13" s="12" t="s">
        <v>1190</v>
      </c>
      <c r="AQ13" s="12" t="s">
        <v>1191</v>
      </c>
      <c r="AR13" s="12" t="s">
        <v>353</v>
      </c>
      <c r="AS13" s="12" t="s">
        <v>359</v>
      </c>
      <c r="AT13" s="37">
        <v>45862.833333333343</v>
      </c>
      <c r="AU13" s="12" t="s">
        <v>1150</v>
      </c>
      <c r="AV13" s="38">
        <v>41862</v>
      </c>
      <c r="AW13" s="38">
        <v>22</v>
      </c>
      <c r="AX13" s="38">
        <v>990</v>
      </c>
      <c r="AY13" s="12" t="s">
        <v>1409</v>
      </c>
      <c r="AZ13" s="12" t="s">
        <v>1410</v>
      </c>
      <c r="BA13" s="12" t="s">
        <v>1411</v>
      </c>
      <c r="BB13" s="12" t="s">
        <v>745</v>
      </c>
      <c r="BC13" s="37">
        <v>45862.916666666657</v>
      </c>
      <c r="BD13" s="15">
        <v>315</v>
      </c>
      <c r="BE13" s="12" t="s">
        <v>1412</v>
      </c>
      <c r="BF13" s="37">
        <v>45861.425694444442</v>
      </c>
      <c r="BG13" s="37">
        <v>45862.859027777777</v>
      </c>
      <c r="BH13" s="12" t="s">
        <v>1413</v>
      </c>
      <c r="BI13" s="12" t="s">
        <v>1015</v>
      </c>
      <c r="BJ13" s="12" t="s">
        <v>1016</v>
      </c>
      <c r="BK13" s="12" t="s">
        <v>1414</v>
      </c>
      <c r="BL13" s="12" t="s">
        <v>755</v>
      </c>
      <c r="BM13" s="12" t="s">
        <v>837</v>
      </c>
      <c r="BN13" s="14">
        <v>45862</v>
      </c>
      <c r="BO13" s="15">
        <v>1816.59</v>
      </c>
      <c r="BP13" s="15">
        <v>1500</v>
      </c>
      <c r="BQ13" s="12" t="s">
        <v>771</v>
      </c>
      <c r="BR13" s="12" t="s">
        <v>738</v>
      </c>
      <c r="BS13" s="12" t="s">
        <v>1415</v>
      </c>
      <c r="BT13" s="12" t="s">
        <v>1416</v>
      </c>
      <c r="BU13" s="12" t="s">
        <v>1417</v>
      </c>
      <c r="BV13" s="14">
        <v>46226</v>
      </c>
      <c r="BW13" s="14">
        <v>46227</v>
      </c>
      <c r="BX13" s="12" t="s">
        <v>1113</v>
      </c>
      <c r="BY13" s="12" t="s">
        <v>1114</v>
      </c>
      <c r="BZ13" s="15">
        <v>2219</v>
      </c>
      <c r="CA13" s="15">
        <v>1763</v>
      </c>
      <c r="CB13" s="15">
        <v>258</v>
      </c>
      <c r="CC13" s="15">
        <v>50</v>
      </c>
      <c r="CD13" s="15">
        <v>79</v>
      </c>
      <c r="CE13" s="12">
        <v>867</v>
      </c>
      <c r="CF13" s="12" t="s">
        <v>1418</v>
      </c>
      <c r="CG13" s="12" t="s">
        <v>1419</v>
      </c>
      <c r="CH13" s="12" t="s">
        <v>1025</v>
      </c>
      <c r="CI13" s="12" t="s">
        <v>1405</v>
      </c>
      <c r="CJ13" s="12" t="s">
        <v>1166</v>
      </c>
      <c r="CK13" s="12" t="s">
        <v>1027</v>
      </c>
      <c r="CL13" s="14">
        <v>46226</v>
      </c>
      <c r="CM13" s="12" t="s">
        <v>1027</v>
      </c>
      <c r="CN13" s="14">
        <v>46225</v>
      </c>
      <c r="CO13" s="12" t="s">
        <v>1420</v>
      </c>
      <c r="CP13" s="12" t="s">
        <v>1421</v>
      </c>
      <c r="CQ13" s="37">
        <v>46227.427083333343</v>
      </c>
      <c r="CR13" s="12" t="s">
        <v>1075</v>
      </c>
      <c r="CS13" s="12" t="s">
        <v>745</v>
      </c>
      <c r="CT13" s="12" t="s">
        <v>1422</v>
      </c>
      <c r="CU13" s="15">
        <v>1544.1015</v>
      </c>
      <c r="CV13" s="15">
        <v>316.58999999999992</v>
      </c>
      <c r="CW13" s="12" t="s">
        <v>1122</v>
      </c>
      <c r="CX13" s="12" t="s">
        <v>745</v>
      </c>
      <c r="CY13" s="12" t="s">
        <v>745</v>
      </c>
      <c r="CZ13" s="15">
        <v>2219</v>
      </c>
      <c r="DA13" s="15">
        <v>602</v>
      </c>
      <c r="DB13" s="12" t="s">
        <v>741</v>
      </c>
      <c r="DC13" s="12" t="s">
        <v>1016</v>
      </c>
      <c r="DD13" s="12" t="s">
        <v>1033</v>
      </c>
      <c r="DE13" s="12" t="s">
        <v>361</v>
      </c>
      <c r="DF13" s="12" t="s">
        <v>359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534B-C56F-4DBC-9658-01C62550B18A}">
  <dimension ref="A1:Y13"/>
  <sheetViews>
    <sheetView workbookViewId="0">
      <selection activeCell="D14" sqref="D14"/>
    </sheetView>
  </sheetViews>
  <sheetFormatPr defaultRowHeight="14.4"/>
  <cols>
    <col min="3" max="3" width="13.109375" customWidth="1"/>
    <col min="4" max="4" width="11.33203125" customWidth="1"/>
    <col min="5" max="5" width="11.5546875" bestFit="1" customWidth="1"/>
    <col min="6" max="6" width="9.88671875" customWidth="1"/>
    <col min="19" max="19" width="23.33203125" customWidth="1"/>
    <col min="20" max="20" width="9.88671875" customWidth="1"/>
    <col min="22" max="22" width="9.88671875" customWidth="1"/>
    <col min="23" max="23" width="8.33203125" customWidth="1"/>
    <col min="24" max="24" width="17" customWidth="1"/>
    <col min="25" max="25" width="13" customWidth="1"/>
  </cols>
  <sheetData>
    <row r="1" spans="1:25">
      <c r="A1" t="s">
        <v>678</v>
      </c>
      <c r="B1" t="s">
        <v>677</v>
      </c>
      <c r="C1" t="s">
        <v>676</v>
      </c>
      <c r="D1" t="s">
        <v>675</v>
      </c>
      <c r="E1" t="s">
        <v>674</v>
      </c>
      <c r="F1" t="s">
        <v>673</v>
      </c>
      <c r="G1" t="s">
        <v>672</v>
      </c>
      <c r="H1" t="s">
        <v>671</v>
      </c>
      <c r="I1" t="s">
        <v>670</v>
      </c>
      <c r="J1" t="s">
        <v>669</v>
      </c>
      <c r="K1" t="s">
        <v>668</v>
      </c>
      <c r="L1" t="s">
        <v>667</v>
      </c>
      <c r="M1" t="s">
        <v>666</v>
      </c>
      <c r="N1" t="s">
        <v>665</v>
      </c>
      <c r="O1" t="s">
        <v>664</v>
      </c>
      <c r="P1" t="s">
        <v>663</v>
      </c>
      <c r="Q1" t="s">
        <v>662</v>
      </c>
      <c r="R1" t="s">
        <v>661</v>
      </c>
      <c r="S1" t="s">
        <v>660</v>
      </c>
      <c r="T1" t="s">
        <v>659</v>
      </c>
      <c r="U1" t="s">
        <v>658</v>
      </c>
      <c r="V1" t="s">
        <v>657</v>
      </c>
      <c r="W1" t="s">
        <v>9</v>
      </c>
      <c r="X1" t="s">
        <v>656</v>
      </c>
      <c r="Y1" t="s">
        <v>655</v>
      </c>
    </row>
    <row r="2" spans="1:25">
      <c r="A2" t="s">
        <v>654</v>
      </c>
      <c r="B2" t="s">
        <v>653</v>
      </c>
      <c r="C2" s="7">
        <v>2100</v>
      </c>
      <c r="D2" s="8">
        <v>65</v>
      </c>
      <c r="E2" s="8">
        <v>125</v>
      </c>
      <c r="F2" s="7">
        <f t="shared" ref="F2:F13" si="0">C2+D2+E2</f>
        <v>2290</v>
      </c>
      <c r="G2" s="7">
        <f t="shared" ref="G2:G12" si="1">0.062*F2</f>
        <v>141.97999999999999</v>
      </c>
      <c r="H2" s="7">
        <f t="shared" ref="H2:H12" si="2">0.0145*F2</f>
        <v>33.204999999999998</v>
      </c>
      <c r="I2" s="7">
        <f t="shared" ref="I2:I12" si="3">0.18*F2</f>
        <v>412.2</v>
      </c>
      <c r="J2" s="7">
        <f t="shared" ref="J2:J12" si="4">0.035*F2</f>
        <v>80.150000000000006</v>
      </c>
      <c r="K2" s="7">
        <f t="shared" ref="K2:K12" si="5">0.0045*F2</f>
        <v>10.305</v>
      </c>
      <c r="L2" s="7">
        <f t="shared" ref="L2:L12" si="6">0.0066*F2</f>
        <v>15.114000000000001</v>
      </c>
      <c r="M2" s="7">
        <v>0</v>
      </c>
      <c r="N2" s="7">
        <v>214.92</v>
      </c>
      <c r="O2" s="7">
        <v>0</v>
      </c>
      <c r="P2" s="7">
        <f t="shared" ref="P2:P12" si="7">F2*Y2</f>
        <v>68.7</v>
      </c>
      <c r="Q2">
        <v>114.79</v>
      </c>
      <c r="R2">
        <v>0</v>
      </c>
      <c r="S2" s="7">
        <v>0</v>
      </c>
      <c r="T2" s="7">
        <f t="shared" ref="T2:T13" si="8">F2-G2-H2-I2-J2-K2-L2-M2-N2-O2-P2-Q2-R2-S2</f>
        <v>1198.6359999999997</v>
      </c>
      <c r="U2" s="7">
        <v>0</v>
      </c>
      <c r="V2" s="7">
        <f t="shared" ref="V2:V13" si="9">F2-T2</f>
        <v>1091.3640000000003</v>
      </c>
      <c r="W2" t="s">
        <v>628</v>
      </c>
      <c r="X2" t="s">
        <v>627</v>
      </c>
      <c r="Y2">
        <v>0.03</v>
      </c>
    </row>
    <row r="3" spans="1:25">
      <c r="A3" t="s">
        <v>652</v>
      </c>
      <c r="B3" t="s">
        <v>651</v>
      </c>
      <c r="C3" s="7">
        <v>1910</v>
      </c>
      <c r="D3" s="8">
        <v>95</v>
      </c>
      <c r="E3" s="8">
        <v>125</v>
      </c>
      <c r="F3" s="7">
        <f t="shared" si="0"/>
        <v>2130</v>
      </c>
      <c r="G3" s="7">
        <f t="shared" si="1"/>
        <v>132.06</v>
      </c>
      <c r="H3" s="7">
        <f t="shared" si="2"/>
        <v>30.885000000000002</v>
      </c>
      <c r="I3" s="7">
        <f t="shared" si="3"/>
        <v>383.4</v>
      </c>
      <c r="J3" s="7">
        <f t="shared" si="4"/>
        <v>74.550000000000011</v>
      </c>
      <c r="K3" s="7">
        <f t="shared" si="5"/>
        <v>9.5849999999999991</v>
      </c>
      <c r="L3" s="7">
        <f t="shared" si="6"/>
        <v>14.058</v>
      </c>
      <c r="M3" s="7">
        <v>79.680000000000007</v>
      </c>
      <c r="N3" s="7">
        <v>0</v>
      </c>
      <c r="O3" s="7">
        <v>42.09</v>
      </c>
      <c r="P3" s="7">
        <f t="shared" si="7"/>
        <v>0</v>
      </c>
      <c r="Q3">
        <v>69.33</v>
      </c>
      <c r="R3">
        <v>0</v>
      </c>
      <c r="S3" s="7">
        <v>0</v>
      </c>
      <c r="T3" s="7">
        <f t="shared" si="8"/>
        <v>1294.3620000000003</v>
      </c>
      <c r="U3" s="7">
        <v>120</v>
      </c>
      <c r="V3" s="7">
        <f t="shared" si="9"/>
        <v>835.63799999999969</v>
      </c>
      <c r="W3" t="s">
        <v>638</v>
      </c>
      <c r="X3" t="s">
        <v>646</v>
      </c>
      <c r="Y3">
        <v>0</v>
      </c>
    </row>
    <row r="4" spans="1:25">
      <c r="A4" t="s">
        <v>650</v>
      </c>
      <c r="B4" t="s">
        <v>649</v>
      </c>
      <c r="C4" s="7">
        <v>2155</v>
      </c>
      <c r="D4" s="8">
        <v>45</v>
      </c>
      <c r="E4" s="8">
        <v>75</v>
      </c>
      <c r="F4" s="7">
        <f t="shared" si="0"/>
        <v>2275</v>
      </c>
      <c r="G4" s="7">
        <f t="shared" si="1"/>
        <v>141.05000000000001</v>
      </c>
      <c r="H4" s="7">
        <f t="shared" si="2"/>
        <v>32.987500000000004</v>
      </c>
      <c r="I4" s="7">
        <f t="shared" si="3"/>
        <v>409.5</v>
      </c>
      <c r="J4" s="7">
        <f t="shared" si="4"/>
        <v>79.625000000000014</v>
      </c>
      <c r="K4" s="7">
        <f t="shared" si="5"/>
        <v>10.237499999999999</v>
      </c>
      <c r="L4" s="7">
        <f t="shared" si="6"/>
        <v>15.015000000000001</v>
      </c>
      <c r="M4" s="7">
        <v>0</v>
      </c>
      <c r="N4" s="7">
        <v>0</v>
      </c>
      <c r="O4" s="7">
        <v>30.98</v>
      </c>
      <c r="P4" s="7">
        <f t="shared" si="7"/>
        <v>136.5</v>
      </c>
      <c r="Q4">
        <v>0</v>
      </c>
      <c r="R4">
        <v>0</v>
      </c>
      <c r="S4" s="7">
        <v>0</v>
      </c>
      <c r="T4" s="7">
        <f t="shared" si="8"/>
        <v>1419.1049999999996</v>
      </c>
      <c r="U4" s="7">
        <v>0</v>
      </c>
      <c r="V4" s="7">
        <f t="shared" si="9"/>
        <v>855.89500000000044</v>
      </c>
      <c r="W4" t="s">
        <v>628</v>
      </c>
      <c r="X4" t="s">
        <v>627</v>
      </c>
      <c r="Y4">
        <v>0.06</v>
      </c>
    </row>
    <row r="5" spans="1:25">
      <c r="A5" t="s">
        <v>648</v>
      </c>
      <c r="B5" t="s">
        <v>647</v>
      </c>
      <c r="C5" s="7">
        <v>2020</v>
      </c>
      <c r="D5" s="8">
        <v>88</v>
      </c>
      <c r="E5" s="8">
        <v>25</v>
      </c>
      <c r="F5" s="7">
        <f t="shared" si="0"/>
        <v>2133</v>
      </c>
      <c r="G5" s="7">
        <f t="shared" si="1"/>
        <v>132.24600000000001</v>
      </c>
      <c r="H5" s="7">
        <f t="shared" si="2"/>
        <v>30.928500000000003</v>
      </c>
      <c r="I5" s="7">
        <f t="shared" si="3"/>
        <v>383.94</v>
      </c>
      <c r="J5" s="7">
        <f t="shared" si="4"/>
        <v>74.655000000000001</v>
      </c>
      <c r="K5" s="7">
        <f t="shared" si="5"/>
        <v>9.5984999999999996</v>
      </c>
      <c r="L5" s="7">
        <f t="shared" si="6"/>
        <v>14.0778</v>
      </c>
      <c r="M5" s="7">
        <v>0</v>
      </c>
      <c r="N5" s="7">
        <v>0</v>
      </c>
      <c r="O5" s="7">
        <v>32.58</v>
      </c>
      <c r="P5" s="7">
        <f t="shared" si="7"/>
        <v>0</v>
      </c>
      <c r="Q5">
        <v>0</v>
      </c>
      <c r="R5">
        <v>0</v>
      </c>
      <c r="S5" s="7">
        <v>0</v>
      </c>
      <c r="T5" s="7">
        <f t="shared" si="8"/>
        <v>1454.9741999999999</v>
      </c>
      <c r="U5" s="7">
        <v>150</v>
      </c>
      <c r="V5" s="7">
        <f t="shared" si="9"/>
        <v>678.02580000000012</v>
      </c>
      <c r="W5" t="s">
        <v>638</v>
      </c>
      <c r="X5" t="s">
        <v>646</v>
      </c>
      <c r="Y5">
        <v>0</v>
      </c>
    </row>
    <row r="6" spans="1:25">
      <c r="A6" t="s">
        <v>645</v>
      </c>
      <c r="B6" t="s">
        <v>644</v>
      </c>
      <c r="C6" s="7">
        <v>2280</v>
      </c>
      <c r="D6" s="8">
        <v>45</v>
      </c>
      <c r="E6" s="8">
        <v>75</v>
      </c>
      <c r="F6" s="7">
        <f t="shared" si="0"/>
        <v>2400</v>
      </c>
      <c r="G6" s="7">
        <f t="shared" si="1"/>
        <v>148.80000000000001</v>
      </c>
      <c r="H6" s="7">
        <f t="shared" si="2"/>
        <v>34.800000000000004</v>
      </c>
      <c r="I6" s="7">
        <f t="shared" si="3"/>
        <v>432</v>
      </c>
      <c r="J6" s="7">
        <f t="shared" si="4"/>
        <v>84.000000000000014</v>
      </c>
      <c r="K6" s="7">
        <f t="shared" si="5"/>
        <v>10.799999999999999</v>
      </c>
      <c r="L6" s="7">
        <f t="shared" si="6"/>
        <v>15.84</v>
      </c>
      <c r="M6" s="7">
        <v>187.05</v>
      </c>
      <c r="N6" s="7">
        <v>0</v>
      </c>
      <c r="O6" s="7">
        <v>72.680000000000007</v>
      </c>
      <c r="P6" s="7">
        <f t="shared" si="7"/>
        <v>72</v>
      </c>
      <c r="Q6">
        <v>26.5</v>
      </c>
      <c r="R6">
        <v>0</v>
      </c>
      <c r="S6" s="7">
        <v>0</v>
      </c>
      <c r="T6" s="7">
        <f t="shared" si="8"/>
        <v>1315.5299999999997</v>
      </c>
      <c r="U6" s="7">
        <v>0</v>
      </c>
      <c r="V6" s="7">
        <f t="shared" si="9"/>
        <v>1084.4700000000003</v>
      </c>
      <c r="W6" t="s">
        <v>638</v>
      </c>
      <c r="X6" t="s">
        <v>637</v>
      </c>
      <c r="Y6">
        <v>0.03</v>
      </c>
    </row>
    <row r="7" spans="1:25">
      <c r="A7" t="s">
        <v>643</v>
      </c>
      <c r="B7" t="s">
        <v>425</v>
      </c>
      <c r="C7" s="7">
        <v>2090</v>
      </c>
      <c r="D7" s="8">
        <v>72</v>
      </c>
      <c r="E7" s="8">
        <v>125</v>
      </c>
      <c r="F7" s="7">
        <f t="shared" si="0"/>
        <v>2287</v>
      </c>
      <c r="G7" s="7">
        <f t="shared" si="1"/>
        <v>141.79400000000001</v>
      </c>
      <c r="H7" s="7">
        <f t="shared" si="2"/>
        <v>33.161500000000004</v>
      </c>
      <c r="I7" s="7">
        <f t="shared" si="3"/>
        <v>411.65999999999997</v>
      </c>
      <c r="J7" s="7">
        <f t="shared" si="4"/>
        <v>80.045000000000002</v>
      </c>
      <c r="K7" s="7">
        <f t="shared" si="5"/>
        <v>10.291499999999999</v>
      </c>
      <c r="L7" s="7">
        <f t="shared" si="6"/>
        <v>15.094200000000001</v>
      </c>
      <c r="M7" s="7">
        <v>0</v>
      </c>
      <c r="N7" s="7">
        <v>0</v>
      </c>
      <c r="O7" s="7">
        <v>0</v>
      </c>
      <c r="P7" s="7">
        <f t="shared" si="7"/>
        <v>68.61</v>
      </c>
      <c r="Q7">
        <v>0</v>
      </c>
      <c r="R7">
        <v>0</v>
      </c>
      <c r="S7" s="7">
        <v>4.9400000000000004</v>
      </c>
      <c r="T7" s="7">
        <f t="shared" si="8"/>
        <v>1521.4038</v>
      </c>
      <c r="U7" s="7">
        <v>0</v>
      </c>
      <c r="V7" s="7">
        <f t="shared" si="9"/>
        <v>765.59619999999995</v>
      </c>
      <c r="W7" t="s">
        <v>628</v>
      </c>
      <c r="X7" t="s">
        <v>627</v>
      </c>
      <c r="Y7">
        <v>0.03</v>
      </c>
    </row>
    <row r="8" spans="1:25">
      <c r="A8" t="s">
        <v>642</v>
      </c>
      <c r="B8" t="s">
        <v>641</v>
      </c>
      <c r="C8" s="7">
        <v>1975</v>
      </c>
      <c r="D8" s="8">
        <v>58</v>
      </c>
      <c r="E8" s="8">
        <v>125</v>
      </c>
      <c r="F8" s="7">
        <f t="shared" si="0"/>
        <v>2158</v>
      </c>
      <c r="G8" s="7">
        <f t="shared" si="1"/>
        <v>133.79599999999999</v>
      </c>
      <c r="H8" s="7">
        <f t="shared" si="2"/>
        <v>31.291</v>
      </c>
      <c r="I8" s="7">
        <f t="shared" si="3"/>
        <v>388.44</v>
      </c>
      <c r="J8" s="7">
        <f t="shared" si="4"/>
        <v>75.53</v>
      </c>
      <c r="K8" s="7">
        <f t="shared" si="5"/>
        <v>9.7109999999999985</v>
      </c>
      <c r="L8" s="7">
        <f t="shared" si="6"/>
        <v>14.242800000000001</v>
      </c>
      <c r="M8" s="7">
        <v>246.6</v>
      </c>
      <c r="N8" s="7">
        <v>146.97</v>
      </c>
      <c r="O8" s="7">
        <v>0</v>
      </c>
      <c r="P8" s="7">
        <f t="shared" si="7"/>
        <v>107.9</v>
      </c>
      <c r="Q8">
        <v>0</v>
      </c>
      <c r="R8">
        <v>0</v>
      </c>
      <c r="S8" s="7">
        <v>7.04</v>
      </c>
      <c r="T8" s="7">
        <f t="shared" si="8"/>
        <v>996.47920000000011</v>
      </c>
      <c r="U8" s="7">
        <v>0</v>
      </c>
      <c r="V8" s="7">
        <f t="shared" si="9"/>
        <v>1161.5207999999998</v>
      </c>
      <c r="W8" t="s">
        <v>628</v>
      </c>
      <c r="X8" t="s">
        <v>627</v>
      </c>
      <c r="Y8">
        <v>0.05</v>
      </c>
    </row>
    <row r="9" spans="1:25">
      <c r="A9" t="s">
        <v>640</v>
      </c>
      <c r="B9" t="s">
        <v>639</v>
      </c>
      <c r="C9" s="7">
        <v>2165</v>
      </c>
      <c r="D9" s="8">
        <v>81</v>
      </c>
      <c r="E9" s="8">
        <v>25</v>
      </c>
      <c r="F9" s="7">
        <f t="shared" si="0"/>
        <v>2271</v>
      </c>
      <c r="G9" s="7">
        <f t="shared" si="1"/>
        <v>140.80199999999999</v>
      </c>
      <c r="H9" s="7">
        <f t="shared" si="2"/>
        <v>32.929500000000004</v>
      </c>
      <c r="I9" s="7">
        <f t="shared" si="3"/>
        <v>408.78</v>
      </c>
      <c r="J9" s="7">
        <f t="shared" si="4"/>
        <v>79.485000000000014</v>
      </c>
      <c r="K9" s="7">
        <f t="shared" si="5"/>
        <v>10.2195</v>
      </c>
      <c r="L9" s="7">
        <f t="shared" si="6"/>
        <v>14.9886</v>
      </c>
      <c r="M9" s="7">
        <v>0</v>
      </c>
      <c r="N9" s="7">
        <v>0</v>
      </c>
      <c r="O9" s="7">
        <v>45.02</v>
      </c>
      <c r="P9" s="7">
        <f t="shared" si="7"/>
        <v>0</v>
      </c>
      <c r="Q9">
        <v>0</v>
      </c>
      <c r="R9">
        <v>111.66</v>
      </c>
      <c r="S9" s="7">
        <v>0</v>
      </c>
      <c r="T9" s="7">
        <f t="shared" si="8"/>
        <v>1427.1153999999999</v>
      </c>
      <c r="U9" s="7">
        <v>0</v>
      </c>
      <c r="V9" s="7">
        <f t="shared" si="9"/>
        <v>843.88460000000009</v>
      </c>
      <c r="W9" t="s">
        <v>638</v>
      </c>
      <c r="X9" t="s">
        <v>637</v>
      </c>
      <c r="Y9">
        <v>0</v>
      </c>
    </row>
    <row r="10" spans="1:25">
      <c r="A10" t="s">
        <v>636</v>
      </c>
      <c r="B10" t="s">
        <v>635</v>
      </c>
      <c r="C10" s="7">
        <v>2110</v>
      </c>
      <c r="D10" s="8">
        <v>49</v>
      </c>
      <c r="E10" s="8">
        <v>75</v>
      </c>
      <c r="F10" s="7">
        <f t="shared" si="0"/>
        <v>2234</v>
      </c>
      <c r="G10" s="7">
        <f t="shared" si="1"/>
        <v>138.50800000000001</v>
      </c>
      <c r="H10" s="7">
        <f t="shared" si="2"/>
        <v>32.393000000000001</v>
      </c>
      <c r="I10" s="7">
        <f t="shared" si="3"/>
        <v>402.12</v>
      </c>
      <c r="J10" s="7">
        <f t="shared" si="4"/>
        <v>78.190000000000012</v>
      </c>
      <c r="K10" s="7">
        <f t="shared" si="5"/>
        <v>10.052999999999999</v>
      </c>
      <c r="L10" s="7">
        <f t="shared" si="6"/>
        <v>14.744400000000001</v>
      </c>
      <c r="M10" s="7">
        <v>67.760000000000005</v>
      </c>
      <c r="N10" s="7">
        <v>0</v>
      </c>
      <c r="O10" s="7">
        <v>0</v>
      </c>
      <c r="P10" s="7">
        <f t="shared" si="7"/>
        <v>0</v>
      </c>
      <c r="Q10">
        <v>24.17</v>
      </c>
      <c r="R10">
        <v>0</v>
      </c>
      <c r="S10" s="7">
        <v>0</v>
      </c>
      <c r="T10" s="7">
        <f t="shared" si="8"/>
        <v>1466.0616</v>
      </c>
      <c r="U10" s="7">
        <v>0</v>
      </c>
      <c r="V10" s="7">
        <f t="shared" si="9"/>
        <v>767.9384</v>
      </c>
      <c r="W10" t="s">
        <v>628</v>
      </c>
      <c r="X10" t="s">
        <v>627</v>
      </c>
      <c r="Y10">
        <v>0</v>
      </c>
    </row>
    <row r="11" spans="1:25">
      <c r="A11" t="s">
        <v>634</v>
      </c>
      <c r="B11" t="s">
        <v>633</v>
      </c>
      <c r="C11" s="7">
        <v>2080</v>
      </c>
      <c r="D11" s="8">
        <v>77</v>
      </c>
      <c r="E11" s="8">
        <v>125</v>
      </c>
      <c r="F11" s="7">
        <f t="shared" si="0"/>
        <v>2282</v>
      </c>
      <c r="G11" s="7">
        <f t="shared" si="1"/>
        <v>141.48400000000001</v>
      </c>
      <c r="H11" s="7">
        <f t="shared" si="2"/>
        <v>33.088999999999999</v>
      </c>
      <c r="I11" s="7">
        <f t="shared" si="3"/>
        <v>410.76</v>
      </c>
      <c r="J11" s="7">
        <f t="shared" si="4"/>
        <v>79.87</v>
      </c>
      <c r="K11" s="7">
        <f t="shared" si="5"/>
        <v>10.268999999999998</v>
      </c>
      <c r="L11" s="7">
        <f t="shared" si="6"/>
        <v>15.061199999999999</v>
      </c>
      <c r="M11" s="7">
        <v>0</v>
      </c>
      <c r="N11" s="7">
        <v>0</v>
      </c>
      <c r="O11" s="7">
        <v>0</v>
      </c>
      <c r="P11" s="7">
        <f t="shared" si="7"/>
        <v>45.64</v>
      </c>
      <c r="Q11">
        <v>0</v>
      </c>
      <c r="R11">
        <v>196.15</v>
      </c>
      <c r="S11" s="7">
        <v>0</v>
      </c>
      <c r="T11" s="7">
        <f t="shared" si="8"/>
        <v>1349.6767999999997</v>
      </c>
      <c r="U11" s="7">
        <v>0</v>
      </c>
      <c r="V11" s="7">
        <f t="shared" si="9"/>
        <v>932.32320000000027</v>
      </c>
      <c r="W11" t="s">
        <v>628</v>
      </c>
      <c r="X11" t="s">
        <v>627</v>
      </c>
      <c r="Y11">
        <v>0.02</v>
      </c>
    </row>
    <row r="12" spans="1:25">
      <c r="A12" t="s">
        <v>632</v>
      </c>
      <c r="B12" t="s">
        <v>631</v>
      </c>
      <c r="C12" s="7">
        <v>2010</v>
      </c>
      <c r="D12" s="8">
        <v>63</v>
      </c>
      <c r="E12" s="8">
        <v>75</v>
      </c>
      <c r="F12" s="7">
        <f t="shared" si="0"/>
        <v>2148</v>
      </c>
      <c r="G12" s="7">
        <f t="shared" si="1"/>
        <v>133.17599999999999</v>
      </c>
      <c r="H12" s="7">
        <f t="shared" si="2"/>
        <v>31.146000000000001</v>
      </c>
      <c r="I12" s="7">
        <f t="shared" si="3"/>
        <v>386.64</v>
      </c>
      <c r="J12" s="7">
        <f t="shared" si="4"/>
        <v>75.180000000000007</v>
      </c>
      <c r="K12" s="7">
        <f t="shared" si="5"/>
        <v>9.6659999999999986</v>
      </c>
      <c r="L12" s="7">
        <f t="shared" si="6"/>
        <v>14.1768</v>
      </c>
      <c r="M12" s="7">
        <v>50.51</v>
      </c>
      <c r="N12" s="7">
        <v>0</v>
      </c>
      <c r="O12" s="7">
        <v>0</v>
      </c>
      <c r="P12" s="7">
        <f t="shared" si="7"/>
        <v>0</v>
      </c>
      <c r="Q12">
        <v>47.43</v>
      </c>
      <c r="R12">
        <v>0</v>
      </c>
      <c r="S12" s="7">
        <v>0</v>
      </c>
      <c r="T12" s="7">
        <f t="shared" si="8"/>
        <v>1400.0752</v>
      </c>
      <c r="U12" s="7">
        <v>0</v>
      </c>
      <c r="V12" s="7">
        <f t="shared" si="9"/>
        <v>747.9248</v>
      </c>
      <c r="W12" t="s">
        <v>628</v>
      </c>
      <c r="X12" t="s">
        <v>627</v>
      </c>
      <c r="Y12">
        <v>0</v>
      </c>
    </row>
    <row r="13" spans="1:25" s="4" customFormat="1">
      <c r="A13" t="s">
        <v>630</v>
      </c>
      <c r="B13" s="6" t="s">
        <v>629</v>
      </c>
      <c r="C13" s="6">
        <v>2230</v>
      </c>
      <c r="D13" s="9">
        <v>69</v>
      </c>
      <c r="E13" s="8">
        <v>75</v>
      </c>
      <c r="F13" s="7">
        <f t="shared" si="0"/>
        <v>2374</v>
      </c>
      <c r="G13" s="6">
        <v>142.53800000000001</v>
      </c>
      <c r="H13" s="6">
        <v>33.335500000000003</v>
      </c>
      <c r="I13" s="6">
        <v>413.82</v>
      </c>
      <c r="J13" s="6">
        <v>80.465000000000003</v>
      </c>
      <c r="K13" s="6">
        <v>10.345499999999999</v>
      </c>
      <c r="L13" s="6">
        <v>15.173400000000001</v>
      </c>
      <c r="M13" s="6">
        <v>0</v>
      </c>
      <c r="N13" s="6">
        <v>0</v>
      </c>
      <c r="O13" s="6">
        <v>48.75</v>
      </c>
      <c r="P13" s="6">
        <v>45.98</v>
      </c>
      <c r="Q13" s="6">
        <v>22.3</v>
      </c>
      <c r="R13" s="6">
        <v>148</v>
      </c>
      <c r="S13" s="4">
        <v>2.2999999999999998</v>
      </c>
      <c r="T13" s="5">
        <f t="shared" si="8"/>
        <v>1410.9926000000003</v>
      </c>
      <c r="U13" s="5">
        <v>0</v>
      </c>
      <c r="V13" s="5">
        <f t="shared" si="9"/>
        <v>963.00739999999973</v>
      </c>
      <c r="W13" s="4" t="s">
        <v>628</v>
      </c>
      <c r="X13" s="4" t="s">
        <v>627</v>
      </c>
      <c r="Y13" s="4">
        <f>P13/C13</f>
        <v>2.0618834080717487E-2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241BE48-5C55-425F-8DCE-CB8986E4E8D5}">
            <xm:f>NOT(ISERROR(SEARCH("pAID",W1)))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W1:W13</xm:sqref>
        </x14:conditionalFormatting>
        <x14:conditionalFormatting xmlns:xm="http://schemas.microsoft.com/office/excel/2006/main">
          <x14:cfRule type="containsText" priority="2" operator="containsText" id="{5EE1C57B-3C5A-4E61-A282-FA4031DAAA65}">
            <xm:f>NOT(ISERROR(SEARCH("Pending",W2)))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W2:W13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9197-052C-44CC-A57A-777B26906EB1}">
  <dimension ref="A1:B20"/>
  <sheetViews>
    <sheetView workbookViewId="0">
      <selection activeCell="A2" sqref="A2:A13"/>
    </sheetView>
  </sheetViews>
  <sheetFormatPr defaultRowHeight="14.4"/>
  <sheetData>
    <row r="1" spans="1:2">
      <c r="A1" t="s">
        <v>698</v>
      </c>
      <c r="B1" t="s">
        <v>697</v>
      </c>
    </row>
    <row r="2" spans="1:2">
      <c r="A2" t="s">
        <v>696</v>
      </c>
      <c r="B2">
        <f>SUM(Payroll!C2:C13)</f>
        <v>25125</v>
      </c>
    </row>
    <row r="3" spans="1:2">
      <c r="A3" t="s">
        <v>695</v>
      </c>
      <c r="B3" s="10">
        <f>SUM(Payroll!D2:D13)</f>
        <v>807</v>
      </c>
    </row>
    <row r="4" spans="1:2">
      <c r="A4" t="s">
        <v>694</v>
      </c>
      <c r="B4">
        <f>SUM(Payroll!F2:F13)</f>
        <v>26982</v>
      </c>
    </row>
    <row r="5" spans="1:2">
      <c r="A5" t="s">
        <v>693</v>
      </c>
      <c r="B5">
        <f>SUM(Payroll!G2:G13)</f>
        <v>1668.2339999999997</v>
      </c>
    </row>
    <row r="6" spans="1:2">
      <c r="A6" t="s">
        <v>692</v>
      </c>
      <c r="B6">
        <f>SUM(Payroll!H2:H13)</f>
        <v>390.15150000000006</v>
      </c>
    </row>
    <row r="7" spans="1:2">
      <c r="A7" t="s">
        <v>691</v>
      </c>
      <c r="B7">
        <f>SUM(Payroll!I2:I13)</f>
        <v>4843.26</v>
      </c>
    </row>
    <row r="8" spans="1:2">
      <c r="A8" t="s">
        <v>690</v>
      </c>
      <c r="B8">
        <f>SUM(Payroll!J2:J13)</f>
        <v>941.74500000000023</v>
      </c>
    </row>
    <row r="9" spans="1:2">
      <c r="A9" t="s">
        <v>689</v>
      </c>
      <c r="B9">
        <f>SUM(Payroll!K2:K13)</f>
        <v>121.08149999999999</v>
      </c>
    </row>
    <row r="10" spans="1:2">
      <c r="A10" t="s">
        <v>688</v>
      </c>
      <c r="B10">
        <f>SUM(Payroll!L2:L13)</f>
        <v>177.58620000000002</v>
      </c>
    </row>
    <row r="11" spans="1:2">
      <c r="A11" t="s">
        <v>687</v>
      </c>
      <c r="B11">
        <f>SUM(Payroll!M2:M13)</f>
        <v>631.6</v>
      </c>
    </row>
    <row r="12" spans="1:2">
      <c r="A12" t="s">
        <v>686</v>
      </c>
      <c r="B12">
        <f>SUM(Payroll!N2:N13)</f>
        <v>361.89</v>
      </c>
    </row>
    <row r="13" spans="1:2">
      <c r="A13" t="s">
        <v>685</v>
      </c>
      <c r="B13">
        <f>SUM(Payroll!O2:O13)</f>
        <v>272.10000000000002</v>
      </c>
    </row>
    <row r="14" spans="1:2">
      <c r="A14" t="s">
        <v>684</v>
      </c>
      <c r="B14">
        <f>SUM(Payroll!P2:P13)</f>
        <v>545.33000000000004</v>
      </c>
    </row>
    <row r="15" spans="1:2">
      <c r="A15" t="s">
        <v>683</v>
      </c>
      <c r="B15">
        <f>SUM(Payroll!Q2:Q13)</f>
        <v>304.52000000000004</v>
      </c>
    </row>
    <row r="16" spans="1:2">
      <c r="A16" t="s">
        <v>682</v>
      </c>
      <c r="B16">
        <f>SUM(Payroll!R2:R13)</f>
        <v>455.81</v>
      </c>
    </row>
    <row r="17" spans="1:2">
      <c r="A17" t="s">
        <v>681</v>
      </c>
      <c r="B17">
        <f>SUM(Payroll!S2:S13)</f>
        <v>14.280000000000001</v>
      </c>
    </row>
    <row r="18" spans="1:2">
      <c r="A18" t="s">
        <v>659</v>
      </c>
      <c r="B18">
        <f>SUM(Payroll!U2:U13)</f>
        <v>270</v>
      </c>
    </row>
    <row r="19" spans="1:2">
      <c r="A19" t="s">
        <v>680</v>
      </c>
      <c r="B19">
        <f>SUM(Payroll!V2:V13)</f>
        <v>10727.588200000002</v>
      </c>
    </row>
    <row r="20" spans="1:2">
      <c r="A20" t="s">
        <v>679</v>
      </c>
      <c r="B20">
        <f>SUM(Payroll!W2:W13)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57CC-F2E0-4FF2-B956-2122F2C76A7B}">
  <dimension ref="A1:H50"/>
  <sheetViews>
    <sheetView topLeftCell="A29" zoomScaleNormal="60" zoomScaleSheetLayoutView="100" workbookViewId="0">
      <selection activeCell="F32" sqref="F32"/>
    </sheetView>
  </sheetViews>
  <sheetFormatPr defaultRowHeight="14.4"/>
  <cols>
    <col min="1" max="1" width="9" customWidth="1"/>
    <col min="2" max="2" width="12.88671875" customWidth="1"/>
    <col min="3" max="3" width="16.6640625" customWidth="1"/>
    <col min="4" max="4" width="11.5546875" customWidth="1"/>
    <col min="5" max="5" width="11.88671875" customWidth="1"/>
    <col min="6" max="6" width="11" customWidth="1"/>
    <col min="7" max="7" width="11.33203125" customWidth="1"/>
    <col min="8" max="8" width="14.5546875" customWidth="1"/>
  </cols>
  <sheetData>
    <row r="1" spans="1:8" ht="55.5" customHeight="1">
      <c r="A1" s="28" t="s">
        <v>678</v>
      </c>
      <c r="B1" s="35" t="s">
        <v>848</v>
      </c>
      <c r="C1" s="34" t="s">
        <v>859</v>
      </c>
      <c r="D1" s="34" t="s">
        <v>858</v>
      </c>
      <c r="E1" s="34" t="s">
        <v>857</v>
      </c>
      <c r="F1" s="34" t="s">
        <v>837</v>
      </c>
      <c r="G1" s="22" t="s">
        <v>856</v>
      </c>
      <c r="H1" s="33" t="s">
        <v>855</v>
      </c>
    </row>
    <row r="2" spans="1:8" ht="28.8">
      <c r="A2" s="20" t="s">
        <v>144</v>
      </c>
      <c r="B2" s="25">
        <v>0</v>
      </c>
      <c r="C2" s="32">
        <v>1</v>
      </c>
      <c r="D2" s="31">
        <v>46116</v>
      </c>
      <c r="E2" s="25" t="s">
        <v>450</v>
      </c>
      <c r="F2" s="17">
        <v>0</v>
      </c>
      <c r="G2" s="30">
        <v>125</v>
      </c>
      <c r="H2" s="16" t="s">
        <v>850</v>
      </c>
    </row>
    <row r="3" spans="1:8">
      <c r="A3" t="s">
        <v>145</v>
      </c>
      <c r="B3" s="25">
        <v>0</v>
      </c>
      <c r="C3" s="32">
        <v>1</v>
      </c>
      <c r="D3" s="31">
        <v>46116</v>
      </c>
      <c r="E3" s="25" t="s">
        <v>450</v>
      </c>
      <c r="F3" s="17">
        <v>0</v>
      </c>
      <c r="G3" s="30">
        <v>125</v>
      </c>
      <c r="H3" s="16" t="s">
        <v>850</v>
      </c>
    </row>
    <row r="4" spans="1:8" ht="45" customHeight="1">
      <c r="A4" s="20" t="s">
        <v>146</v>
      </c>
      <c r="B4" s="25">
        <v>0</v>
      </c>
      <c r="C4" s="32">
        <v>0.98</v>
      </c>
      <c r="D4" s="31">
        <v>46085</v>
      </c>
      <c r="E4" s="25" t="s">
        <v>450</v>
      </c>
      <c r="F4" s="17">
        <v>0</v>
      </c>
      <c r="G4" s="30">
        <v>75</v>
      </c>
      <c r="H4" s="16" t="s">
        <v>849</v>
      </c>
    </row>
    <row r="5" spans="1:8" ht="24" customHeight="1">
      <c r="A5" s="20" t="s">
        <v>147</v>
      </c>
      <c r="B5" s="25">
        <v>1</v>
      </c>
      <c r="C5" s="32">
        <v>0.92</v>
      </c>
      <c r="D5" s="31">
        <v>46057</v>
      </c>
      <c r="E5" s="25" t="s">
        <v>854</v>
      </c>
      <c r="F5" s="17">
        <v>250</v>
      </c>
      <c r="G5" s="30">
        <v>25</v>
      </c>
      <c r="H5" s="16" t="s">
        <v>853</v>
      </c>
    </row>
    <row r="6" spans="1:8" ht="28.8">
      <c r="A6" s="20" t="s">
        <v>148</v>
      </c>
      <c r="B6" s="25">
        <v>0</v>
      </c>
      <c r="C6" s="32">
        <v>0.99</v>
      </c>
      <c r="D6" s="31">
        <v>46116</v>
      </c>
      <c r="E6" s="25" t="s">
        <v>450</v>
      </c>
      <c r="F6" s="17">
        <v>0</v>
      </c>
      <c r="G6" s="30">
        <v>75</v>
      </c>
      <c r="H6" s="16" t="s">
        <v>849</v>
      </c>
    </row>
    <row r="7" spans="1:8" ht="28.8">
      <c r="A7" s="20" t="s">
        <v>149</v>
      </c>
      <c r="B7" s="25">
        <v>0</v>
      </c>
      <c r="C7" s="32">
        <v>1</v>
      </c>
      <c r="D7" s="31">
        <v>46116</v>
      </c>
      <c r="E7" s="25" t="s">
        <v>450</v>
      </c>
      <c r="F7" s="17">
        <v>0</v>
      </c>
      <c r="G7" s="30">
        <v>125</v>
      </c>
      <c r="H7" s="16" t="s">
        <v>850</v>
      </c>
    </row>
    <row r="8" spans="1:8" ht="28.8">
      <c r="A8" s="20" t="s">
        <v>150</v>
      </c>
      <c r="B8" s="25">
        <v>0</v>
      </c>
      <c r="C8" s="32">
        <v>1</v>
      </c>
      <c r="D8" s="31">
        <v>46116</v>
      </c>
      <c r="E8" s="25" t="s">
        <v>450</v>
      </c>
      <c r="F8" s="17">
        <v>0</v>
      </c>
      <c r="G8" s="30">
        <v>125</v>
      </c>
      <c r="H8" s="16" t="s">
        <v>850</v>
      </c>
    </row>
    <row r="9" spans="1:8" ht="28.8">
      <c r="A9" s="20" t="s">
        <v>151</v>
      </c>
      <c r="B9" s="25">
        <v>2</v>
      </c>
      <c r="C9" s="32">
        <v>0.85</v>
      </c>
      <c r="D9" s="31">
        <v>46026</v>
      </c>
      <c r="E9" s="25" t="s">
        <v>854</v>
      </c>
      <c r="F9" s="17">
        <v>1200</v>
      </c>
      <c r="G9" s="30">
        <v>25</v>
      </c>
      <c r="H9" s="16" t="s">
        <v>853</v>
      </c>
    </row>
    <row r="10" spans="1:8" ht="28.8">
      <c r="A10" s="20" t="s">
        <v>852</v>
      </c>
      <c r="B10" s="25">
        <v>0</v>
      </c>
      <c r="C10" s="32">
        <v>0.96</v>
      </c>
      <c r="D10" s="31">
        <v>46085</v>
      </c>
      <c r="E10" s="25" t="s">
        <v>450</v>
      </c>
      <c r="F10" s="17">
        <v>0</v>
      </c>
      <c r="G10" s="30">
        <v>75</v>
      </c>
      <c r="H10" s="16" t="s">
        <v>849</v>
      </c>
    </row>
    <row r="11" spans="1:8" ht="45" customHeight="1">
      <c r="A11" s="20" t="s">
        <v>851</v>
      </c>
      <c r="B11" s="25">
        <v>0</v>
      </c>
      <c r="C11" s="32">
        <v>1</v>
      </c>
      <c r="D11" s="31">
        <v>46116</v>
      </c>
      <c r="E11" s="25" t="s">
        <v>450</v>
      </c>
      <c r="F11" s="17">
        <v>0</v>
      </c>
      <c r="G11" s="30">
        <v>125</v>
      </c>
      <c r="H11" s="16" t="s">
        <v>850</v>
      </c>
    </row>
    <row r="12" spans="1:8" ht="42" customHeight="1">
      <c r="A12" s="20" t="s">
        <v>154</v>
      </c>
      <c r="B12" s="25">
        <v>0</v>
      </c>
      <c r="C12" s="32">
        <v>0.98</v>
      </c>
      <c r="D12" s="31">
        <v>46116</v>
      </c>
      <c r="E12" s="25" t="s">
        <v>450</v>
      </c>
      <c r="F12" s="17">
        <v>0</v>
      </c>
      <c r="G12" s="30">
        <v>75</v>
      </c>
      <c r="H12" s="16" t="s">
        <v>849</v>
      </c>
    </row>
    <row r="13" spans="1:8" s="26" customFormat="1">
      <c r="A13" s="29"/>
      <c r="B13" s="29"/>
      <c r="C13" s="29"/>
      <c r="D13" s="29"/>
      <c r="E13" s="29"/>
      <c r="F13" s="29"/>
      <c r="G13" s="29"/>
      <c r="H13" s="29"/>
    </row>
    <row r="14" spans="1:8" s="26" customFormat="1">
      <c r="A14" s="29"/>
      <c r="B14" s="29"/>
      <c r="C14" s="29"/>
      <c r="D14" s="29"/>
      <c r="E14" s="29"/>
      <c r="F14" s="29"/>
      <c r="G14" s="29"/>
      <c r="H14" s="29"/>
    </row>
    <row r="15" spans="1:8" s="26" customFormat="1">
      <c r="A15" s="29"/>
      <c r="B15" s="29"/>
      <c r="C15" s="29"/>
      <c r="D15" s="29"/>
      <c r="E15" s="29"/>
      <c r="F15" s="27"/>
      <c r="G15" s="27"/>
      <c r="H15" s="27"/>
    </row>
    <row r="16" spans="1:8" s="26" customFormat="1" ht="21.75" customHeight="1">
      <c r="A16" s="21" t="s">
        <v>678</v>
      </c>
      <c r="B16" s="28" t="s">
        <v>848</v>
      </c>
      <c r="C16" s="28" t="s">
        <v>847</v>
      </c>
      <c r="D16" s="28" t="s">
        <v>702</v>
      </c>
      <c r="E16" s="28" t="s">
        <v>846</v>
      </c>
      <c r="F16" s="27"/>
      <c r="G16" s="27"/>
      <c r="H16" s="27"/>
    </row>
    <row r="17" spans="1:8" ht="27" customHeight="1">
      <c r="A17" s="20" t="s">
        <v>653</v>
      </c>
      <c r="B17" s="25">
        <v>0</v>
      </c>
      <c r="C17" s="24" t="s">
        <v>627</v>
      </c>
      <c r="D17" s="24" t="s">
        <v>839</v>
      </c>
      <c r="E17" s="24" t="s">
        <v>838</v>
      </c>
      <c r="F17" s="23"/>
      <c r="G17" s="23"/>
      <c r="H17" s="23"/>
    </row>
    <row r="18" spans="1:8" ht="39.75" customHeight="1">
      <c r="A18" s="20" t="s">
        <v>647</v>
      </c>
      <c r="B18" s="25">
        <v>1</v>
      </c>
      <c r="C18" s="24" t="s">
        <v>845</v>
      </c>
      <c r="D18" s="24" t="s">
        <v>844</v>
      </c>
      <c r="E18" s="24" t="s">
        <v>843</v>
      </c>
      <c r="F18" s="23"/>
      <c r="G18" s="23"/>
      <c r="H18" s="23"/>
    </row>
    <row r="19" spans="1:8" ht="35.25" customHeight="1">
      <c r="A19" s="20" t="s">
        <v>639</v>
      </c>
      <c r="B19" s="25">
        <v>2</v>
      </c>
      <c r="C19" s="24" t="s">
        <v>842</v>
      </c>
      <c r="D19" s="24" t="s">
        <v>841</v>
      </c>
      <c r="E19" s="24" t="s">
        <v>840</v>
      </c>
      <c r="F19" s="23"/>
      <c r="G19" s="23"/>
      <c r="H19" s="23"/>
    </row>
    <row r="20" spans="1:8" ht="25.5" customHeight="1">
      <c r="A20" s="20" t="s">
        <v>635</v>
      </c>
      <c r="B20" s="25">
        <v>0</v>
      </c>
      <c r="C20" s="24" t="s">
        <v>627</v>
      </c>
      <c r="D20" s="24" t="s">
        <v>839</v>
      </c>
      <c r="E20" s="24" t="s">
        <v>838</v>
      </c>
      <c r="F20" s="23"/>
      <c r="G20" s="23"/>
      <c r="H20" s="23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 ht="29.25" customHeight="1">
      <c r="A22" s="39" t="s">
        <v>837</v>
      </c>
      <c r="B22" s="39"/>
      <c r="C22" s="39"/>
      <c r="D22" s="39"/>
    </row>
    <row r="23" spans="1:8" ht="41.25" customHeight="1">
      <c r="A23" s="21" t="s">
        <v>836</v>
      </c>
      <c r="B23" s="21" t="s">
        <v>835</v>
      </c>
      <c r="C23" s="21" t="s">
        <v>834</v>
      </c>
      <c r="D23" s="21" t="s">
        <v>833</v>
      </c>
    </row>
    <row r="24" spans="1:8" ht="93" customHeight="1">
      <c r="A24" s="20" t="s">
        <v>832</v>
      </c>
      <c r="B24" s="20" t="s">
        <v>831</v>
      </c>
      <c r="C24" s="20" t="s">
        <v>830</v>
      </c>
      <c r="D24" s="20" t="s">
        <v>829</v>
      </c>
    </row>
    <row r="25" spans="1:8" ht="79.5" customHeight="1">
      <c r="A25" s="20" t="s">
        <v>828</v>
      </c>
      <c r="B25" s="20" t="s">
        <v>827</v>
      </c>
      <c r="C25" s="20" t="s">
        <v>826</v>
      </c>
      <c r="D25" s="20" t="s">
        <v>825</v>
      </c>
    </row>
    <row r="26" spans="1:8" ht="76.5" customHeight="1">
      <c r="A26" s="20" t="s">
        <v>824</v>
      </c>
      <c r="B26" s="20" t="s">
        <v>823</v>
      </c>
      <c r="C26" s="20" t="s">
        <v>822</v>
      </c>
      <c r="D26" s="20" t="s">
        <v>821</v>
      </c>
    </row>
    <row r="27" spans="1:8" ht="63" customHeight="1">
      <c r="A27" s="20" t="s">
        <v>820</v>
      </c>
      <c r="B27" s="20" t="s">
        <v>819</v>
      </c>
      <c r="C27" s="20" t="s">
        <v>818</v>
      </c>
      <c r="D27" s="20" t="s">
        <v>817</v>
      </c>
    </row>
    <row r="28" spans="1:8">
      <c r="A28" s="19"/>
      <c r="B28" s="19"/>
      <c r="C28" s="19"/>
      <c r="D28" s="19"/>
    </row>
    <row r="29" spans="1:8">
      <c r="A29" s="19"/>
      <c r="B29" s="19"/>
      <c r="C29" s="19"/>
      <c r="D29" s="19"/>
    </row>
    <row r="30" spans="1:8">
      <c r="A30" s="19"/>
      <c r="B30" s="19"/>
      <c r="C30" s="19"/>
      <c r="D30" s="19"/>
    </row>
    <row r="31" spans="1:8" ht="57.6">
      <c r="A31" s="18" t="s">
        <v>816</v>
      </c>
      <c r="B31" s="18" t="s">
        <v>815</v>
      </c>
      <c r="C31" s="18" t="s">
        <v>814</v>
      </c>
      <c r="D31" s="18" t="s">
        <v>813</v>
      </c>
    </row>
    <row r="32" spans="1:8" ht="43.2">
      <c r="A32" s="16" t="s">
        <v>812</v>
      </c>
      <c r="B32" s="16" t="s">
        <v>811</v>
      </c>
      <c r="C32" s="17">
        <v>25</v>
      </c>
      <c r="D32" s="16" t="s">
        <v>810</v>
      </c>
    </row>
    <row r="33" spans="1:4" ht="57.6">
      <c r="A33" s="16" t="s">
        <v>809</v>
      </c>
      <c r="B33" s="16" t="s">
        <v>808</v>
      </c>
      <c r="C33" s="17">
        <v>25</v>
      </c>
      <c r="D33" s="16" t="s">
        <v>807</v>
      </c>
    </row>
    <row r="34" spans="1:4" ht="43.2">
      <c r="A34" s="16" t="s">
        <v>806</v>
      </c>
      <c r="B34" s="16" t="s">
        <v>805</v>
      </c>
      <c r="C34" s="17">
        <v>50</v>
      </c>
      <c r="D34" s="16" t="s">
        <v>804</v>
      </c>
    </row>
    <row r="35" spans="1:4" ht="43.2">
      <c r="A35" s="16" t="s">
        <v>803</v>
      </c>
      <c r="B35" s="16" t="s">
        <v>802</v>
      </c>
      <c r="C35" s="17">
        <v>25</v>
      </c>
      <c r="D35" s="16" t="s">
        <v>801</v>
      </c>
    </row>
    <row r="38" spans="1:4">
      <c r="A38" t="s">
        <v>800</v>
      </c>
    </row>
    <row r="39" spans="1:4">
      <c r="A39" t="s">
        <v>799</v>
      </c>
    </row>
    <row r="40" spans="1:4">
      <c r="A40" t="s">
        <v>798</v>
      </c>
    </row>
    <row r="41" spans="1:4">
      <c r="A41" t="s">
        <v>797</v>
      </c>
    </row>
    <row r="42" spans="1:4">
      <c r="A42" t="s">
        <v>796</v>
      </c>
    </row>
    <row r="43" spans="1:4">
      <c r="A43" t="s">
        <v>795</v>
      </c>
    </row>
    <row r="44" spans="1:4">
      <c r="A44" t="s">
        <v>794</v>
      </c>
    </row>
    <row r="45" spans="1:4">
      <c r="A45" t="s">
        <v>793</v>
      </c>
    </row>
    <row r="46" spans="1:4">
      <c r="A46" t="s">
        <v>792</v>
      </c>
    </row>
    <row r="47" spans="1:4">
      <c r="A47" t="s">
        <v>791</v>
      </c>
    </row>
    <row r="48" spans="1:4">
      <c r="A48" t="s">
        <v>790</v>
      </c>
    </row>
    <row r="49" spans="1:1">
      <c r="A49" t="s">
        <v>789</v>
      </c>
    </row>
    <row r="50" spans="1:1">
      <c r="A50" t="s">
        <v>788</v>
      </c>
    </row>
  </sheetData>
  <mergeCells count="1">
    <mergeCell ref="A22:D22"/>
  </mergeCells>
  <conditionalFormatting sqref="H1:H1048576">
    <cfRule type="containsText" dxfId="2" priority="2" operator="containsText" text="Elite">
      <formula>NOT(ISERROR(SEARCH("Elite",H1)))</formula>
    </cfRule>
    <cfRule type="containsText" dxfId="1" priority="3" operator="containsText" text="Risk">
      <formula>NOT(ISERROR(SEARCH("Risk",H1)))</formula>
    </cfRule>
  </conditionalFormatting>
  <conditionalFormatting sqref="H2:H12">
    <cfRule type="containsText" dxfId="0" priority="1" operator="containsText" text="Standard">
      <formula>NOT(ISERROR(SEARCH("Standard",H2)))</formula>
    </cfRule>
  </conditionalFormatting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3237-1ADA-4007-9624-8BEE8932F38B}">
  <dimension ref="A1:AB5"/>
  <sheetViews>
    <sheetView showGridLines="0" workbookViewId="0"/>
  </sheetViews>
  <sheetFormatPr defaultRowHeight="14.4"/>
  <cols>
    <col min="1" max="1" width="10" style="12" customWidth="1"/>
    <col min="2" max="2" width="11" style="12" customWidth="1"/>
    <col min="3" max="3" width="13" style="12" customWidth="1"/>
    <col min="4" max="4" width="15" style="12" customWidth="1"/>
    <col min="5" max="6" width="10" style="12" customWidth="1"/>
    <col min="7" max="7" width="21" style="12" customWidth="1"/>
    <col min="8" max="8" width="10" style="12" customWidth="1"/>
    <col min="9" max="9" width="25" style="12" customWidth="1"/>
    <col min="10" max="10" width="28" style="12" customWidth="1"/>
    <col min="11" max="11" width="22" style="12" customWidth="1"/>
    <col min="12" max="12" width="15" style="12" customWidth="1"/>
    <col min="13" max="13" width="19" style="12" customWidth="1"/>
    <col min="14" max="14" width="18" style="12" customWidth="1"/>
    <col min="15" max="15" width="14" style="12" customWidth="1"/>
    <col min="16" max="16" width="16" style="12" customWidth="1"/>
    <col min="17" max="18" width="14" style="12" customWidth="1"/>
    <col min="19" max="19" width="16" style="12" customWidth="1"/>
    <col min="20" max="20" width="18" style="12" customWidth="1"/>
    <col min="21" max="21" width="20" style="12" customWidth="1"/>
    <col min="22" max="22" width="18" style="12" customWidth="1"/>
    <col min="23" max="23" width="32" style="12" customWidth="1"/>
    <col min="24" max="16384" width="8.88671875" style="12"/>
  </cols>
  <sheetData>
    <row r="1" spans="1:28">
      <c r="A1" s="11" t="s">
        <v>699</v>
      </c>
      <c r="B1" s="11" t="s">
        <v>0</v>
      </c>
      <c r="C1" s="11" t="s">
        <v>700</v>
      </c>
      <c r="D1" s="11" t="s">
        <v>701</v>
      </c>
      <c r="E1" s="11" t="s">
        <v>702</v>
      </c>
      <c r="F1" s="11" t="s">
        <v>9</v>
      </c>
      <c r="G1" s="11" t="s">
        <v>703</v>
      </c>
      <c r="H1" s="11" t="s">
        <v>704</v>
      </c>
      <c r="I1" s="11" t="s">
        <v>705</v>
      </c>
      <c r="J1" s="11" t="s">
        <v>706</v>
      </c>
      <c r="K1" s="11" t="s">
        <v>707</v>
      </c>
      <c r="L1" s="11" t="s">
        <v>708</v>
      </c>
      <c r="M1" s="11" t="s">
        <v>709</v>
      </c>
      <c r="N1" s="11" t="s">
        <v>710</v>
      </c>
      <c r="O1" s="11" t="s">
        <v>711</v>
      </c>
      <c r="P1" s="11" t="s">
        <v>712</v>
      </c>
      <c r="Q1" s="11" t="s">
        <v>713</v>
      </c>
      <c r="R1" s="11" t="s">
        <v>714</v>
      </c>
      <c r="S1" s="11" t="s">
        <v>715</v>
      </c>
      <c r="T1" s="11" t="s">
        <v>716</v>
      </c>
      <c r="U1" s="11" t="s">
        <v>717</v>
      </c>
      <c r="V1" s="11" t="s">
        <v>718</v>
      </c>
      <c r="W1" s="11" t="s">
        <v>719</v>
      </c>
      <c r="X1" s="12" t="s">
        <v>720</v>
      </c>
      <c r="Y1" s="12" t="s">
        <v>721</v>
      </c>
      <c r="Z1" s="12" t="s">
        <v>722</v>
      </c>
      <c r="AA1" s="12" t="s">
        <v>723</v>
      </c>
      <c r="AB1" s="12" t="s">
        <v>724</v>
      </c>
    </row>
    <row r="2" spans="1:28">
      <c r="A2" s="12" t="s">
        <v>725</v>
      </c>
      <c r="B2" s="12" t="s">
        <v>141</v>
      </c>
      <c r="C2" s="12" t="s">
        <v>153</v>
      </c>
      <c r="D2" s="12" t="s">
        <v>726</v>
      </c>
      <c r="E2" s="12" t="s">
        <v>727</v>
      </c>
      <c r="F2" s="12" t="s">
        <v>728</v>
      </c>
      <c r="G2" s="13">
        <v>46103.343055555553</v>
      </c>
      <c r="H2" s="12" t="s">
        <v>729</v>
      </c>
      <c r="I2" s="12" t="s">
        <v>730</v>
      </c>
      <c r="J2" s="12" t="s">
        <v>731</v>
      </c>
      <c r="K2" s="12" t="s">
        <v>732</v>
      </c>
      <c r="L2" s="12" t="s">
        <v>733</v>
      </c>
      <c r="M2" s="12" t="s">
        <v>734</v>
      </c>
      <c r="N2" s="12" t="s">
        <v>735</v>
      </c>
      <c r="O2" s="12" t="s">
        <v>728</v>
      </c>
      <c r="P2" s="12" t="s">
        <v>736</v>
      </c>
      <c r="Q2" s="14">
        <v>46103</v>
      </c>
      <c r="R2" s="15">
        <v>9770.26</v>
      </c>
      <c r="S2" s="15">
        <v>500</v>
      </c>
      <c r="T2" s="12" t="s">
        <v>737</v>
      </c>
      <c r="U2" s="12" t="s">
        <v>738</v>
      </c>
      <c r="V2" s="12" t="s">
        <v>739</v>
      </c>
      <c r="W2" s="12" t="s">
        <v>740</v>
      </c>
      <c r="X2" s="12" t="s">
        <v>741</v>
      </c>
      <c r="Y2" s="12" t="s">
        <v>742</v>
      </c>
      <c r="Z2" s="12" t="s">
        <v>743</v>
      </c>
      <c r="AA2" s="12" t="s">
        <v>744</v>
      </c>
      <c r="AB2" s="12" t="s">
        <v>745</v>
      </c>
    </row>
    <row r="3" spans="1:28">
      <c r="A3" s="12" t="s">
        <v>746</v>
      </c>
      <c r="B3" s="12" t="s">
        <v>137</v>
      </c>
      <c r="C3" s="12" t="s">
        <v>149</v>
      </c>
      <c r="D3" s="12" t="s">
        <v>747</v>
      </c>
      <c r="E3" s="12" t="s">
        <v>748</v>
      </c>
      <c r="F3" s="12" t="s">
        <v>728</v>
      </c>
      <c r="G3" s="13">
        <v>46103.438194444447</v>
      </c>
      <c r="H3" s="12" t="s">
        <v>749</v>
      </c>
      <c r="I3" s="12" t="s">
        <v>750</v>
      </c>
      <c r="J3" s="12" t="s">
        <v>751</v>
      </c>
      <c r="K3" s="12" t="s">
        <v>752</v>
      </c>
      <c r="L3" s="12" t="s">
        <v>733</v>
      </c>
      <c r="M3" s="12" t="s">
        <v>753</v>
      </c>
      <c r="N3" s="12" t="s">
        <v>754</v>
      </c>
      <c r="O3" s="12" t="s">
        <v>755</v>
      </c>
      <c r="P3" s="12" t="s">
        <v>736</v>
      </c>
      <c r="Q3" s="14">
        <v>46103</v>
      </c>
      <c r="R3" s="15">
        <v>6563.99</v>
      </c>
      <c r="S3" s="15">
        <v>2500</v>
      </c>
      <c r="T3" s="12" t="s">
        <v>756</v>
      </c>
      <c r="U3" s="12" t="s">
        <v>757</v>
      </c>
      <c r="V3" s="12" t="s">
        <v>758</v>
      </c>
      <c r="W3" s="12" t="s">
        <v>759</v>
      </c>
      <c r="X3" s="12" t="s">
        <v>741</v>
      </c>
      <c r="Y3" s="12" t="s">
        <v>760</v>
      </c>
      <c r="Z3" s="12" t="s">
        <v>761</v>
      </c>
      <c r="AA3" s="12" t="s">
        <v>744</v>
      </c>
      <c r="AB3" s="12" t="s">
        <v>745</v>
      </c>
    </row>
    <row r="4" spans="1:28">
      <c r="A4" s="12" t="s">
        <v>762</v>
      </c>
      <c r="B4" s="12" t="s">
        <v>135</v>
      </c>
      <c r="C4" s="12" t="s">
        <v>147</v>
      </c>
      <c r="D4" s="12" t="s">
        <v>763</v>
      </c>
      <c r="E4" s="12" t="s">
        <v>727</v>
      </c>
      <c r="F4" s="12" t="s">
        <v>728</v>
      </c>
      <c r="G4" s="13">
        <v>46103.459722222222</v>
      </c>
      <c r="H4" s="12" t="s">
        <v>764</v>
      </c>
      <c r="I4" s="12" t="s">
        <v>765</v>
      </c>
      <c r="J4" s="12" t="s">
        <v>766</v>
      </c>
      <c r="K4" s="12" t="s">
        <v>767</v>
      </c>
      <c r="L4" s="12" t="s">
        <v>733</v>
      </c>
      <c r="M4" s="12" t="s">
        <v>768</v>
      </c>
      <c r="N4" s="12" t="s">
        <v>769</v>
      </c>
      <c r="O4" s="12" t="s">
        <v>728</v>
      </c>
      <c r="P4" s="12" t="s">
        <v>770</v>
      </c>
      <c r="Q4" s="14">
        <v>46103</v>
      </c>
      <c r="R4" s="15">
        <v>11266.88</v>
      </c>
      <c r="S4" s="15">
        <v>2500</v>
      </c>
      <c r="T4" s="12" t="s">
        <v>771</v>
      </c>
      <c r="U4" s="12" t="s">
        <v>772</v>
      </c>
      <c r="V4" s="12" t="s">
        <v>773</v>
      </c>
      <c r="W4" s="12" t="s">
        <v>774</v>
      </c>
      <c r="X4" s="12" t="s">
        <v>745</v>
      </c>
      <c r="Y4" s="12" t="s">
        <v>775</v>
      </c>
      <c r="Z4" s="12" t="s">
        <v>776</v>
      </c>
      <c r="AA4" s="12" t="s">
        <v>744</v>
      </c>
      <c r="AB4" s="12" t="s">
        <v>745</v>
      </c>
    </row>
    <row r="5" spans="1:28">
      <c r="A5" s="12" t="s">
        <v>777</v>
      </c>
      <c r="B5" s="12" t="s">
        <v>133</v>
      </c>
      <c r="C5" s="12" t="s">
        <v>145</v>
      </c>
      <c r="D5" s="12" t="s">
        <v>778</v>
      </c>
      <c r="E5" s="12" t="s">
        <v>748</v>
      </c>
      <c r="F5" s="12" t="s">
        <v>779</v>
      </c>
      <c r="G5" s="13">
        <v>46103.491666666669</v>
      </c>
      <c r="H5" s="12" t="s">
        <v>780</v>
      </c>
      <c r="I5" s="12" t="s">
        <v>781</v>
      </c>
      <c r="J5" s="12" t="s">
        <v>782</v>
      </c>
      <c r="K5" s="12" t="s">
        <v>783</v>
      </c>
      <c r="L5" s="12" t="s">
        <v>733</v>
      </c>
      <c r="M5" s="12" t="s">
        <v>784</v>
      </c>
      <c r="Q5" s="14"/>
      <c r="R5" s="15"/>
      <c r="S5" s="15"/>
      <c r="X5" s="12" t="s">
        <v>741</v>
      </c>
      <c r="Y5" s="12" t="s">
        <v>785</v>
      </c>
      <c r="Z5" s="12" t="s">
        <v>786</v>
      </c>
      <c r="AA5" s="12" t="s">
        <v>787</v>
      </c>
      <c r="AB5" s="12" t="s">
        <v>741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C8D3-5F3A-41CC-BC25-F5F159B46B40}">
  <dimension ref="A1:H26"/>
  <sheetViews>
    <sheetView showGridLines="0" tabSelected="1" topLeftCell="A12" workbookViewId="0">
      <selection activeCell="G16" sqref="G16"/>
    </sheetView>
  </sheetViews>
  <sheetFormatPr defaultRowHeight="14.4"/>
  <cols>
    <col min="1" max="1" width="10" style="12" customWidth="1"/>
    <col min="2" max="2" width="20" style="12" customWidth="1"/>
    <col min="3" max="3" width="22" style="12" customWidth="1"/>
    <col min="4" max="5" width="21" style="12" customWidth="1"/>
    <col min="6" max="7" width="28" style="12" customWidth="1"/>
    <col min="8" max="8" width="14" style="12" customWidth="1"/>
    <col min="9" max="16384" width="8.88671875" style="12"/>
  </cols>
  <sheetData>
    <row r="1" spans="1:8">
      <c r="A1" s="11" t="s">
        <v>860</v>
      </c>
      <c r="B1" s="11" t="s">
        <v>861</v>
      </c>
      <c r="C1" s="11" t="s">
        <v>862</v>
      </c>
      <c r="D1" s="11" t="s">
        <v>863</v>
      </c>
      <c r="E1" s="11" t="s">
        <v>864</v>
      </c>
      <c r="F1" s="11" t="s">
        <v>865</v>
      </c>
      <c r="G1" s="11" t="s">
        <v>866</v>
      </c>
      <c r="H1" s="11" t="s">
        <v>867</v>
      </c>
    </row>
    <row r="2" spans="1:8">
      <c r="A2" s="12" t="s">
        <v>780</v>
      </c>
      <c r="B2" s="12" t="s">
        <v>143</v>
      </c>
      <c r="C2" s="12" t="s">
        <v>155</v>
      </c>
      <c r="D2" s="36">
        <v>46142</v>
      </c>
      <c r="E2" s="36">
        <v>46484</v>
      </c>
      <c r="F2" s="12" t="str">
        <f t="shared" ref="F2:F26" ca="1" si="0">IF(E2&lt;TODAY(),"EXPIRED",IF(E2&lt;=TODAY()+30,"DUE_SOON","OK"))</f>
        <v>OK</v>
      </c>
      <c r="G2" s="12" t="str">
        <f t="shared" ref="G2:G26" ca="1" si="1">IF(E2&lt;TODAY(),"EXPIRED",IF(E2&lt;=TODAY()+30,"DUE_SOON","OK"))</f>
        <v>OK</v>
      </c>
      <c r="H2" s="12" t="s">
        <v>745</v>
      </c>
    </row>
    <row r="3" spans="1:8">
      <c r="A3" s="12" t="s">
        <v>868</v>
      </c>
      <c r="B3" s="12" t="s">
        <v>132</v>
      </c>
      <c r="C3" s="12" t="s">
        <v>144</v>
      </c>
      <c r="D3" s="36">
        <v>46376</v>
      </c>
      <c r="E3" s="36">
        <v>46432</v>
      </c>
      <c r="F3" s="12" t="str">
        <f t="shared" ca="1" si="0"/>
        <v>OK</v>
      </c>
      <c r="G3" s="12" t="str">
        <f t="shared" ca="1" si="1"/>
        <v>OK</v>
      </c>
      <c r="H3" s="12" t="s">
        <v>745</v>
      </c>
    </row>
    <row r="4" spans="1:8">
      <c r="A4" s="12" t="s">
        <v>869</v>
      </c>
      <c r="B4" s="12" t="s">
        <v>137</v>
      </c>
      <c r="C4" s="12" t="s">
        <v>149</v>
      </c>
      <c r="D4" s="36">
        <v>46146</v>
      </c>
      <c r="E4" s="36">
        <v>46460</v>
      </c>
      <c r="F4" s="12" t="str">
        <f t="shared" ca="1" si="0"/>
        <v>OK</v>
      </c>
      <c r="G4" s="12" t="str">
        <f t="shared" ca="1" si="1"/>
        <v>OK</v>
      </c>
      <c r="H4" s="12" t="s">
        <v>745</v>
      </c>
    </row>
    <row r="5" spans="1:8">
      <c r="A5" s="12" t="s">
        <v>870</v>
      </c>
      <c r="B5" s="12" t="s">
        <v>136</v>
      </c>
      <c r="C5" s="12" t="s">
        <v>148</v>
      </c>
      <c r="D5" s="36">
        <v>46091</v>
      </c>
      <c r="E5" s="36">
        <v>46442</v>
      </c>
      <c r="F5" s="12" t="str">
        <f t="shared" ca="1" si="0"/>
        <v>OK</v>
      </c>
      <c r="G5" s="12" t="str">
        <f t="shared" ca="1" si="1"/>
        <v>OK</v>
      </c>
      <c r="H5" s="12" t="s">
        <v>745</v>
      </c>
    </row>
    <row r="6" spans="1:8">
      <c r="A6" s="12" t="s">
        <v>871</v>
      </c>
      <c r="B6" s="12" t="s">
        <v>141</v>
      </c>
      <c r="C6" s="12" t="s">
        <v>153</v>
      </c>
      <c r="D6" s="36">
        <v>46112</v>
      </c>
      <c r="E6" s="36">
        <v>46530</v>
      </c>
      <c r="F6" s="12" t="str">
        <f t="shared" ca="1" si="0"/>
        <v>OK</v>
      </c>
      <c r="G6" s="12" t="str">
        <f t="shared" ca="1" si="1"/>
        <v>OK</v>
      </c>
      <c r="H6" s="12" t="s">
        <v>745</v>
      </c>
    </row>
    <row r="7" spans="1:8">
      <c r="A7" s="12" t="s">
        <v>872</v>
      </c>
      <c r="B7" s="12" t="s">
        <v>139</v>
      </c>
      <c r="C7" s="12" t="s">
        <v>151</v>
      </c>
      <c r="D7" s="36">
        <v>46027</v>
      </c>
      <c r="E7" s="36">
        <v>46470</v>
      </c>
      <c r="F7" s="12" t="str">
        <f t="shared" ca="1" si="0"/>
        <v>OK</v>
      </c>
      <c r="G7" s="12" t="str">
        <f t="shared" ca="1" si="1"/>
        <v>OK</v>
      </c>
      <c r="H7" s="12" t="s">
        <v>745</v>
      </c>
    </row>
    <row r="8" spans="1:8">
      <c r="A8" s="12" t="s">
        <v>873</v>
      </c>
      <c r="B8" s="12" t="s">
        <v>134</v>
      </c>
      <c r="C8" s="12" t="s">
        <v>146</v>
      </c>
      <c r="D8" s="36">
        <v>46186</v>
      </c>
      <c r="E8" s="36">
        <v>46432</v>
      </c>
      <c r="F8" s="12" t="str">
        <f t="shared" ca="1" si="0"/>
        <v>OK</v>
      </c>
      <c r="G8" s="12" t="str">
        <f t="shared" ca="1" si="1"/>
        <v>OK</v>
      </c>
      <c r="H8" s="12" t="s">
        <v>745</v>
      </c>
    </row>
    <row r="9" spans="1:8">
      <c r="A9" s="12" t="s">
        <v>764</v>
      </c>
      <c r="B9" s="12" t="s">
        <v>135</v>
      </c>
      <c r="C9" s="12" t="s">
        <v>147</v>
      </c>
      <c r="D9" s="36">
        <v>46129</v>
      </c>
      <c r="E9" s="36">
        <v>46492</v>
      </c>
      <c r="F9" s="12" t="str">
        <f t="shared" ca="1" si="0"/>
        <v>OK</v>
      </c>
      <c r="G9" s="12" t="str">
        <f t="shared" ca="1" si="1"/>
        <v>OK</v>
      </c>
      <c r="H9" s="12" t="s">
        <v>745</v>
      </c>
    </row>
    <row r="10" spans="1:8">
      <c r="A10" s="12" t="s">
        <v>874</v>
      </c>
      <c r="B10" s="12" t="s">
        <v>140</v>
      </c>
      <c r="C10" s="12" t="s">
        <v>152</v>
      </c>
      <c r="D10" s="36">
        <v>46244</v>
      </c>
      <c r="E10" s="36">
        <v>46427</v>
      </c>
      <c r="F10" s="12" t="str">
        <f t="shared" ca="1" si="0"/>
        <v>OK</v>
      </c>
      <c r="G10" s="12" t="str">
        <f t="shared" ca="1" si="1"/>
        <v>OK</v>
      </c>
      <c r="H10" s="12" t="s">
        <v>745</v>
      </c>
    </row>
    <row r="11" spans="1:8">
      <c r="A11" s="12" t="s">
        <v>729</v>
      </c>
      <c r="B11" s="12" t="s">
        <v>135</v>
      </c>
      <c r="C11" s="12" t="s">
        <v>147</v>
      </c>
      <c r="D11" s="36">
        <v>46362</v>
      </c>
      <c r="E11" s="36">
        <v>46461</v>
      </c>
      <c r="F11" s="12" t="str">
        <f t="shared" ca="1" si="0"/>
        <v>OK</v>
      </c>
      <c r="G11" s="12" t="str">
        <f t="shared" ca="1" si="1"/>
        <v>OK</v>
      </c>
      <c r="H11" s="12" t="s">
        <v>745</v>
      </c>
    </row>
    <row r="12" spans="1:8">
      <c r="A12" s="12" t="s">
        <v>749</v>
      </c>
      <c r="B12" s="12" t="s">
        <v>138</v>
      </c>
      <c r="C12" s="12" t="s">
        <v>150</v>
      </c>
      <c r="D12" s="36">
        <v>46377</v>
      </c>
      <c r="E12" s="36">
        <v>46523</v>
      </c>
      <c r="F12" s="12" t="str">
        <f t="shared" ca="1" si="0"/>
        <v>OK</v>
      </c>
      <c r="G12" s="12" t="str">
        <f t="shared" ca="1" si="1"/>
        <v>OK</v>
      </c>
      <c r="H12" s="12" t="s">
        <v>745</v>
      </c>
    </row>
    <row r="13" spans="1:8">
      <c r="A13" s="12" t="s">
        <v>875</v>
      </c>
      <c r="B13" s="12" t="s">
        <v>136</v>
      </c>
      <c r="C13" s="12" t="s">
        <v>148</v>
      </c>
      <c r="D13" s="36">
        <v>46386</v>
      </c>
      <c r="E13" s="36">
        <v>46536</v>
      </c>
      <c r="F13" s="12" t="str">
        <f t="shared" ca="1" si="0"/>
        <v>OK</v>
      </c>
      <c r="G13" s="12" t="str">
        <f t="shared" ca="1" si="1"/>
        <v>OK</v>
      </c>
      <c r="H13" s="12" t="s">
        <v>745</v>
      </c>
    </row>
    <row r="14" spans="1:8">
      <c r="A14" s="12" t="s">
        <v>876</v>
      </c>
      <c r="B14" s="12" t="s">
        <v>135</v>
      </c>
      <c r="C14" s="12" t="s">
        <v>147</v>
      </c>
      <c r="D14" s="36">
        <v>46272</v>
      </c>
      <c r="E14" s="36">
        <v>46455</v>
      </c>
      <c r="F14" s="12" t="str">
        <f t="shared" ca="1" si="0"/>
        <v>OK</v>
      </c>
      <c r="G14" s="12" t="str">
        <f t="shared" ca="1" si="1"/>
        <v>OK</v>
      </c>
      <c r="H14" s="12" t="s">
        <v>745</v>
      </c>
    </row>
    <row r="15" spans="1:8">
      <c r="A15" s="12" t="s">
        <v>877</v>
      </c>
      <c r="B15" s="12" t="s">
        <v>142</v>
      </c>
      <c r="C15" s="12" t="s">
        <v>154</v>
      </c>
      <c r="D15" s="36">
        <v>46281</v>
      </c>
      <c r="E15" s="36">
        <v>46536</v>
      </c>
      <c r="F15" s="12" t="str">
        <f t="shared" ca="1" si="0"/>
        <v>OK</v>
      </c>
      <c r="G15" s="12" t="str">
        <f t="shared" ca="1" si="1"/>
        <v>OK</v>
      </c>
      <c r="H15" s="12" t="s">
        <v>745</v>
      </c>
    </row>
    <row r="16" spans="1:8">
      <c r="A16" s="12" t="s">
        <v>878</v>
      </c>
      <c r="B16" s="12" t="s">
        <v>143</v>
      </c>
      <c r="C16" s="12" t="s">
        <v>155</v>
      </c>
      <c r="D16" s="36">
        <v>46213</v>
      </c>
      <c r="E16" s="36">
        <v>46465</v>
      </c>
      <c r="F16" s="12" t="str">
        <f t="shared" ca="1" si="0"/>
        <v>OK</v>
      </c>
      <c r="G16" s="12" t="str">
        <f t="shared" ca="1" si="1"/>
        <v>OK</v>
      </c>
      <c r="H16" s="12" t="s">
        <v>745</v>
      </c>
    </row>
    <row r="17" spans="1:8">
      <c r="A17" s="12" t="s">
        <v>879</v>
      </c>
      <c r="B17" s="12" t="s">
        <v>135</v>
      </c>
      <c r="C17" s="12" t="s">
        <v>147</v>
      </c>
      <c r="D17" s="36">
        <v>46046</v>
      </c>
      <c r="E17" s="36">
        <v>46531</v>
      </c>
      <c r="F17" s="12" t="str">
        <f t="shared" ca="1" si="0"/>
        <v>OK</v>
      </c>
      <c r="G17" s="12" t="str">
        <f t="shared" ca="1" si="1"/>
        <v>OK</v>
      </c>
      <c r="H17" s="12" t="s">
        <v>745</v>
      </c>
    </row>
    <row r="18" spans="1:8">
      <c r="A18" s="12" t="s">
        <v>880</v>
      </c>
      <c r="B18" s="12" t="s">
        <v>137</v>
      </c>
      <c r="C18" s="12" t="s">
        <v>149</v>
      </c>
      <c r="D18" s="36">
        <v>46150</v>
      </c>
      <c r="E18" s="36">
        <v>46434</v>
      </c>
      <c r="F18" s="12" t="str">
        <f t="shared" ca="1" si="0"/>
        <v>OK</v>
      </c>
      <c r="G18" s="12" t="str">
        <f t="shared" ca="1" si="1"/>
        <v>OK</v>
      </c>
      <c r="H18" s="12" t="s">
        <v>745</v>
      </c>
    </row>
    <row r="19" spans="1:8">
      <c r="A19" s="12" t="s">
        <v>881</v>
      </c>
      <c r="B19" s="12" t="s">
        <v>142</v>
      </c>
      <c r="C19" s="12" t="s">
        <v>154</v>
      </c>
      <c r="D19" s="36">
        <v>46281</v>
      </c>
      <c r="E19" s="36">
        <v>46499</v>
      </c>
      <c r="F19" s="12" t="str">
        <f t="shared" ca="1" si="0"/>
        <v>OK</v>
      </c>
      <c r="G19" s="12" t="str">
        <f t="shared" ca="1" si="1"/>
        <v>OK</v>
      </c>
      <c r="H19" s="12" t="s">
        <v>745</v>
      </c>
    </row>
    <row r="20" spans="1:8">
      <c r="A20" s="12" t="s">
        <v>882</v>
      </c>
      <c r="B20" s="12" t="s">
        <v>137</v>
      </c>
      <c r="C20" s="12" t="s">
        <v>149</v>
      </c>
      <c r="D20" s="36">
        <v>46324</v>
      </c>
      <c r="E20" s="36">
        <v>46494</v>
      </c>
      <c r="F20" s="12" t="str">
        <f t="shared" ca="1" si="0"/>
        <v>OK</v>
      </c>
      <c r="G20" s="12" t="str">
        <f t="shared" ca="1" si="1"/>
        <v>OK</v>
      </c>
      <c r="H20" s="12" t="s">
        <v>745</v>
      </c>
    </row>
    <row r="21" spans="1:8">
      <c r="A21" s="12" t="s">
        <v>883</v>
      </c>
      <c r="B21" s="12" t="s">
        <v>139</v>
      </c>
      <c r="C21" s="12" t="s">
        <v>151</v>
      </c>
      <c r="D21" s="36">
        <v>46351</v>
      </c>
      <c r="E21" s="36">
        <v>46463</v>
      </c>
      <c r="F21" s="12" t="str">
        <f t="shared" ca="1" si="0"/>
        <v>OK</v>
      </c>
      <c r="G21" s="12" t="str">
        <f t="shared" ca="1" si="1"/>
        <v>OK</v>
      </c>
      <c r="H21" s="12" t="s">
        <v>745</v>
      </c>
    </row>
    <row r="22" spans="1:8">
      <c r="A22" s="12" t="s">
        <v>884</v>
      </c>
      <c r="B22" s="12" t="s">
        <v>132</v>
      </c>
      <c r="C22" s="12" t="s">
        <v>144</v>
      </c>
      <c r="D22" s="36">
        <v>46108</v>
      </c>
      <c r="E22" s="36">
        <v>46429</v>
      </c>
      <c r="F22" s="12" t="str">
        <f t="shared" ca="1" si="0"/>
        <v>OK</v>
      </c>
      <c r="G22" s="12" t="str">
        <f t="shared" ca="1" si="1"/>
        <v>OK</v>
      </c>
      <c r="H22" s="12" t="s">
        <v>745</v>
      </c>
    </row>
    <row r="23" spans="1:8">
      <c r="A23" s="12" t="s">
        <v>885</v>
      </c>
      <c r="B23" s="12" t="s">
        <v>133</v>
      </c>
      <c r="C23" s="12" t="s">
        <v>145</v>
      </c>
      <c r="D23" s="36">
        <v>46208</v>
      </c>
      <c r="E23" s="36">
        <v>46471</v>
      </c>
      <c r="F23" s="12" t="str">
        <f t="shared" ca="1" si="0"/>
        <v>OK</v>
      </c>
      <c r="G23" s="12" t="str">
        <f t="shared" ca="1" si="1"/>
        <v>OK</v>
      </c>
      <c r="H23" s="12" t="s">
        <v>745</v>
      </c>
    </row>
    <row r="24" spans="1:8">
      <c r="A24" s="12" t="s">
        <v>886</v>
      </c>
      <c r="B24" s="12" t="s">
        <v>134</v>
      </c>
      <c r="C24" s="12" t="s">
        <v>146</v>
      </c>
      <c r="D24" s="36">
        <v>46316</v>
      </c>
      <c r="E24" s="36">
        <v>46465</v>
      </c>
      <c r="F24" s="12" t="str">
        <f t="shared" ca="1" si="0"/>
        <v>OK</v>
      </c>
      <c r="G24" s="12" t="str">
        <f t="shared" ca="1" si="1"/>
        <v>OK</v>
      </c>
      <c r="H24" s="12" t="s">
        <v>745</v>
      </c>
    </row>
    <row r="25" spans="1:8">
      <c r="A25" s="12" t="s">
        <v>887</v>
      </c>
      <c r="B25" s="12" t="s">
        <v>133</v>
      </c>
      <c r="C25" s="12" t="s">
        <v>145</v>
      </c>
      <c r="D25" s="36">
        <v>46238</v>
      </c>
      <c r="E25" s="36">
        <v>46467</v>
      </c>
      <c r="F25" s="12" t="str">
        <f t="shared" ca="1" si="0"/>
        <v>OK</v>
      </c>
      <c r="G25" s="12" t="str">
        <f t="shared" ca="1" si="1"/>
        <v>OK</v>
      </c>
      <c r="H25" s="12" t="s">
        <v>745</v>
      </c>
    </row>
    <row r="26" spans="1:8">
      <c r="A26" s="12" t="s">
        <v>888</v>
      </c>
      <c r="B26" s="12" t="s">
        <v>133</v>
      </c>
      <c r="C26" s="12" t="s">
        <v>145</v>
      </c>
      <c r="D26" s="36">
        <v>46138</v>
      </c>
      <c r="E26" s="36">
        <v>46449</v>
      </c>
      <c r="F26" s="12" t="str">
        <f t="shared" ca="1" si="0"/>
        <v>OK</v>
      </c>
      <c r="G26" s="12" t="str">
        <f t="shared" ca="1" si="1"/>
        <v>OK</v>
      </c>
      <c r="H26" s="12" t="s">
        <v>745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Driver Data</vt:lpstr>
      <vt:lpstr>Dispatch</vt:lpstr>
      <vt:lpstr>Payroll</vt:lpstr>
      <vt:lpstr>Payroll Summary</vt:lpstr>
      <vt:lpstr>Main Safety</vt:lpstr>
      <vt:lpstr>Safety_Events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Sylvester Holmes</dc:creator>
  <cp:lastModifiedBy>Sylvester Holmes</cp:lastModifiedBy>
  <dcterms:created xsi:type="dcterms:W3CDTF">2026-04-18T00:30:19Z</dcterms:created>
  <dcterms:modified xsi:type="dcterms:W3CDTF">2026-05-10T00:54:42Z</dcterms:modified>
</cp:coreProperties>
</file>