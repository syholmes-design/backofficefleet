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iver Data" sheetId="1" r:id="rId1"/>
    <sheet name="Dispatch" sheetId="2" r:id="rId2"/>
    <sheet name="Payroll" sheetId="3" r:id="rId3"/>
    <sheet name="Payroll Summary" sheetId="4" r:id="rId4"/>
    <sheet name="Settlement Summary" sheetId="5" r:id="rId5"/>
    <sheet name="Main Safety" sheetId="6" r:id="rId6"/>
    <sheet name="Safety_Events" sheetId="7" r:id="rId7"/>
    <sheet name="Assets" sheetId="8" r:id="rId8"/>
    <sheet name="Weekly_Settlements" sheetId="9" r:id="rId9"/>
    <sheet name="Settlement_Dashboard" sheetId="10" r:id="rId10"/>
    <sheet name="Settlement_Driver_Summary" sheetId="11" r:id="rId11"/>
    <sheet name="Safety_KPI_Source" sheetId="12" r:id="rId12"/>
    <sheet name="Operational_Risk_Queue" sheetId="13" r:id="rId13"/>
    <sheet name="Compliance_Action_Queue" sheetId="14" r:id="rId14"/>
    <sheet name="Settlement_Holds" sheetId="15" r:id="rId15"/>
    <sheet name="Maintenance_Work_Orders" sheetId="16" r:id="rId16"/>
    <sheet name="RFID_Events" sheetId="17" r:id="rId17"/>
    <sheet name="Route_Intelligence" sheetId="18" r:id="rId18"/>
    <sheet name="Diesel_Pricing" sheetId="19" r:id="rId19"/>
    <sheet name="Rest_Stop_Locations" sheetId="20" r:id="rId20"/>
    <sheet name="V3_Elite_Readme" sheetId="21" r:id="rId2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3">
    <numFmt numFmtId="6" formatCode="&quot;$&quot;#,##0_);[Red]\(&quot;$&quot;#,##0\)"/>
    <numFmt numFmtId="56" formatCode="&quot;上午/下午 &quot;hh&quot;時&quot;mm&quot;分&quot;ss&quot;秒 &quot;"/>
    <numFmt numFmtId="164" formatCode="yyyy\-mm\-dd\ hh:mm:ss"/>
    <numFmt numFmtId="165" formatCode="&quot;$&quot;#,##0.00"/>
    <numFmt numFmtId="166" formatCode="&quot;$&quot;#,##0.00_-"/>
    <numFmt numFmtId="167" formatCode="mm/dd/yyyy"/>
    <numFmt numFmtId="168" formatCode="\$#,##0.00"/>
    <numFmt numFmtId="169" formatCode="mm/dd/yyyy\ hh:mm\ AM/PM"/>
    <numFmt numFmtId="170" formatCode="yyyy\-mm\-dd"/>
    <numFmt numFmtId="171" formatCode="\$#,##0"/>
    <numFmt numFmtId="172" formatCode="yyyy\-mm\-dd\ hh:mm"/>
    <numFmt numFmtId="173" formatCode="0.0"/>
    <numFmt numFmtId="174" formatCode="yyyy\-mm\-dd\ 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B98"/>
  <sheetViews>
    <sheetView workbookViewId="0" rightToLeft="0"/>
  </sheetViews>
  <sheetData>
    <row r="1">
      <c r="A1" t="str">
        <v>Driver ID</v>
      </c>
      <c r="B1" t="str">
        <v>Full Name</v>
      </c>
      <c r="C1" t="str">
        <v>Full Address</v>
      </c>
      <c r="D1" t="str">
        <v>Phone</v>
      </c>
      <c r="E1" t="str">
        <v>SSN (Masked)</v>
      </c>
      <c r="F1" t="str">
        <v>Bank Name</v>
      </c>
      <c r="G1" t="str">
        <v>Routing Number</v>
      </c>
      <c r="H1" t="str">
        <v>Account Number</v>
      </c>
      <c r="I1" t="str">
        <v>Document Type</v>
      </c>
      <c r="J1" t="str">
        <v>Status</v>
      </c>
      <c r="K1" t="str">
        <v>Document Number</v>
      </c>
      <c r="L1" t="str">
        <v>CDL Expiration</v>
      </c>
      <c r="M1" t="str">
        <v>Med Card Expiration</v>
      </c>
      <c r="N1" t="str">
        <v>MVR Expiration</v>
      </c>
      <c r="O1" t="str">
        <v>Incident Details</v>
      </c>
      <c r="P1" t="str">
        <v>Hair Color</v>
      </c>
      <c r="Q1" t="str">
        <v>Eye Color</v>
      </c>
      <c r="R1" t="str">
        <v>Height</v>
      </c>
      <c r="S1" t="str">
        <v>Weight</v>
      </c>
      <c r="T1" t="str">
        <v>Gender</v>
      </c>
      <c r="U1" t="str">
        <v>DOB</v>
      </c>
      <c r="V1" t="str">
        <v>Driver Photo</v>
      </c>
      <c r="W1" t="str">
        <v>Ethnicity</v>
      </c>
      <c r="X1" t="str">
        <v>Email</v>
      </c>
      <c r="Y1" t="str">
        <v>Street Address</v>
      </c>
      <c r="Z1" t="str">
        <v>City</v>
      </c>
      <c r="AA1" t="str">
        <v>State</v>
      </c>
      <c r="AB1" t="str">
        <v>ZIP</v>
      </c>
      <c r="AC1" t="str">
        <v>State of Residence</v>
      </c>
      <c r="AD1" t="str">
        <v>License Class</v>
      </c>
      <c r="AE1" t="str">
        <v>CDL Issue Date</v>
      </c>
      <c r="AF1" t="str">
        <v>CDL Endorsements</v>
      </c>
      <c r="AG1" t="str">
        <v>CDL Restrictions</v>
      </c>
      <c r="AH1" t="str">
        <v>Medical Issue Date</v>
      </c>
      <c r="AI1" t="str">
        <v>Medical Certificate Number</v>
      </c>
      <c r="AJ1" t="str">
        <v>Medical Examiner Name</v>
      </c>
      <c r="AK1" t="str">
        <v>Medical Examiner Registry Number</v>
      </c>
      <c r="AL1" t="str">
        <v>Medical Restrictions</v>
      </c>
      <c r="AM1" t="str">
        <v>Medical Status</v>
      </c>
      <c r="AN1" t="str">
        <v>MVR Review Date</v>
      </c>
      <c r="AO1" t="str">
        <v>Violation Points</v>
      </c>
      <c r="AP1" t="str">
        <v>Accidents on Record</v>
      </c>
      <c r="AQ1" t="str">
        <v>MVR Restrictions</v>
      </c>
      <c r="AR1" t="str">
        <v>MVR Status</v>
      </c>
      <c r="AS1" t="str">
        <v>Hire Date</v>
      </c>
      <c r="AT1" t="str">
        <v>Work Authorization Status</v>
      </c>
      <c r="AU1" t="str">
        <v>I9 Document 1</v>
      </c>
      <c r="AV1" t="str">
        <v>I9 Document 2</v>
      </c>
      <c r="AW1" t="str">
        <v>I9 Document 3</v>
      </c>
      <c r="AX1" t="str">
        <v>I9 Completion Date</v>
      </c>
      <c r="AY1" t="str">
        <v>Employer Representative</v>
      </c>
      <c r="AZ1" t="str">
        <v>I9 Status</v>
      </c>
      <c r="BA1" t="str">
        <v>Business Name</v>
      </c>
      <c r="BB1" t="str">
        <v>Tax Classification</v>
      </c>
      <c r="BC1" t="str">
        <v>TIN Type</v>
      </c>
      <c r="BD1" t="str">
        <v>TIN</v>
      </c>
      <c r="BE1" t="str">
        <v>Exemption Codes</v>
      </c>
      <c r="BF1" t="str">
        <v>W9 Submission Date</v>
      </c>
      <c r="BG1" t="str">
        <v>W9 Status</v>
      </c>
      <c r="BH1" t="str">
        <v>Account Type</v>
      </c>
      <c r="BI1" t="str">
        <v>Payment Preference</v>
      </c>
      <c r="BJ1" t="str">
        <v>Bank Info Submission Date</v>
      </c>
      <c r="BK1" t="str">
        <v>Bank Info Status</v>
      </c>
      <c r="BL1" t="str">
        <v>Road Test Date</v>
      </c>
      <c r="BM1" t="str">
        <v>Examiner Name</v>
      </c>
      <c r="BN1" t="str">
        <v>Vehicle Type</v>
      </c>
      <c r="BO1" t="str">
        <v>Trailer Type</v>
      </c>
      <c r="BP1" t="str">
        <v>Road Test Location</v>
      </c>
      <c r="BQ1" t="str">
        <v>Pre-Trip Inspection Score</v>
      </c>
      <c r="BR1" t="str">
        <v>Vehicle Control Score</v>
      </c>
      <c r="BS1" t="str">
        <v>Backing Score</v>
      </c>
      <c r="BT1" t="str">
        <v>Turning Score</v>
      </c>
      <c r="BU1" t="str">
        <v>Braking Score</v>
      </c>
      <c r="BV1" t="str">
        <v>Mirror Use Score</v>
      </c>
      <c r="BW1" t="str">
        <v>Coupling Score</v>
      </c>
      <c r="BX1" t="str">
        <v>Defensive Driving Score</v>
      </c>
      <c r="BY1" t="str">
        <v>Overall Safety Score</v>
      </c>
      <c r="BZ1" t="str">
        <v>Road Test Result</v>
      </c>
      <c r="CA1" t="str">
        <v>Restrictions or Recommendations</v>
      </c>
      <c r="CB1" t="str">
        <v>Road Test Status</v>
      </c>
      <c r="CC1" t="str">
        <v>Drug and Alcohol Status</v>
      </c>
      <c r="CD1" t="str">
        <v>Clearinghouse Status</v>
      </c>
      <c r="CE1" t="str">
        <v>Compliance Review Date</v>
      </c>
      <c r="CF1" t="str">
        <v>Next Review Date</v>
      </c>
      <c r="CG1" t="str">
        <v>Open Deficiencies</v>
      </c>
      <c r="CH1" t="str">
        <v>Compliance Status</v>
      </c>
      <c r="CI1" t="str">
        <v>Notes</v>
      </c>
      <c r="CJ1" t="str">
        <v>First Name</v>
      </c>
      <c r="CK1" t="str">
        <v>Last Name</v>
      </c>
      <c r="CL1" t="str">
        <v>5876 Driver License Number</v>
      </c>
      <c r="CM1" t="str">
        <v>5876 License Issuing State</v>
      </c>
      <c r="CN1" t="str">
        <v>5876 CLP/CDL Applicant/Holder</v>
      </c>
      <c r="CO1" t="str">
        <v>5876 Driver Signature Name</v>
      </c>
      <c r="CP1" t="str">
        <v>5876 Driver Signature Date</v>
      </c>
      <c r="CQ1" t="str">
        <v>5876 Certificate Expiration Date</v>
      </c>
      <c r="CR1" t="str">
        <v>5876 Medical Examiner Telephone</v>
      </c>
      <c r="CS1" t="str">
        <v>5876 Medical Examiner Signature Name</v>
      </c>
      <c r="CT1" t="str">
        <v>5876 Date Certificate Signed</v>
      </c>
      <c r="CU1" t="str">
        <v>5876 Medical Examiner License Number</v>
      </c>
      <c r="CV1" t="str">
        <v>5876 National Registry Number</v>
      </c>
      <c r="CW1" t="str">
        <v>5876 Practitioner Type</v>
      </c>
      <c r="CX1" t="str">
        <v>5876 Issuing State/Province</v>
      </c>
      <c r="CY1" t="str">
        <v>5876 Certification Basis</v>
      </c>
      <c r="CZ1" t="str">
        <v>5876 State Variance Details</v>
      </c>
      <c r="DA1" t="str">
        <v>5876 Waiver/Exemption</v>
      </c>
      <c r="DB1" t="str">
        <v>5876 SPE Certificate</v>
      </c>
      <c r="DC1" t="str">
        <v>5876 Exempt Intracity Zone</v>
      </c>
      <c r="DD1" t="str">
        <v>5876 Grandfathered from State Requirements</v>
      </c>
      <c r="DE1" t="str">
        <v>5876 Wearing Corrective Lenses</v>
      </c>
      <c r="DF1" t="str">
        <v>5876 Wearing Hearing Aid</v>
      </c>
      <c r="DG1" t="str">
        <v>Emergency Contact Name</v>
      </c>
      <c r="DH1" t="str">
        <v>Emergency Contact Relation</v>
      </c>
      <c r="DI1" t="str">
        <v>Emergency Contact Phone</v>
      </c>
      <c r="DJ1" t="str">
        <v>5875 High Blood Pressure</v>
      </c>
      <c r="DK1" t="str">
        <v>5875 Diabetes</v>
      </c>
      <c r="DL1" t="str">
        <v>5875 Sleep Apnea</v>
      </c>
      <c r="DM1" t="str">
        <v>5875 Heart Disease</v>
      </c>
      <c r="DN1" t="str">
        <v>5875 Surgeries</v>
      </c>
      <c r="DO1" t="str">
        <v>5875 Vision Score Right</v>
      </c>
      <c r="DP1" t="str">
        <v>5875 Vision Score Left</v>
      </c>
      <c r="DQ1" t="str">
        <v>5875 Hearing Score</v>
      </c>
      <c r="DR1" t="str">
        <v>5875 Blood Pressure Sys</v>
      </c>
      <c r="DS1" t="str">
        <v>5875 Blood Pressure Dia</v>
      </c>
      <c r="DT1" t="str">
        <v>5875 Pulse</v>
      </c>
      <c r="DU1" t="str">
        <v>5875 Urinalysis</v>
      </c>
      <c r="DV1" t="str">
        <v>Clearinghouse Consent Date</v>
      </c>
      <c r="DW1" t="str">
        <v>Drug Test Result Date</v>
      </c>
      <c r="DX1" t="str">
        <v>Drug Test Result</v>
      </c>
      <c r="DY1" t="str">
        <v>Safety Policy Ack Date</v>
      </c>
      <c r="DZ1" t="str">
        <v>Safety Policy Name</v>
      </c>
      <c r="EA1" t="str">
        <v>DQF Status</v>
      </c>
      <c r="EB1" t="str">
        <v>DQF Audit Date</v>
      </c>
    </row>
    <row r="2">
      <c r="A2" t="str">
        <v>DRV-001</v>
      </c>
      <c r="B2" t="str">
        <v>John Carter</v>
      </c>
      <c r="C2" t="str">
        <v>220 Demo Street, Cleveland, OH 44113</v>
      </c>
      <c r="D2" t="str">
        <v>206-555-0102</v>
      </c>
      <c r="E2" t="str">
        <v>***-**-0123</v>
      </c>
      <c r="F2" t="str">
        <v>Huntington</v>
      </c>
      <c r="G2">
        <v>000000104</v>
      </c>
      <c r="H2">
        <v>999900202</v>
      </c>
      <c r="I2" t="str">
        <v>CDL Summary</v>
      </c>
      <c r="J2" t="str">
        <v>VALID</v>
      </c>
      <c r="K2" t="str">
        <v>OH0000075</v>
      </c>
      <c r="L2">
        <v>46621</v>
      </c>
      <c r="M2">
        <v>46272</v>
      </c>
      <c r="N2">
        <v>46310</v>
      </c>
      <c r="P2" t="str">
        <v>Black</v>
      </c>
      <c r="Q2" t="str">
        <v>Green</v>
      </c>
      <c r="R2" t="str">
        <v>5'-10"</v>
      </c>
      <c r="S2">
        <v>180</v>
      </c>
      <c r="T2" t="str">
        <v>M</v>
      </c>
      <c r="U2">
        <v>25934</v>
      </c>
      <c r="V2" t="str">
        <v>DRV-001.png</v>
      </c>
      <c r="W2" t="str">
        <v>Caucasian</v>
      </c>
      <c r="X2" t="str">
        <v>jcarter@example.com</v>
      </c>
      <c r="Y2" t="str">
        <v>220 Demo Street</v>
      </c>
      <c r="Z2" t="str">
        <v>Cleveland</v>
      </c>
      <c r="AA2" t="str">
        <v>OH</v>
      </c>
      <c r="AB2">
        <v>44113</v>
      </c>
      <c r="AC2" t="str">
        <v>OH</v>
      </c>
      <c r="AD2" t="str">
        <v>Class A</v>
      </c>
      <c r="AE2">
        <v>44799</v>
      </c>
      <c r="AF2" t="str">
        <v>N,T</v>
      </c>
      <c r="AH2">
        <v>45364</v>
      </c>
      <c r="AI2" t="str">
        <v>MC-0010108</v>
      </c>
      <c r="AJ2" t="str">
        <v>Dr. Patricia Owens</v>
      </c>
      <c r="AK2" t="str">
        <v>ME100001</v>
      </c>
      <c r="AM2" t="str">
        <v>Qualified</v>
      </c>
      <c r="AN2">
        <v>46050</v>
      </c>
      <c r="AO2">
        <v>0</v>
      </c>
      <c r="AP2">
        <v>0</v>
      </c>
      <c r="AR2" t="str">
        <v>Clear</v>
      </c>
      <c r="AS2">
        <v>45392</v>
      </c>
      <c r="AT2" t="str">
        <v>Authorized to Work</v>
      </c>
      <c r="AU2" t="str">
        <v>U.S. Passport</v>
      </c>
      <c r="AX2">
        <v>45392</v>
      </c>
      <c r="AY2" t="str">
        <v>BOF Onboarding Team</v>
      </c>
      <c r="AZ2" t="str">
        <v>Complete</v>
      </c>
      <c r="BB2" t="str">
        <v>Individual/Sole Proprietor</v>
      </c>
      <c r="BC2" t="str">
        <v>SSN</v>
      </c>
      <c r="BD2" t="str">
        <v>***-**-0123</v>
      </c>
      <c r="BF2">
        <v>45392</v>
      </c>
      <c r="BG2" t="str">
        <v>Received</v>
      </c>
      <c r="BH2" t="str">
        <v>Checking</v>
      </c>
      <c r="BI2" t="str">
        <v>Direct Deposit</v>
      </c>
      <c r="BJ2">
        <v>45392</v>
      </c>
      <c r="BK2" t="str">
        <v>Verified</v>
      </c>
      <c r="BL2">
        <v>45385</v>
      </c>
      <c r="BM2" t="str">
        <v>A. Reynolds</v>
      </c>
      <c r="BN2" t="str">
        <v>Sleeper tractor</v>
      </c>
      <c r="BO2" t="str">
        <v>53 ft dry van</v>
      </c>
      <c r="BP2" t="str">
        <v>Cleveland, OH</v>
      </c>
      <c r="BQ2">
        <v>5</v>
      </c>
      <c r="BR2">
        <v>5</v>
      </c>
      <c r="BS2">
        <v>4</v>
      </c>
      <c r="BT2">
        <v>5</v>
      </c>
      <c r="BU2">
        <v>5</v>
      </c>
      <c r="BV2">
        <v>5</v>
      </c>
      <c r="BW2">
        <v>4</v>
      </c>
      <c r="BX2">
        <v>5</v>
      </c>
      <c r="BY2">
        <v>5</v>
      </c>
      <c r="BZ2" t="str">
        <v>Pass</v>
      </c>
      <c r="CB2" t="str">
        <v>Passed</v>
      </c>
      <c r="CC2" t="str">
        <v>Enrolled</v>
      </c>
      <c r="CD2" t="str">
        <v>Query Completed</v>
      </c>
      <c r="CE2">
        <v>46037</v>
      </c>
      <c r="CF2">
        <v>46218</v>
      </c>
      <c r="CH2" t="str">
        <v>Compliant</v>
      </c>
      <c r="CJ2" t="str">
        <v>John</v>
      </c>
      <c r="CK2" t="str">
        <v>Carter</v>
      </c>
      <c r="CL2" t="str">
        <v>OH0000075</v>
      </c>
      <c r="CM2" t="str">
        <v>OH</v>
      </c>
      <c r="CN2" t="str">
        <v>CDL Holder</v>
      </c>
      <c r="CO2" t="str">
        <v>John Carter</v>
      </c>
      <c r="CP2">
        <v>45364</v>
      </c>
      <c r="CQ2">
        <v>46094</v>
      </c>
      <c r="CR2" t="str">
        <v>(614) 555-0107</v>
      </c>
      <c r="CS2" t="str">
        <v>Dr. Patricia Owens</v>
      </c>
      <c r="CT2">
        <v>45364</v>
      </c>
      <c r="CU2" t="str">
        <v>OH-ME-970443</v>
      </c>
      <c r="CV2" t="str">
        <v>ME100001</v>
      </c>
      <c r="CW2" t="str">
        <v>Chiropractor</v>
      </c>
      <c r="CX2" t="str">
        <v>OH</v>
      </c>
      <c r="CY2" t="str">
        <v>Federal Motor Carrier Safety Regulations</v>
      </c>
      <c r="DA2" t="str">
        <v>No</v>
      </c>
      <c r="DB2" t="str">
        <v>No</v>
      </c>
      <c r="DC2" t="str">
        <v>No</v>
      </c>
      <c r="DD2" t="str">
        <v>No</v>
      </c>
      <c r="DE2" t="str">
        <v>No</v>
      </c>
      <c r="DF2" t="str">
        <v>No</v>
      </c>
      <c r="DG2" t="str">
        <v>Sarah Carter</v>
      </c>
      <c r="DH2" t="str">
        <v>Spouse</v>
      </c>
      <c r="DI2" t="str">
        <v>206-555-0199</v>
      </c>
      <c r="DJ2" t="str">
        <v>No</v>
      </c>
      <c r="DK2" t="str">
        <v>No</v>
      </c>
      <c r="DL2" t="str">
        <v>No</v>
      </c>
      <c r="DM2" t="str">
        <v>No</v>
      </c>
      <c r="DN2" t="str">
        <v>Yes - Appendectomy (2005)</v>
      </c>
      <c r="DO2" t="str">
        <v>20/20</v>
      </c>
      <c r="DP2" t="str">
        <v>20/20</v>
      </c>
      <c r="DQ2" t="str">
        <v>Pass</v>
      </c>
      <c r="DR2" t="str">
        <v>118</v>
      </c>
      <c r="DS2" t="str">
        <v>78</v>
      </c>
      <c r="DT2" t="str">
        <v>72</v>
      </c>
      <c r="DU2" t="str">
        <v>Normal</v>
      </c>
      <c r="DV2">
        <v>45392</v>
      </c>
      <c r="DW2">
        <v>45394</v>
      </c>
      <c r="DX2" t="str">
        <v>Negative</v>
      </c>
      <c r="DY2">
        <v>45397</v>
      </c>
      <c r="DZ2" t="str">
        <v>BOF Fleet Safety &amp; Compliance Policy 2024</v>
      </c>
      <c r="EA2" t="str">
        <v>Complete</v>
      </c>
      <c r="EB2">
        <v>45413</v>
      </c>
    </row>
    <row r="3">
      <c r="A3" t="str">
        <v>DRV-001</v>
      </c>
      <c r="B3" t="str">
        <v>John Carter</v>
      </c>
      <c r="C3" t="str">
        <v>220 Demo Street, Cleveland, OH 44113</v>
      </c>
      <c r="D3" t="str">
        <v>206-555-0102</v>
      </c>
      <c r="E3" t="str">
        <v>***-**-0123</v>
      </c>
      <c r="F3" t="str">
        <v>Huntington</v>
      </c>
      <c r="G3">
        <v>000000104</v>
      </c>
      <c r="H3">
        <v>999900202</v>
      </c>
      <c r="I3" t="str">
        <v>Medical Certification</v>
      </c>
      <c r="J3" t="str">
        <v>VALID</v>
      </c>
      <c r="K3" t="str">
        <v>OH0000092</v>
      </c>
      <c r="L3">
        <v>46621</v>
      </c>
      <c r="M3">
        <v>46273</v>
      </c>
      <c r="N3">
        <v>46311</v>
      </c>
      <c r="P3" t="str">
        <v>Black</v>
      </c>
      <c r="Q3" t="str">
        <v>Green</v>
      </c>
      <c r="R3" t="str">
        <v>5'-10"</v>
      </c>
      <c r="S3">
        <v>180</v>
      </c>
      <c r="T3" t="str">
        <v>M</v>
      </c>
      <c r="U3">
        <v>25934</v>
      </c>
      <c r="V3" t="str">
        <v>DRV-001.png</v>
      </c>
      <c r="W3" t="str">
        <v>Caucasian</v>
      </c>
      <c r="X3" t="str">
        <v>jcarter@example.com</v>
      </c>
      <c r="Y3" t="str">
        <v>220 Demo Street</v>
      </c>
      <c r="Z3" t="str">
        <v>Cleveland</v>
      </c>
      <c r="AA3" t="str">
        <v>OH</v>
      </c>
      <c r="AB3">
        <v>44113</v>
      </c>
      <c r="AC3" t="str">
        <v>OH</v>
      </c>
      <c r="AD3" t="str">
        <v>Class A</v>
      </c>
      <c r="AE3">
        <v>44799</v>
      </c>
      <c r="AF3" t="str">
        <v>N,T</v>
      </c>
      <c r="AH3">
        <v>45364</v>
      </c>
      <c r="AI3" t="str">
        <v>MC-0010108</v>
      </c>
      <c r="AJ3" t="str">
        <v>Dr. Patricia Owens</v>
      </c>
      <c r="AK3" t="str">
        <v>ME100001</v>
      </c>
      <c r="AM3" t="str">
        <v>Qualified</v>
      </c>
      <c r="AN3">
        <v>46050</v>
      </c>
      <c r="AO3">
        <v>0</v>
      </c>
      <c r="AP3">
        <v>0</v>
      </c>
      <c r="AR3" t="str">
        <v>Clear</v>
      </c>
      <c r="AS3">
        <v>45392</v>
      </c>
      <c r="AT3" t="str">
        <v>Authorized to Work</v>
      </c>
      <c r="AU3" t="str">
        <v>U.S. Passport</v>
      </c>
      <c r="AX3">
        <v>45392</v>
      </c>
      <c r="AY3" t="str">
        <v>BOF Onboarding Team</v>
      </c>
      <c r="AZ3" t="str">
        <v>Complete</v>
      </c>
      <c r="BB3" t="str">
        <v>Individual/Sole Proprietor</v>
      </c>
      <c r="BC3" t="str">
        <v>SSN</v>
      </c>
      <c r="BD3" t="str">
        <v>***-**-0123</v>
      </c>
      <c r="BF3">
        <v>45392</v>
      </c>
      <c r="BG3" t="str">
        <v>Received</v>
      </c>
      <c r="BH3" t="str">
        <v>Checking</v>
      </c>
      <c r="BI3" t="str">
        <v>Direct Deposit</v>
      </c>
      <c r="BJ3">
        <v>45392</v>
      </c>
      <c r="BK3" t="str">
        <v>Verified</v>
      </c>
      <c r="BL3">
        <v>45385</v>
      </c>
      <c r="BM3" t="str">
        <v>A. Reynolds</v>
      </c>
      <c r="BN3" t="str">
        <v>Sleeper tractor</v>
      </c>
      <c r="BO3" t="str">
        <v>53 ft dry van</v>
      </c>
      <c r="BP3" t="str">
        <v>Cleveland, OH</v>
      </c>
      <c r="BQ3">
        <v>5</v>
      </c>
      <c r="BR3">
        <v>5</v>
      </c>
      <c r="BS3">
        <v>4</v>
      </c>
      <c r="BT3">
        <v>5</v>
      </c>
      <c r="BU3">
        <v>5</v>
      </c>
      <c r="BV3">
        <v>5</v>
      </c>
      <c r="BW3">
        <v>4</v>
      </c>
      <c r="BX3">
        <v>5</v>
      </c>
      <c r="BY3">
        <v>5</v>
      </c>
      <c r="BZ3" t="str">
        <v>Pass</v>
      </c>
      <c r="CB3" t="str">
        <v>Passed</v>
      </c>
      <c r="CC3" t="str">
        <v>Enrolled</v>
      </c>
      <c r="CD3" t="str">
        <v>Query Completed</v>
      </c>
      <c r="CE3">
        <v>46037</v>
      </c>
      <c r="CF3">
        <v>46218</v>
      </c>
      <c r="CH3" t="str">
        <v>Compliant</v>
      </c>
      <c r="CJ3" t="str">
        <v>John</v>
      </c>
      <c r="CK3" t="str">
        <v>Carter</v>
      </c>
      <c r="CL3" t="str">
        <v>OH0000076</v>
      </c>
      <c r="CM3" t="str">
        <v>OH</v>
      </c>
      <c r="CN3" t="str">
        <v>CDL Holder</v>
      </c>
      <c r="CO3" t="str">
        <v>John Carter</v>
      </c>
      <c r="CP3">
        <v>45364</v>
      </c>
      <c r="CQ3">
        <v>46094</v>
      </c>
      <c r="CR3" t="str">
        <v>(614) 555-0107</v>
      </c>
      <c r="CS3" t="str">
        <v>Dr. Patricia Owens</v>
      </c>
      <c r="CT3">
        <v>45364</v>
      </c>
      <c r="CU3" t="str">
        <v>OH-ME-970443</v>
      </c>
      <c r="CV3" t="str">
        <v>ME100001</v>
      </c>
      <c r="CW3" t="str">
        <v>Chiropractor</v>
      </c>
      <c r="CX3" t="str">
        <v>OH</v>
      </c>
      <c r="CY3" t="str">
        <v>Federal Motor Carrier Safety Regulations</v>
      </c>
      <c r="DA3" t="str">
        <v>No</v>
      </c>
      <c r="DB3" t="str">
        <v>No</v>
      </c>
      <c r="DC3" t="str">
        <v>No</v>
      </c>
      <c r="DD3" t="str">
        <v>No</v>
      </c>
      <c r="DE3" t="str">
        <v>No</v>
      </c>
      <c r="DF3" t="str">
        <v>No</v>
      </c>
      <c r="DG3" t="str">
        <v>Sarah Carter</v>
      </c>
      <c r="DH3" t="str">
        <v>Spouse</v>
      </c>
      <c r="DI3" t="str">
        <v>206-555-0199</v>
      </c>
      <c r="DJ3" t="str">
        <v>No</v>
      </c>
      <c r="DK3" t="str">
        <v>No</v>
      </c>
      <c r="DL3" t="str">
        <v>No</v>
      </c>
      <c r="DM3" t="str">
        <v>No</v>
      </c>
      <c r="DN3" t="str">
        <v>Yes - Appendectomy (2005)</v>
      </c>
      <c r="DO3" t="str">
        <v>20/20</v>
      </c>
      <c r="DP3" t="str">
        <v>20/20</v>
      </c>
      <c r="DQ3" t="str">
        <v>Pass</v>
      </c>
      <c r="DR3" t="str">
        <v>118</v>
      </c>
      <c r="DS3" t="str">
        <v>78</v>
      </c>
      <c r="DT3" t="str">
        <v>72</v>
      </c>
      <c r="DU3" t="str">
        <v>Normal</v>
      </c>
      <c r="DV3">
        <v>45392</v>
      </c>
      <c r="DW3">
        <v>45394</v>
      </c>
      <c r="DX3" t="str">
        <v>Negative</v>
      </c>
      <c r="DY3">
        <v>45397</v>
      </c>
      <c r="DZ3" t="str">
        <v>BOF Fleet Safety &amp; Compliance Policy 2024</v>
      </c>
      <c r="EA3" t="str">
        <v>Complete</v>
      </c>
      <c r="EB3">
        <v>45413</v>
      </c>
    </row>
    <row r="4">
      <c r="A4" t="str">
        <v>DRV-001</v>
      </c>
      <c r="B4" t="str">
        <v>John Carter</v>
      </c>
      <c r="C4" t="str">
        <v>220 Demo Street, Cleveland, OH 44113</v>
      </c>
      <c r="D4" t="str">
        <v>206-555-0102</v>
      </c>
      <c r="E4" t="str">
        <v>***-**-0123</v>
      </c>
      <c r="F4" t="str">
        <v>Huntington</v>
      </c>
      <c r="G4">
        <v>000000104</v>
      </c>
      <c r="H4">
        <v>999900202</v>
      </c>
      <c r="I4" t="str">
        <v>MVR Background Report</v>
      </c>
      <c r="J4" t="str">
        <v>VALID</v>
      </c>
      <c r="K4" t="str">
        <v>OH0000111</v>
      </c>
      <c r="L4">
        <v>46621</v>
      </c>
      <c r="M4">
        <v>46274</v>
      </c>
      <c r="N4">
        <v>46312</v>
      </c>
      <c r="P4" t="str">
        <v>Black</v>
      </c>
      <c r="Q4" t="str">
        <v>Green</v>
      </c>
      <c r="R4" t="str">
        <v>5'-10"</v>
      </c>
      <c r="S4">
        <v>180</v>
      </c>
      <c r="T4" t="str">
        <v>M</v>
      </c>
      <c r="U4">
        <v>25934</v>
      </c>
      <c r="V4" t="str">
        <v>DRV-001.png</v>
      </c>
      <c r="W4" t="str">
        <v>Caucasian</v>
      </c>
      <c r="X4" t="str">
        <v>jcarter@example.com</v>
      </c>
      <c r="Y4" t="str">
        <v>220 Demo Street</v>
      </c>
      <c r="Z4" t="str">
        <v>Cleveland</v>
      </c>
      <c r="AA4" t="str">
        <v>OH</v>
      </c>
      <c r="AB4">
        <v>44113</v>
      </c>
      <c r="AC4" t="str">
        <v>OH</v>
      </c>
      <c r="AD4" t="str">
        <v>Class A</v>
      </c>
      <c r="AE4">
        <v>44799</v>
      </c>
      <c r="AF4" t="str">
        <v>N,T</v>
      </c>
      <c r="AH4">
        <v>45364</v>
      </c>
      <c r="AI4" t="str">
        <v>MC-0010108</v>
      </c>
      <c r="AJ4" t="str">
        <v>Dr. Patricia Owens</v>
      </c>
      <c r="AK4" t="str">
        <v>ME100001</v>
      </c>
      <c r="AM4" t="str">
        <v>Qualified</v>
      </c>
      <c r="AN4">
        <v>46050</v>
      </c>
      <c r="AO4">
        <v>0</v>
      </c>
      <c r="AP4">
        <v>0</v>
      </c>
      <c r="AR4" t="str">
        <v>Clear</v>
      </c>
      <c r="AS4">
        <v>45392</v>
      </c>
      <c r="AT4" t="str">
        <v>Authorized to Work</v>
      </c>
      <c r="AU4" t="str">
        <v>U.S. Passport</v>
      </c>
      <c r="AX4">
        <v>45392</v>
      </c>
      <c r="AY4" t="str">
        <v>BOF Onboarding Team</v>
      </c>
      <c r="AZ4" t="str">
        <v>Complete</v>
      </c>
      <c r="BB4" t="str">
        <v>Individual/Sole Proprietor</v>
      </c>
      <c r="BC4" t="str">
        <v>SSN</v>
      </c>
      <c r="BD4" t="str">
        <v>***-**-0123</v>
      </c>
      <c r="BF4">
        <v>45392</v>
      </c>
      <c r="BG4" t="str">
        <v>Received</v>
      </c>
      <c r="BH4" t="str">
        <v>Checking</v>
      </c>
      <c r="BI4" t="str">
        <v>Direct Deposit</v>
      </c>
      <c r="BJ4">
        <v>45392</v>
      </c>
      <c r="BK4" t="str">
        <v>Verified</v>
      </c>
      <c r="BL4">
        <v>45385</v>
      </c>
      <c r="BM4" t="str">
        <v>A. Reynolds</v>
      </c>
      <c r="BN4" t="str">
        <v>Sleeper tractor</v>
      </c>
      <c r="BO4" t="str">
        <v>53 ft dry van</v>
      </c>
      <c r="BP4" t="str">
        <v>Cleveland, OH</v>
      </c>
      <c r="BQ4">
        <v>5</v>
      </c>
      <c r="BR4">
        <v>5</v>
      </c>
      <c r="BS4">
        <v>4</v>
      </c>
      <c r="BT4">
        <v>5</v>
      </c>
      <c r="BU4">
        <v>5</v>
      </c>
      <c r="BV4">
        <v>5</v>
      </c>
      <c r="BW4">
        <v>4</v>
      </c>
      <c r="BX4">
        <v>5</v>
      </c>
      <c r="BY4">
        <v>5</v>
      </c>
      <c r="BZ4" t="str">
        <v>Pass</v>
      </c>
      <c r="CB4" t="str">
        <v>Passed</v>
      </c>
      <c r="CC4" t="str">
        <v>Enrolled</v>
      </c>
      <c r="CD4" t="str">
        <v>Query Completed</v>
      </c>
      <c r="CE4">
        <v>46037</v>
      </c>
      <c r="CF4">
        <v>46218</v>
      </c>
      <c r="CH4" t="str">
        <v>Compliant</v>
      </c>
      <c r="CJ4" t="str">
        <v>John</v>
      </c>
      <c r="CK4" t="str">
        <v>Carter</v>
      </c>
      <c r="CL4" t="str">
        <v>OH0000077</v>
      </c>
      <c r="CM4" t="str">
        <v>OH</v>
      </c>
      <c r="CN4" t="str">
        <v>CDL Holder</v>
      </c>
      <c r="CO4" t="str">
        <v>John Carter</v>
      </c>
      <c r="CP4">
        <v>45364</v>
      </c>
      <c r="CQ4">
        <v>46094</v>
      </c>
      <c r="CR4" t="str">
        <v>(614) 555-0107</v>
      </c>
      <c r="CS4" t="str">
        <v>Dr. Patricia Owens</v>
      </c>
      <c r="CT4">
        <v>45364</v>
      </c>
      <c r="CU4" t="str">
        <v>OH-ME-970443</v>
      </c>
      <c r="CV4" t="str">
        <v>ME100001</v>
      </c>
      <c r="CW4" t="str">
        <v>Chiropractor</v>
      </c>
      <c r="CX4" t="str">
        <v>OH</v>
      </c>
      <c r="CY4" t="str">
        <v>Federal Motor Carrier Safety Regulations</v>
      </c>
      <c r="DA4" t="str">
        <v>No</v>
      </c>
      <c r="DB4" t="str">
        <v>No</v>
      </c>
      <c r="DC4" t="str">
        <v>No</v>
      </c>
      <c r="DD4" t="str">
        <v>No</v>
      </c>
      <c r="DE4" t="str">
        <v>No</v>
      </c>
      <c r="DF4" t="str">
        <v>No</v>
      </c>
      <c r="DG4" t="str">
        <v>Sarah Carter</v>
      </c>
      <c r="DH4" t="str">
        <v>Spouse</v>
      </c>
      <c r="DI4" t="str">
        <v>206-555-0199</v>
      </c>
      <c r="DJ4" t="str">
        <v>No</v>
      </c>
      <c r="DK4" t="str">
        <v>No</v>
      </c>
      <c r="DL4" t="str">
        <v>No</v>
      </c>
      <c r="DM4" t="str">
        <v>No</v>
      </c>
      <c r="DN4" t="str">
        <v>Yes - Appendectomy (2005)</v>
      </c>
      <c r="DO4" t="str">
        <v>20/20</v>
      </c>
      <c r="DP4" t="str">
        <v>20/20</v>
      </c>
      <c r="DQ4" t="str">
        <v>Pass</v>
      </c>
      <c r="DR4" t="str">
        <v>118</v>
      </c>
      <c r="DS4" t="str">
        <v>78</v>
      </c>
      <c r="DT4" t="str">
        <v>72</v>
      </c>
      <c r="DU4" t="str">
        <v>Normal</v>
      </c>
      <c r="DV4">
        <v>45392</v>
      </c>
      <c r="DW4">
        <v>45394</v>
      </c>
      <c r="DX4" t="str">
        <v>Negative</v>
      </c>
      <c r="DY4">
        <v>45397</v>
      </c>
      <c r="DZ4" t="str">
        <v>BOF Fleet Safety &amp; Compliance Policy 2024</v>
      </c>
      <c r="EA4" t="str">
        <v>Complete</v>
      </c>
      <c r="EB4">
        <v>45413</v>
      </c>
    </row>
    <row r="5">
      <c r="A5" t="str">
        <v>DRV-001</v>
      </c>
      <c r="B5" t="str">
        <v>John Carter</v>
      </c>
      <c r="C5" t="str">
        <v>220 Demo Street, Cleveland, OH 44113</v>
      </c>
      <c r="D5" t="str">
        <v>206-555-0102</v>
      </c>
      <c r="E5" t="str">
        <v>***-**-0123</v>
      </c>
      <c r="F5" t="str">
        <v>Huntington</v>
      </c>
      <c r="G5">
        <v>000000104</v>
      </c>
      <c r="H5">
        <v>999900202</v>
      </c>
      <c r="I5" t="str">
        <v>Driver Application</v>
      </c>
      <c r="J5" t="str">
        <v>VALID</v>
      </c>
      <c r="K5" t="str">
        <v>OH0000127</v>
      </c>
      <c r="L5">
        <v>46621</v>
      </c>
      <c r="M5">
        <v>46275</v>
      </c>
      <c r="N5">
        <v>46313</v>
      </c>
      <c r="P5" t="str">
        <v>Black</v>
      </c>
      <c r="Q5" t="str">
        <v>Green</v>
      </c>
      <c r="R5" t="str">
        <v>5'-10"</v>
      </c>
      <c r="S5">
        <v>180</v>
      </c>
      <c r="T5" t="str">
        <v>M</v>
      </c>
      <c r="U5">
        <v>25934</v>
      </c>
      <c r="V5" t="str">
        <v>DRV-001.png</v>
      </c>
      <c r="W5" t="str">
        <v>Caucasian</v>
      </c>
      <c r="X5" t="str">
        <v>jcarter@example.com</v>
      </c>
      <c r="Y5" t="str">
        <v>220 Demo Street</v>
      </c>
      <c r="Z5" t="str">
        <v>Cleveland</v>
      </c>
      <c r="AA5" t="str">
        <v>OH</v>
      </c>
      <c r="AB5">
        <v>44113</v>
      </c>
      <c r="AC5" t="str">
        <v>OH</v>
      </c>
      <c r="AD5" t="str">
        <v>Class A</v>
      </c>
      <c r="AE5">
        <v>44799</v>
      </c>
      <c r="AF5" t="str">
        <v>N,T</v>
      </c>
      <c r="AH5">
        <v>45364</v>
      </c>
      <c r="AI5" t="str">
        <v>MC-0010108</v>
      </c>
      <c r="AJ5" t="str">
        <v>Dr. Patricia Owens</v>
      </c>
      <c r="AK5" t="str">
        <v>ME100001</v>
      </c>
      <c r="AM5" t="str">
        <v>Qualified</v>
      </c>
      <c r="AN5">
        <v>46050</v>
      </c>
      <c r="AO5">
        <v>0</v>
      </c>
      <c r="AP5">
        <v>0</v>
      </c>
      <c r="AR5" t="str">
        <v>Clear</v>
      </c>
      <c r="AS5">
        <v>45392</v>
      </c>
      <c r="AT5" t="str">
        <v>Authorized to Work</v>
      </c>
      <c r="AU5" t="str">
        <v>U.S. Passport</v>
      </c>
      <c r="AX5">
        <v>45392</v>
      </c>
      <c r="AY5" t="str">
        <v>BOF Onboarding Team</v>
      </c>
      <c r="AZ5" t="str">
        <v>Complete</v>
      </c>
      <c r="BB5" t="str">
        <v>Individual/Sole Proprietor</v>
      </c>
      <c r="BC5" t="str">
        <v>SSN</v>
      </c>
      <c r="BD5" t="str">
        <v>***-**-0123</v>
      </c>
      <c r="BF5">
        <v>45392</v>
      </c>
      <c r="BG5" t="str">
        <v>Received</v>
      </c>
      <c r="BH5" t="str">
        <v>Checking</v>
      </c>
      <c r="BI5" t="str">
        <v>Direct Deposit</v>
      </c>
      <c r="BJ5">
        <v>45392</v>
      </c>
      <c r="BK5" t="str">
        <v>Verified</v>
      </c>
      <c r="BL5">
        <v>45385</v>
      </c>
      <c r="BM5" t="str">
        <v>A. Reynolds</v>
      </c>
      <c r="BN5" t="str">
        <v>Sleeper tractor</v>
      </c>
      <c r="BO5" t="str">
        <v>53 ft dry van</v>
      </c>
      <c r="BP5" t="str">
        <v>Cleveland, OH</v>
      </c>
      <c r="BQ5">
        <v>5</v>
      </c>
      <c r="BR5">
        <v>5</v>
      </c>
      <c r="BS5">
        <v>4</v>
      </c>
      <c r="BT5">
        <v>5</v>
      </c>
      <c r="BU5">
        <v>5</v>
      </c>
      <c r="BV5">
        <v>5</v>
      </c>
      <c r="BW5">
        <v>4</v>
      </c>
      <c r="BX5">
        <v>5</v>
      </c>
      <c r="BY5">
        <v>5</v>
      </c>
      <c r="BZ5" t="str">
        <v>Pass</v>
      </c>
      <c r="CB5" t="str">
        <v>Passed</v>
      </c>
      <c r="CC5" t="str">
        <v>Enrolled</v>
      </c>
      <c r="CD5" t="str">
        <v>Query Completed</v>
      </c>
      <c r="CE5">
        <v>46037</v>
      </c>
      <c r="CF5">
        <v>46218</v>
      </c>
      <c r="CH5" t="str">
        <v>Compliant</v>
      </c>
      <c r="CJ5" t="str">
        <v>John</v>
      </c>
      <c r="CK5" t="str">
        <v>Carter</v>
      </c>
      <c r="CL5" t="str">
        <v>OH0000078</v>
      </c>
      <c r="CM5" t="str">
        <v>OH</v>
      </c>
      <c r="CN5" t="str">
        <v>CDL Holder</v>
      </c>
      <c r="CO5" t="str">
        <v>John Carter</v>
      </c>
      <c r="CP5">
        <v>45364</v>
      </c>
      <c r="CQ5">
        <v>46094</v>
      </c>
      <c r="CR5" t="str">
        <v>(614) 555-0107</v>
      </c>
      <c r="CS5" t="str">
        <v>Dr. Patricia Owens</v>
      </c>
      <c r="CT5">
        <v>45364</v>
      </c>
      <c r="CU5" t="str">
        <v>OH-ME-970443</v>
      </c>
      <c r="CV5" t="str">
        <v>ME100001</v>
      </c>
      <c r="CW5" t="str">
        <v>Chiropractor</v>
      </c>
      <c r="CX5" t="str">
        <v>OH</v>
      </c>
      <c r="CY5" t="str">
        <v>Federal Motor Carrier Safety Regulations</v>
      </c>
      <c r="DA5" t="str">
        <v>No</v>
      </c>
      <c r="DB5" t="str">
        <v>No</v>
      </c>
      <c r="DC5" t="str">
        <v>No</v>
      </c>
      <c r="DD5" t="str">
        <v>No</v>
      </c>
      <c r="DE5" t="str">
        <v>No</v>
      </c>
      <c r="DF5" t="str">
        <v>No</v>
      </c>
      <c r="DG5" t="str">
        <v>Sarah Carter</v>
      </c>
      <c r="DH5" t="str">
        <v>Spouse</v>
      </c>
      <c r="DI5" t="str">
        <v>206-555-0199</v>
      </c>
      <c r="DJ5" t="str">
        <v>No</v>
      </c>
      <c r="DK5" t="str">
        <v>No</v>
      </c>
      <c r="DL5" t="str">
        <v>No</v>
      </c>
      <c r="DM5" t="str">
        <v>No</v>
      </c>
      <c r="DN5" t="str">
        <v>Yes - Appendectomy (2005)</v>
      </c>
      <c r="DO5" t="str">
        <v>20/20</v>
      </c>
      <c r="DP5" t="str">
        <v>20/20</v>
      </c>
      <c r="DQ5" t="str">
        <v>Pass</v>
      </c>
      <c r="DR5" t="str">
        <v>118</v>
      </c>
      <c r="DS5" t="str">
        <v>78</v>
      </c>
      <c r="DT5" t="str">
        <v>72</v>
      </c>
      <c r="DU5" t="str">
        <v>Normal</v>
      </c>
      <c r="DV5">
        <v>45392</v>
      </c>
      <c r="DW5">
        <v>45394</v>
      </c>
      <c r="DX5" t="str">
        <v>Negative</v>
      </c>
      <c r="DY5">
        <v>45397</v>
      </c>
      <c r="DZ5" t="str">
        <v>BOF Fleet Safety &amp; Compliance Policy 2024</v>
      </c>
      <c r="EA5" t="str">
        <v>Complete</v>
      </c>
      <c r="EB5">
        <v>45413</v>
      </c>
    </row>
    <row r="6">
      <c r="A6" t="str">
        <v>DRV-001</v>
      </c>
      <c r="B6" t="str">
        <v>John Carter</v>
      </c>
      <c r="C6" t="str">
        <v>220 Demo Street, Cleveland, OH 44113</v>
      </c>
      <c r="D6" t="str">
        <v>206-555-0102</v>
      </c>
      <c r="E6" t="str">
        <v>***-**-0123</v>
      </c>
      <c r="F6" t="str">
        <v>Huntington</v>
      </c>
      <c r="G6">
        <v>000000104</v>
      </c>
      <c r="H6">
        <v>999900202</v>
      </c>
      <c r="I6" t="str">
        <v>Road Test Certificate</v>
      </c>
      <c r="J6" t="str">
        <v>VALID</v>
      </c>
      <c r="K6" t="str">
        <v>OH0000137</v>
      </c>
      <c r="L6">
        <v>46621</v>
      </c>
      <c r="M6">
        <v>46276</v>
      </c>
      <c r="N6">
        <v>46314</v>
      </c>
      <c r="P6" t="str">
        <v>Black</v>
      </c>
      <c r="Q6" t="str">
        <v>Green</v>
      </c>
      <c r="R6" t="str">
        <v>5'-10"</v>
      </c>
      <c r="S6">
        <v>180</v>
      </c>
      <c r="T6" t="str">
        <v>M</v>
      </c>
      <c r="U6">
        <v>25934</v>
      </c>
      <c r="V6" t="str">
        <v>DRV-001.png</v>
      </c>
      <c r="W6" t="str">
        <v>Caucasian</v>
      </c>
      <c r="X6" t="str">
        <v>jcarter@example.com</v>
      </c>
      <c r="Y6" t="str">
        <v>220 Demo Street</v>
      </c>
      <c r="Z6" t="str">
        <v>Cleveland</v>
      </c>
      <c r="AA6" t="str">
        <v>OH</v>
      </c>
      <c r="AB6">
        <v>44113</v>
      </c>
      <c r="AC6" t="str">
        <v>OH</v>
      </c>
      <c r="AD6" t="str">
        <v>Class A</v>
      </c>
      <c r="AE6">
        <v>44799</v>
      </c>
      <c r="AF6" t="str">
        <v>N,T</v>
      </c>
      <c r="AH6">
        <v>45364</v>
      </c>
      <c r="AI6" t="str">
        <v>MC-0010108</v>
      </c>
      <c r="AJ6" t="str">
        <v>Dr. Patricia Owens</v>
      </c>
      <c r="AK6" t="str">
        <v>ME100001</v>
      </c>
      <c r="AM6" t="str">
        <v>Qualified</v>
      </c>
      <c r="AN6">
        <v>46050</v>
      </c>
      <c r="AO6">
        <v>0</v>
      </c>
      <c r="AP6">
        <v>0</v>
      </c>
      <c r="AR6" t="str">
        <v>Clear</v>
      </c>
      <c r="AS6">
        <v>45392</v>
      </c>
      <c r="AT6" t="str">
        <v>Authorized to Work</v>
      </c>
      <c r="AU6" t="str">
        <v>U.S. Passport</v>
      </c>
      <c r="AX6">
        <v>45392</v>
      </c>
      <c r="AY6" t="str">
        <v>BOF Onboarding Team</v>
      </c>
      <c r="AZ6" t="str">
        <v>Complete</v>
      </c>
      <c r="BB6" t="str">
        <v>Individual/Sole Proprietor</v>
      </c>
      <c r="BC6" t="str">
        <v>SSN</v>
      </c>
      <c r="BD6" t="str">
        <v>***-**-0123</v>
      </c>
      <c r="BF6">
        <v>45392</v>
      </c>
      <c r="BG6" t="str">
        <v>Received</v>
      </c>
      <c r="BH6" t="str">
        <v>Checking</v>
      </c>
      <c r="BI6" t="str">
        <v>Direct Deposit</v>
      </c>
      <c r="BJ6">
        <v>45392</v>
      </c>
      <c r="BK6" t="str">
        <v>Verified</v>
      </c>
      <c r="BL6">
        <v>45385</v>
      </c>
      <c r="BM6" t="str">
        <v>A. Reynolds</v>
      </c>
      <c r="BN6" t="str">
        <v>Sleeper tractor</v>
      </c>
      <c r="BO6" t="str">
        <v>53 ft dry van</v>
      </c>
      <c r="BP6" t="str">
        <v>Cleveland, OH</v>
      </c>
      <c r="BQ6">
        <v>5</v>
      </c>
      <c r="BR6">
        <v>5</v>
      </c>
      <c r="BS6">
        <v>4</v>
      </c>
      <c r="BT6">
        <v>5</v>
      </c>
      <c r="BU6">
        <v>5</v>
      </c>
      <c r="BV6">
        <v>5</v>
      </c>
      <c r="BW6">
        <v>4</v>
      </c>
      <c r="BX6">
        <v>5</v>
      </c>
      <c r="BY6">
        <v>5</v>
      </c>
      <c r="BZ6" t="str">
        <v>Pass</v>
      </c>
      <c r="CB6" t="str">
        <v>Passed</v>
      </c>
      <c r="CC6" t="str">
        <v>Enrolled</v>
      </c>
      <c r="CD6" t="str">
        <v>Query Completed</v>
      </c>
      <c r="CE6">
        <v>46037</v>
      </c>
      <c r="CF6">
        <v>46218</v>
      </c>
      <c r="CH6" t="str">
        <v>Compliant</v>
      </c>
      <c r="CJ6" t="str">
        <v>John</v>
      </c>
      <c r="CK6" t="str">
        <v>Carter</v>
      </c>
      <c r="CL6" t="str">
        <v>OH0000079</v>
      </c>
      <c r="CM6" t="str">
        <v>OH</v>
      </c>
      <c r="CN6" t="str">
        <v>CDL Holder</v>
      </c>
      <c r="CO6" t="str">
        <v>John Carter</v>
      </c>
      <c r="CP6">
        <v>45364</v>
      </c>
      <c r="CQ6">
        <v>46094</v>
      </c>
      <c r="CR6" t="str">
        <v>(614) 555-0107</v>
      </c>
      <c r="CS6" t="str">
        <v>Dr. Patricia Owens</v>
      </c>
      <c r="CT6">
        <v>45364</v>
      </c>
      <c r="CU6" t="str">
        <v>OH-ME-970443</v>
      </c>
      <c r="CV6" t="str">
        <v>ME100001</v>
      </c>
      <c r="CW6" t="str">
        <v>Chiropractor</v>
      </c>
      <c r="CX6" t="str">
        <v>OH</v>
      </c>
      <c r="CY6" t="str">
        <v>Federal Motor Carrier Safety Regulations</v>
      </c>
      <c r="DA6" t="str">
        <v>No</v>
      </c>
      <c r="DB6" t="str">
        <v>No</v>
      </c>
      <c r="DC6" t="str">
        <v>No</v>
      </c>
      <c r="DD6" t="str">
        <v>No</v>
      </c>
      <c r="DE6" t="str">
        <v>No</v>
      </c>
      <c r="DF6" t="str">
        <v>No</v>
      </c>
      <c r="DG6" t="str">
        <v>Sarah Carter</v>
      </c>
      <c r="DH6" t="str">
        <v>Spouse</v>
      </c>
      <c r="DI6" t="str">
        <v>206-555-0199</v>
      </c>
      <c r="DJ6" t="str">
        <v>No</v>
      </c>
      <c r="DK6" t="str">
        <v>No</v>
      </c>
      <c r="DL6" t="str">
        <v>No</v>
      </c>
      <c r="DM6" t="str">
        <v>No</v>
      </c>
      <c r="DN6" t="str">
        <v>Yes - Appendectomy (2005)</v>
      </c>
      <c r="DO6" t="str">
        <v>20/20</v>
      </c>
      <c r="DP6" t="str">
        <v>20/20</v>
      </c>
      <c r="DQ6" t="str">
        <v>Pass</v>
      </c>
      <c r="DR6" t="str">
        <v>118</v>
      </c>
      <c r="DS6" t="str">
        <v>78</v>
      </c>
      <c r="DT6" t="str">
        <v>72</v>
      </c>
      <c r="DU6" t="str">
        <v>Normal</v>
      </c>
      <c r="DV6">
        <v>45392</v>
      </c>
      <c r="DW6">
        <v>45394</v>
      </c>
      <c r="DX6" t="str">
        <v>Negative</v>
      </c>
      <c r="DY6">
        <v>45397</v>
      </c>
      <c r="DZ6" t="str">
        <v>BOF Fleet Safety &amp; Compliance Policy 2024</v>
      </c>
      <c r="EA6" t="str">
        <v>Complete</v>
      </c>
      <c r="EB6">
        <v>45413</v>
      </c>
    </row>
    <row r="7">
      <c r="A7" t="str">
        <v>DRV-001</v>
      </c>
      <c r="B7" t="str">
        <v>John Carter</v>
      </c>
      <c r="C7" t="str">
        <v>220 Demo Street, Cleveland, OH 44113</v>
      </c>
      <c r="D7" t="str">
        <v>206-555-0102</v>
      </c>
      <c r="E7" t="str">
        <v>***-**-0123</v>
      </c>
      <c r="F7" t="str">
        <v>Huntington</v>
      </c>
      <c r="G7">
        <v>000000104</v>
      </c>
      <c r="H7">
        <v>999900202</v>
      </c>
      <c r="I7" t="str">
        <v>Incident/Accident Report</v>
      </c>
      <c r="J7" t="str">
        <v>VALID</v>
      </c>
      <c r="K7" t="str">
        <v>OH0000138</v>
      </c>
      <c r="L7">
        <v>46621</v>
      </c>
      <c r="M7">
        <v>46277</v>
      </c>
      <c r="N7">
        <v>46315</v>
      </c>
      <c r="O7" t="str">
        <v>Load L-501: Seal mismatch detected. Pickup: SEAL-83921 Delivery: SEAL-83920.</v>
      </c>
      <c r="P7" t="str">
        <v>Black</v>
      </c>
      <c r="Q7" t="str">
        <v>Green</v>
      </c>
      <c r="R7" t="str">
        <v>5'-10"</v>
      </c>
      <c r="S7">
        <v>180</v>
      </c>
      <c r="T7" t="str">
        <v>M</v>
      </c>
      <c r="U7">
        <v>25934</v>
      </c>
      <c r="V7" t="str">
        <v>DRV-001.png</v>
      </c>
      <c r="W7" t="str">
        <v>Caucasian</v>
      </c>
      <c r="X7" t="str">
        <v>jcarter@example.com</v>
      </c>
      <c r="Y7" t="str">
        <v>220 Demo Street</v>
      </c>
      <c r="Z7" t="str">
        <v>Cleveland</v>
      </c>
      <c r="AA7" t="str">
        <v>OH</v>
      </c>
      <c r="AB7">
        <v>44113</v>
      </c>
      <c r="AC7" t="str">
        <v>OH</v>
      </c>
      <c r="AD7" t="str">
        <v>Class A</v>
      </c>
      <c r="AE7">
        <v>44799</v>
      </c>
      <c r="AF7" t="str">
        <v>N,T</v>
      </c>
      <c r="AH7">
        <v>45364</v>
      </c>
      <c r="AI7" t="str">
        <v>MC-0010108</v>
      </c>
      <c r="AJ7" t="str">
        <v>Dr. Patricia Owens</v>
      </c>
      <c r="AK7" t="str">
        <v>ME100001</v>
      </c>
      <c r="AM7" t="str">
        <v>Qualified</v>
      </c>
      <c r="AN7">
        <v>46050</v>
      </c>
      <c r="AO7">
        <v>0</v>
      </c>
      <c r="AP7">
        <v>0</v>
      </c>
      <c r="AR7" t="str">
        <v>Clear</v>
      </c>
      <c r="AS7">
        <v>45392</v>
      </c>
      <c r="AT7" t="str">
        <v>Authorized to Work</v>
      </c>
      <c r="AU7" t="str">
        <v>U.S. Passport</v>
      </c>
      <c r="AX7">
        <v>45392</v>
      </c>
      <c r="AY7" t="str">
        <v>BOF Onboarding Team</v>
      </c>
      <c r="AZ7" t="str">
        <v>Complete</v>
      </c>
      <c r="BB7" t="str">
        <v>Individual/Sole Proprietor</v>
      </c>
      <c r="BC7" t="str">
        <v>SSN</v>
      </c>
      <c r="BD7" t="str">
        <v>***-**-0123</v>
      </c>
      <c r="BF7">
        <v>45392</v>
      </c>
      <c r="BG7" t="str">
        <v>Received</v>
      </c>
      <c r="BH7" t="str">
        <v>Checking</v>
      </c>
      <c r="BI7" t="str">
        <v>Direct Deposit</v>
      </c>
      <c r="BJ7">
        <v>45392</v>
      </c>
      <c r="BK7" t="str">
        <v>Verified</v>
      </c>
      <c r="BL7">
        <v>45385</v>
      </c>
      <c r="BM7" t="str">
        <v>A. Reynolds</v>
      </c>
      <c r="BN7" t="str">
        <v>Sleeper tractor</v>
      </c>
      <c r="BO7" t="str">
        <v>53 ft dry van</v>
      </c>
      <c r="BP7" t="str">
        <v>Cleveland, OH</v>
      </c>
      <c r="BQ7">
        <v>5</v>
      </c>
      <c r="BR7">
        <v>5</v>
      </c>
      <c r="BS7">
        <v>4</v>
      </c>
      <c r="BT7">
        <v>5</v>
      </c>
      <c r="BU7">
        <v>5</v>
      </c>
      <c r="BV7">
        <v>5</v>
      </c>
      <c r="BW7">
        <v>4</v>
      </c>
      <c r="BX7">
        <v>5</v>
      </c>
      <c r="BY7">
        <v>5</v>
      </c>
      <c r="BZ7" t="str">
        <v>Pass</v>
      </c>
      <c r="CB7" t="str">
        <v>Passed</v>
      </c>
      <c r="CC7" t="str">
        <v>Enrolled</v>
      </c>
      <c r="CD7" t="str">
        <v>Query Completed</v>
      </c>
      <c r="CE7">
        <v>46037</v>
      </c>
      <c r="CF7">
        <v>46218</v>
      </c>
      <c r="CH7" t="str">
        <v>Compliant</v>
      </c>
      <c r="CJ7" t="str">
        <v>John</v>
      </c>
      <c r="CK7" t="str">
        <v>Carter</v>
      </c>
      <c r="CL7" t="str">
        <v>OH0000080</v>
      </c>
      <c r="CM7" t="str">
        <v>OH</v>
      </c>
      <c r="CN7" t="str">
        <v>CDL Holder</v>
      </c>
      <c r="CO7" t="str">
        <v>John Carter</v>
      </c>
      <c r="CP7">
        <v>45364</v>
      </c>
      <c r="CQ7">
        <v>46094</v>
      </c>
      <c r="CR7" t="str">
        <v>(614) 555-0107</v>
      </c>
      <c r="CS7" t="str">
        <v>Dr. Patricia Owens</v>
      </c>
      <c r="CT7">
        <v>45364</v>
      </c>
      <c r="CU7" t="str">
        <v>OH-ME-970443</v>
      </c>
      <c r="CV7" t="str">
        <v>ME100001</v>
      </c>
      <c r="CW7" t="str">
        <v>Chiropractor</v>
      </c>
      <c r="CX7" t="str">
        <v>OH</v>
      </c>
      <c r="CY7" t="str">
        <v>Federal Motor Carrier Safety Regulations</v>
      </c>
      <c r="DA7" t="str">
        <v>No</v>
      </c>
      <c r="DB7" t="str">
        <v>No</v>
      </c>
      <c r="DC7" t="str">
        <v>No</v>
      </c>
      <c r="DD7" t="str">
        <v>No</v>
      </c>
      <c r="DE7" t="str">
        <v>No</v>
      </c>
      <c r="DF7" t="str">
        <v>No</v>
      </c>
      <c r="DG7" t="str">
        <v>Sarah Carter</v>
      </c>
      <c r="DH7" t="str">
        <v>Spouse</v>
      </c>
      <c r="DI7" t="str">
        <v>206-555-0199</v>
      </c>
      <c r="DJ7" t="str">
        <v>No</v>
      </c>
      <c r="DK7" t="str">
        <v>No</v>
      </c>
      <c r="DL7" t="str">
        <v>No</v>
      </c>
      <c r="DM7" t="str">
        <v>No</v>
      </c>
      <c r="DN7" t="str">
        <v>Yes - Appendectomy (2005)</v>
      </c>
      <c r="DO7" t="str">
        <v>20/20</v>
      </c>
      <c r="DP7" t="str">
        <v>20/20</v>
      </c>
      <c r="DQ7" t="str">
        <v>Pass</v>
      </c>
      <c r="DR7" t="str">
        <v>118</v>
      </c>
      <c r="DS7" t="str">
        <v>78</v>
      </c>
      <c r="DT7" t="str">
        <v>72</v>
      </c>
      <c r="DU7" t="str">
        <v>Normal</v>
      </c>
      <c r="DV7">
        <v>45392</v>
      </c>
      <c r="DW7">
        <v>45394</v>
      </c>
      <c r="DX7" t="str">
        <v>Negative</v>
      </c>
      <c r="DY7">
        <v>45397</v>
      </c>
      <c r="DZ7" t="str">
        <v>BOF Fleet Safety &amp; Compliance Policy 2024</v>
      </c>
      <c r="EA7" t="str">
        <v>Complete</v>
      </c>
      <c r="EB7">
        <v>45413</v>
      </c>
    </row>
    <row r="8">
      <c r="A8" t="str">
        <v>DRV-001</v>
      </c>
      <c r="B8" t="str">
        <v>John Carter</v>
      </c>
      <c r="C8" t="str">
        <v>220 Demo Street, Cleveland, OH 44113</v>
      </c>
      <c r="D8" t="str">
        <v>206-555-0102</v>
      </c>
      <c r="E8" t="str">
        <v>***-**-0123</v>
      </c>
      <c r="F8" t="str">
        <v>Huntington</v>
      </c>
      <c r="G8">
        <v>000000104</v>
      </c>
      <c r="H8">
        <v>999900202</v>
      </c>
      <c r="I8" t="str">
        <v>Direct Deposit Form</v>
      </c>
      <c r="J8" t="str">
        <v>VALID</v>
      </c>
      <c r="K8" t="str">
        <v>OH0000124</v>
      </c>
      <c r="L8">
        <v>46621</v>
      </c>
      <c r="M8">
        <v>46278</v>
      </c>
      <c r="N8">
        <v>46316</v>
      </c>
      <c r="P8" t="str">
        <v>Black</v>
      </c>
      <c r="Q8" t="str">
        <v>Green</v>
      </c>
      <c r="R8" t="str">
        <v>5'-10"</v>
      </c>
      <c r="S8">
        <v>180</v>
      </c>
      <c r="T8" t="str">
        <v>M</v>
      </c>
      <c r="U8">
        <v>25934</v>
      </c>
      <c r="V8" t="str">
        <v>DRV-001.png</v>
      </c>
      <c r="W8" t="str">
        <v>Caucasian</v>
      </c>
      <c r="X8" t="str">
        <v>jcarter@example.com</v>
      </c>
      <c r="Y8" t="str">
        <v>220 Demo Street</v>
      </c>
      <c r="Z8" t="str">
        <v>Cleveland</v>
      </c>
      <c r="AA8" t="str">
        <v>OH</v>
      </c>
      <c r="AB8">
        <v>44113</v>
      </c>
      <c r="AC8" t="str">
        <v>OH</v>
      </c>
      <c r="AD8" t="str">
        <v>Class A</v>
      </c>
      <c r="AE8">
        <v>44799</v>
      </c>
      <c r="AF8" t="str">
        <v>N,T</v>
      </c>
      <c r="AH8">
        <v>45364</v>
      </c>
      <c r="AI8" t="str">
        <v>MC-0010108</v>
      </c>
      <c r="AJ8" t="str">
        <v>Dr. Patricia Owens</v>
      </c>
      <c r="AK8" t="str">
        <v>ME100001</v>
      </c>
      <c r="AM8" t="str">
        <v>Qualified</v>
      </c>
      <c r="AN8">
        <v>46050</v>
      </c>
      <c r="AO8">
        <v>0</v>
      </c>
      <c r="AP8">
        <v>0</v>
      </c>
      <c r="AR8" t="str">
        <v>Clear</v>
      </c>
      <c r="AS8">
        <v>45392</v>
      </c>
      <c r="AT8" t="str">
        <v>Authorized to Work</v>
      </c>
      <c r="AU8" t="str">
        <v>U.S. Passport</v>
      </c>
      <c r="AX8">
        <v>45392</v>
      </c>
      <c r="AY8" t="str">
        <v>BOF Onboarding Team</v>
      </c>
      <c r="AZ8" t="str">
        <v>Complete</v>
      </c>
      <c r="BB8" t="str">
        <v>Individual/Sole Proprietor</v>
      </c>
      <c r="BC8" t="str">
        <v>SSN</v>
      </c>
      <c r="BD8" t="str">
        <v>***-**-0123</v>
      </c>
      <c r="BF8">
        <v>45392</v>
      </c>
      <c r="BG8" t="str">
        <v>Received</v>
      </c>
      <c r="BH8" t="str">
        <v>Checking</v>
      </c>
      <c r="BI8" t="str">
        <v>Direct Deposit</v>
      </c>
      <c r="BJ8">
        <v>45392</v>
      </c>
      <c r="BK8" t="str">
        <v>Verified</v>
      </c>
      <c r="BL8">
        <v>45385</v>
      </c>
      <c r="BM8" t="str">
        <v>A. Reynolds</v>
      </c>
      <c r="BN8" t="str">
        <v>Sleeper tractor</v>
      </c>
      <c r="BO8" t="str">
        <v>53 ft dry van</v>
      </c>
      <c r="BP8" t="str">
        <v>Cleveland, OH</v>
      </c>
      <c r="BQ8">
        <v>5</v>
      </c>
      <c r="BR8">
        <v>5</v>
      </c>
      <c r="BS8">
        <v>4</v>
      </c>
      <c r="BT8">
        <v>5</v>
      </c>
      <c r="BU8">
        <v>5</v>
      </c>
      <c r="BV8">
        <v>5</v>
      </c>
      <c r="BW8">
        <v>4</v>
      </c>
      <c r="BX8">
        <v>5</v>
      </c>
      <c r="BY8">
        <v>5</v>
      </c>
      <c r="BZ8" t="str">
        <v>Pass</v>
      </c>
      <c r="CB8" t="str">
        <v>Passed</v>
      </c>
      <c r="CC8" t="str">
        <v>Enrolled</v>
      </c>
      <c r="CD8" t="str">
        <v>Query Completed</v>
      </c>
      <c r="CE8">
        <v>46037</v>
      </c>
      <c r="CF8">
        <v>46218</v>
      </c>
      <c r="CH8" t="str">
        <v>Compliant</v>
      </c>
      <c r="CJ8" t="str">
        <v>John</v>
      </c>
      <c r="CK8" t="str">
        <v>Carter</v>
      </c>
      <c r="CL8" t="str">
        <v>OH0000081</v>
      </c>
      <c r="CM8" t="str">
        <v>OH</v>
      </c>
      <c r="CN8" t="str">
        <v>CDL Holder</v>
      </c>
      <c r="CO8" t="str">
        <v>John Carter</v>
      </c>
      <c r="CP8">
        <v>45364</v>
      </c>
      <c r="CQ8">
        <v>46094</v>
      </c>
      <c r="CR8" t="str">
        <v>(614) 555-0107</v>
      </c>
      <c r="CS8" t="str">
        <v>Dr. Patricia Owens</v>
      </c>
      <c r="CT8">
        <v>45364</v>
      </c>
      <c r="CU8" t="str">
        <v>OH-ME-970443</v>
      </c>
      <c r="CV8" t="str">
        <v>ME100001</v>
      </c>
      <c r="CW8" t="str">
        <v>Chiropractor</v>
      </c>
      <c r="CX8" t="str">
        <v>OH</v>
      </c>
      <c r="CY8" t="str">
        <v>Federal Motor Carrier Safety Regulations</v>
      </c>
      <c r="DA8" t="str">
        <v>No</v>
      </c>
      <c r="DB8" t="str">
        <v>No</v>
      </c>
      <c r="DC8" t="str">
        <v>No</v>
      </c>
      <c r="DD8" t="str">
        <v>No</v>
      </c>
      <c r="DE8" t="str">
        <v>No</v>
      </c>
      <c r="DF8" t="str">
        <v>No</v>
      </c>
      <c r="DG8" t="str">
        <v>Sarah Carter</v>
      </c>
      <c r="DH8" t="str">
        <v>Spouse</v>
      </c>
      <c r="DI8" t="str">
        <v>206-555-0199</v>
      </c>
      <c r="DJ8" t="str">
        <v>No</v>
      </c>
      <c r="DK8" t="str">
        <v>No</v>
      </c>
      <c r="DL8" t="str">
        <v>No</v>
      </c>
      <c r="DM8" t="str">
        <v>No</v>
      </c>
      <c r="DN8" t="str">
        <v>Yes - Appendectomy (2005)</v>
      </c>
      <c r="DO8" t="str">
        <v>20/20</v>
      </c>
      <c r="DP8" t="str">
        <v>20/20</v>
      </c>
      <c r="DQ8" t="str">
        <v>Pass</v>
      </c>
      <c r="DR8" t="str">
        <v>118</v>
      </c>
      <c r="DS8" t="str">
        <v>78</v>
      </c>
      <c r="DT8" t="str">
        <v>72</v>
      </c>
      <c r="DU8" t="str">
        <v>Normal</v>
      </c>
      <c r="DV8">
        <v>45392</v>
      </c>
      <c r="DW8">
        <v>45394</v>
      </c>
      <c r="DX8" t="str">
        <v>Negative</v>
      </c>
      <c r="DY8">
        <v>45397</v>
      </c>
      <c r="DZ8" t="str">
        <v>BOF Fleet Safety &amp; Compliance Policy 2024</v>
      </c>
      <c r="EA8" t="str">
        <v>Complete</v>
      </c>
      <c r="EB8">
        <v>45413</v>
      </c>
    </row>
    <row r="9">
      <c r="A9" t="str">
        <v>DRV-002</v>
      </c>
      <c r="B9" t="str">
        <v>Maria Lopez</v>
      </c>
      <c r="C9" t="str">
        <v>770 Demo Street, Chicago, IL 60611</v>
      </c>
      <c r="D9" t="str">
        <v>707-555-0100</v>
      </c>
      <c r="E9" t="str">
        <v>***-**-0105</v>
      </c>
      <c r="F9" t="str">
        <v>Chase</v>
      </c>
      <c r="G9">
        <v>000000107</v>
      </c>
      <c r="H9">
        <v>999900201</v>
      </c>
      <c r="I9" t="str">
        <v>CDL Summary</v>
      </c>
      <c r="J9" t="str">
        <v>VALID</v>
      </c>
      <c r="K9" t="str">
        <v>IL0000041</v>
      </c>
      <c r="L9">
        <v>46518</v>
      </c>
      <c r="M9">
        <v>46596</v>
      </c>
      <c r="N9">
        <v>46455</v>
      </c>
      <c r="P9" t="str">
        <v>Brown</v>
      </c>
      <c r="Q9" t="str">
        <v>Hazel</v>
      </c>
      <c r="R9" t="str">
        <v>5'-3"</v>
      </c>
      <c r="S9">
        <v>134</v>
      </c>
      <c r="T9" t="str">
        <v>F</v>
      </c>
      <c r="U9">
        <v>30317</v>
      </c>
      <c r="V9" t="str">
        <v>DRV-002.png</v>
      </c>
      <c r="W9" t="str">
        <v>Hispanic</v>
      </c>
      <c r="X9" t="str">
        <v>marialopez@example.com</v>
      </c>
      <c r="Y9" t="str">
        <v>770 Demo Street</v>
      </c>
      <c r="Z9" t="str">
        <v>Chicago</v>
      </c>
      <c r="AA9" t="str">
        <v>IL</v>
      </c>
      <c r="AB9">
        <v>60611</v>
      </c>
      <c r="AC9" t="str">
        <v>IL</v>
      </c>
      <c r="AD9" t="str">
        <v>Class A</v>
      </c>
      <c r="AE9">
        <v>44696</v>
      </c>
      <c r="AF9" t="str">
        <v>N</v>
      </c>
      <c r="AG9" t="str">
        <v>Corrective lenses</v>
      </c>
      <c r="AH9">
        <v>45866</v>
      </c>
      <c r="AI9" t="str">
        <v>MC-0020104</v>
      </c>
      <c r="AJ9" t="str">
        <v>Dr. Kevin Marshall</v>
      </c>
      <c r="AK9" t="str">
        <v>ME100002</v>
      </c>
      <c r="AL9" t="str">
        <v>Corrective lenses</v>
      </c>
      <c r="AM9" t="str">
        <v>Qualified</v>
      </c>
      <c r="AN9">
        <v>46425</v>
      </c>
      <c r="AO9">
        <v>1</v>
      </c>
      <c r="AP9">
        <v>0</v>
      </c>
      <c r="AQ9" t="str">
        <v>Corrective lenses</v>
      </c>
      <c r="AR9" t="str">
        <v>Clear</v>
      </c>
      <c r="AS9">
        <v>45446</v>
      </c>
      <c r="AT9" t="str">
        <v>Authorized to Work</v>
      </c>
      <c r="AU9" t="str">
        <v>U.S. Passport</v>
      </c>
      <c r="AX9">
        <v>45446</v>
      </c>
      <c r="AY9" t="str">
        <v>BOF Onboarding Team</v>
      </c>
      <c r="AZ9" t="str">
        <v>Complete</v>
      </c>
      <c r="BB9" t="str">
        <v>Individual/Sole Proprietor</v>
      </c>
      <c r="BC9" t="str">
        <v>SSN</v>
      </c>
      <c r="BD9" t="str">
        <v>***-**-0105</v>
      </c>
      <c r="BF9">
        <v>45446</v>
      </c>
      <c r="BG9" t="str">
        <v>Received</v>
      </c>
      <c r="BH9" t="str">
        <v>Checking</v>
      </c>
      <c r="BI9" t="str">
        <v>Direct Deposit</v>
      </c>
      <c r="BJ9">
        <v>45446</v>
      </c>
      <c r="BK9" t="str">
        <v>Verified</v>
      </c>
      <c r="BL9">
        <v>45439</v>
      </c>
      <c r="BM9" t="str">
        <v>D. Foster</v>
      </c>
      <c r="BN9" t="str">
        <v>Day cab tractor</v>
      </c>
      <c r="BO9" t="str">
        <v>53 ft reefer</v>
      </c>
      <c r="BP9" t="str">
        <v>Chicago, IL</v>
      </c>
      <c r="BQ9">
        <v>4</v>
      </c>
      <c r="BR9">
        <v>5</v>
      </c>
      <c r="BS9">
        <v>4</v>
      </c>
      <c r="BT9">
        <v>4</v>
      </c>
      <c r="BU9">
        <v>5</v>
      </c>
      <c r="BV9">
        <v>5</v>
      </c>
      <c r="BW9">
        <v>4</v>
      </c>
      <c r="BX9">
        <v>5</v>
      </c>
      <c r="BY9">
        <v>4</v>
      </c>
      <c r="BZ9" t="str">
        <v>Pass</v>
      </c>
      <c r="CA9" t="str">
        <v>Corrective lenses</v>
      </c>
      <c r="CB9" t="str">
        <v>Passed</v>
      </c>
      <c r="CC9" t="str">
        <v>Enrolled</v>
      </c>
      <c r="CD9" t="str">
        <v>Query Completed</v>
      </c>
      <c r="CE9">
        <v>46037</v>
      </c>
      <c r="CF9">
        <v>46218</v>
      </c>
      <c r="CH9" t="str">
        <v>Compliant</v>
      </c>
      <c r="CJ9" t="str">
        <v>Maria</v>
      </c>
      <c r="CK9" t="str">
        <v>Lopez</v>
      </c>
      <c r="CL9" t="str">
        <v>IL0000041</v>
      </c>
      <c r="CM9" t="str">
        <v>IL</v>
      </c>
      <c r="CN9" t="str">
        <v>CDL Holder</v>
      </c>
      <c r="CO9" t="str">
        <v>Maria Lopez</v>
      </c>
      <c r="CP9">
        <v>45866</v>
      </c>
      <c r="CQ9">
        <v>46596</v>
      </c>
      <c r="CR9" t="str">
        <v>(312) 555-0101</v>
      </c>
      <c r="CS9" t="str">
        <v>Dr. Kevin Marshall</v>
      </c>
      <c r="CT9">
        <v>45866</v>
      </c>
      <c r="CU9" t="str">
        <v>IL-ME-425674</v>
      </c>
      <c r="CV9" t="str">
        <v>ME100002</v>
      </c>
      <c r="CW9" t="str">
        <v>MD</v>
      </c>
      <c r="CX9" t="str">
        <v>IL</v>
      </c>
      <c r="CY9" t="str">
        <v>Federal Motor Carrier Safety Regulations</v>
      </c>
      <c r="DA9" t="str">
        <v>Yes</v>
      </c>
      <c r="DB9" t="str">
        <v>No</v>
      </c>
      <c r="DC9" t="str">
        <v>No</v>
      </c>
      <c r="DD9" t="str">
        <v>No</v>
      </c>
      <c r="DE9" t="str">
        <v>Yes</v>
      </c>
      <c r="DF9" t="str">
        <v>No</v>
      </c>
      <c r="DG9" t="str">
        <v>Jane Doe</v>
      </c>
      <c r="DH9" t="str">
        <v>Sister</v>
      </c>
      <c r="DI9" t="str">
        <v>555-555-5555</v>
      </c>
      <c r="DJ9" t="str">
        <v>No</v>
      </c>
      <c r="DK9" t="str">
        <v>No</v>
      </c>
      <c r="DL9" t="str">
        <v>No</v>
      </c>
      <c r="DM9" t="str">
        <v>No</v>
      </c>
      <c r="DN9" t="str">
        <v>Yes - Appendectomy (2005)</v>
      </c>
      <c r="DO9" t="str">
        <v>20/20</v>
      </c>
      <c r="DP9" t="str">
        <v>20/20</v>
      </c>
      <c r="DQ9" t="str">
        <v>Pass</v>
      </c>
      <c r="DR9" t="str">
        <v>118</v>
      </c>
      <c r="DS9" t="str">
        <v>78</v>
      </c>
      <c r="DT9" t="str">
        <v>72</v>
      </c>
      <c r="DU9" t="str">
        <v>Normal</v>
      </c>
      <c r="DV9">
        <v>45392</v>
      </c>
      <c r="DW9">
        <v>45394</v>
      </c>
      <c r="DX9" t="str">
        <v>Negative</v>
      </c>
      <c r="DY9">
        <v>45397</v>
      </c>
      <c r="DZ9" t="str">
        <v>BOF Fleet Safety &amp; Compliance Policy 2024</v>
      </c>
      <c r="EA9" t="str">
        <v>Complete</v>
      </c>
      <c r="EB9">
        <v>45413</v>
      </c>
    </row>
    <row r="10">
      <c r="A10" t="str">
        <v>DRV-002</v>
      </c>
      <c r="B10" t="str">
        <v>Maria Lopez</v>
      </c>
      <c r="C10" t="str">
        <v>770 Demo Street, Chicago, IL 60611</v>
      </c>
      <c r="D10" t="str">
        <v>707-555-0100</v>
      </c>
      <c r="E10" t="str">
        <v>***-**-0105</v>
      </c>
      <c r="F10" t="str">
        <v>Chase</v>
      </c>
      <c r="G10">
        <v>000000107</v>
      </c>
      <c r="H10">
        <v>999900201</v>
      </c>
      <c r="I10" t="str">
        <v>Medical Certification</v>
      </c>
      <c r="J10" t="str">
        <v>VALID</v>
      </c>
      <c r="K10" t="str">
        <v>IL0000068</v>
      </c>
      <c r="L10">
        <v>46518</v>
      </c>
      <c r="M10">
        <v>46596</v>
      </c>
      <c r="N10">
        <v>46455</v>
      </c>
      <c r="P10" t="str">
        <v>Brown</v>
      </c>
      <c r="Q10" t="str">
        <v>Hazel</v>
      </c>
      <c r="R10" t="str">
        <v>5'-3"</v>
      </c>
      <c r="S10">
        <v>134</v>
      </c>
      <c r="T10" t="str">
        <v>F</v>
      </c>
      <c r="U10">
        <v>30317</v>
      </c>
      <c r="V10" t="str">
        <v>DRV-002.png</v>
      </c>
      <c r="W10" t="str">
        <v>Hispanic</v>
      </c>
      <c r="X10" t="str">
        <v>marialopez@example.com</v>
      </c>
      <c r="Y10" t="str">
        <v>770 Demo Street</v>
      </c>
      <c r="Z10" t="str">
        <v>Chicago</v>
      </c>
      <c r="AA10" t="str">
        <v>IL</v>
      </c>
      <c r="AB10">
        <v>60611</v>
      </c>
      <c r="AC10" t="str">
        <v>IL</v>
      </c>
      <c r="AD10" t="str">
        <v>Class A</v>
      </c>
      <c r="AE10">
        <v>44696</v>
      </c>
      <c r="AF10" t="str">
        <v>N</v>
      </c>
      <c r="AG10" t="str">
        <v>Corrective lenses</v>
      </c>
      <c r="AH10">
        <v>45866</v>
      </c>
      <c r="AI10" t="str">
        <v>MC-0020104</v>
      </c>
      <c r="AJ10" t="str">
        <v>Dr. Kevin Marshall</v>
      </c>
      <c r="AK10" t="str">
        <v>ME100002</v>
      </c>
      <c r="AL10" t="str">
        <v>Corrective lenses</v>
      </c>
      <c r="AM10" t="str">
        <v>Qualified</v>
      </c>
      <c r="AN10">
        <v>46425</v>
      </c>
      <c r="AO10">
        <v>1</v>
      </c>
      <c r="AP10">
        <v>0</v>
      </c>
      <c r="AQ10" t="str">
        <v>Corrective lenses</v>
      </c>
      <c r="AR10" t="str">
        <v>Clear</v>
      </c>
      <c r="AS10">
        <v>45446</v>
      </c>
      <c r="AT10" t="str">
        <v>Authorized to Work</v>
      </c>
      <c r="AU10" t="str">
        <v>U.S. Passport</v>
      </c>
      <c r="AX10">
        <v>45446</v>
      </c>
      <c r="AY10" t="str">
        <v>BOF Onboarding Team</v>
      </c>
      <c r="AZ10" t="str">
        <v>Complete</v>
      </c>
      <c r="BB10" t="str">
        <v>Individual/Sole Proprietor</v>
      </c>
      <c r="BC10" t="str">
        <v>SSN</v>
      </c>
      <c r="BD10" t="str">
        <v>***-**-0105</v>
      </c>
      <c r="BF10">
        <v>45446</v>
      </c>
      <c r="BG10" t="str">
        <v>Received</v>
      </c>
      <c r="BH10" t="str">
        <v>Checking</v>
      </c>
      <c r="BI10" t="str">
        <v>Direct Deposit</v>
      </c>
      <c r="BJ10">
        <v>45446</v>
      </c>
      <c r="BK10" t="str">
        <v>Verified</v>
      </c>
      <c r="BL10">
        <v>45439</v>
      </c>
      <c r="BM10" t="str">
        <v>D. Foster</v>
      </c>
      <c r="BN10" t="str">
        <v>Day cab tractor</v>
      </c>
      <c r="BO10" t="str">
        <v>53 ft reefer</v>
      </c>
      <c r="BP10" t="str">
        <v>Chicago, IL</v>
      </c>
      <c r="BQ10">
        <v>4</v>
      </c>
      <c r="BR10">
        <v>5</v>
      </c>
      <c r="BS10">
        <v>4</v>
      </c>
      <c r="BT10">
        <v>4</v>
      </c>
      <c r="BU10">
        <v>5</v>
      </c>
      <c r="BV10">
        <v>5</v>
      </c>
      <c r="BW10">
        <v>4</v>
      </c>
      <c r="BX10">
        <v>5</v>
      </c>
      <c r="BY10">
        <v>4</v>
      </c>
      <c r="BZ10" t="str">
        <v>Pass</v>
      </c>
      <c r="CA10" t="str">
        <v>Corrective lenses</v>
      </c>
      <c r="CB10" t="str">
        <v>Passed</v>
      </c>
      <c r="CC10" t="str">
        <v>Enrolled</v>
      </c>
      <c r="CD10" t="str">
        <v>Query Completed</v>
      </c>
      <c r="CE10">
        <v>46037</v>
      </c>
      <c r="CF10">
        <v>46218</v>
      </c>
      <c r="CH10" t="str">
        <v>Compliant</v>
      </c>
      <c r="CJ10" t="str">
        <v>Maria</v>
      </c>
      <c r="CK10" t="str">
        <v>Lopez</v>
      </c>
      <c r="CL10" t="str">
        <v>IL0000042</v>
      </c>
      <c r="CM10" t="str">
        <v>IL</v>
      </c>
      <c r="CN10" t="str">
        <v>CDL Holder</v>
      </c>
      <c r="CO10" t="str">
        <v>Maria Lopez</v>
      </c>
      <c r="CP10">
        <v>45866</v>
      </c>
      <c r="CQ10">
        <v>46596</v>
      </c>
      <c r="CR10" t="str">
        <v>(312) 555-0101</v>
      </c>
      <c r="CS10" t="str">
        <v>Dr. Kevin Marshall</v>
      </c>
      <c r="CT10">
        <v>45866</v>
      </c>
      <c r="CU10" t="str">
        <v>IL-ME-425674</v>
      </c>
      <c r="CV10" t="str">
        <v>ME100002</v>
      </c>
      <c r="CW10" t="str">
        <v>MD</v>
      </c>
      <c r="CX10" t="str">
        <v>IL</v>
      </c>
      <c r="CY10" t="str">
        <v>Federal Motor Carrier Safety Regulations</v>
      </c>
      <c r="DA10" t="str">
        <v>Yes</v>
      </c>
      <c r="DB10" t="str">
        <v>No</v>
      </c>
      <c r="DC10" t="str">
        <v>No</v>
      </c>
      <c r="DD10" t="str">
        <v>No</v>
      </c>
      <c r="DE10" t="str">
        <v>Yes</v>
      </c>
      <c r="DF10" t="str">
        <v>No</v>
      </c>
      <c r="DG10" t="str">
        <v>Jane Doe</v>
      </c>
      <c r="DH10" t="str">
        <v>Sister</v>
      </c>
      <c r="DI10" t="str">
        <v>555-555-5555</v>
      </c>
      <c r="DJ10" t="str">
        <v>No</v>
      </c>
      <c r="DK10" t="str">
        <v>No</v>
      </c>
      <c r="DL10" t="str">
        <v>No</v>
      </c>
      <c r="DM10" t="str">
        <v>No</v>
      </c>
      <c r="DN10" t="str">
        <v>Yes - Appendectomy (2005)</v>
      </c>
      <c r="DO10" t="str">
        <v>20/20</v>
      </c>
      <c r="DP10" t="str">
        <v>20/20</v>
      </c>
      <c r="DQ10" t="str">
        <v>Pass</v>
      </c>
      <c r="DR10" t="str">
        <v>118</v>
      </c>
      <c r="DS10" t="str">
        <v>78</v>
      </c>
      <c r="DT10" t="str">
        <v>72</v>
      </c>
      <c r="DU10" t="str">
        <v>Normal</v>
      </c>
      <c r="DV10">
        <v>45392</v>
      </c>
      <c r="DW10">
        <v>45394</v>
      </c>
      <c r="DX10" t="str">
        <v>Negative</v>
      </c>
      <c r="DY10">
        <v>45397</v>
      </c>
      <c r="DZ10" t="str">
        <v>BOF Fleet Safety &amp; Compliance Policy 2024</v>
      </c>
      <c r="EA10" t="str">
        <v>Complete</v>
      </c>
      <c r="EB10">
        <v>45413</v>
      </c>
    </row>
    <row r="11">
      <c r="A11" t="str">
        <v>DRV-002</v>
      </c>
      <c r="B11" t="str">
        <v>Maria Lopez</v>
      </c>
      <c r="C11" t="str">
        <v>770 Demo Street, Chicago, IL 60611</v>
      </c>
      <c r="D11" t="str">
        <v>707-555-0100</v>
      </c>
      <c r="E11" t="str">
        <v>***-**-0105</v>
      </c>
      <c r="F11" t="str">
        <v>Chase</v>
      </c>
      <c r="G11">
        <v>000000107</v>
      </c>
      <c r="H11">
        <v>999900201</v>
      </c>
      <c r="I11" t="str">
        <v>MVR Background Report</v>
      </c>
      <c r="J11" t="str">
        <v>VALID</v>
      </c>
      <c r="K11" t="str">
        <v>IL0000056</v>
      </c>
      <c r="L11">
        <v>46518</v>
      </c>
      <c r="M11">
        <v>46596</v>
      </c>
      <c r="N11">
        <v>46455</v>
      </c>
      <c r="P11" t="str">
        <v>Brown</v>
      </c>
      <c r="Q11" t="str">
        <v>Hazel</v>
      </c>
      <c r="R11" t="str">
        <v>5'-3"</v>
      </c>
      <c r="S11">
        <v>134</v>
      </c>
      <c r="T11" t="str">
        <v>F</v>
      </c>
      <c r="U11">
        <v>30317</v>
      </c>
      <c r="V11" t="str">
        <v>DRV-002.png</v>
      </c>
      <c r="W11" t="str">
        <v>Hispanic</v>
      </c>
      <c r="X11" t="str">
        <v>marialopez@example.com</v>
      </c>
      <c r="Y11" t="str">
        <v>770 Demo Street</v>
      </c>
      <c r="Z11" t="str">
        <v>Chicago</v>
      </c>
      <c r="AA11" t="str">
        <v>IL</v>
      </c>
      <c r="AB11">
        <v>60611</v>
      </c>
      <c r="AC11" t="str">
        <v>IL</v>
      </c>
      <c r="AD11" t="str">
        <v>Class A</v>
      </c>
      <c r="AE11">
        <v>44696</v>
      </c>
      <c r="AF11" t="str">
        <v>N</v>
      </c>
      <c r="AG11" t="str">
        <v>Corrective lenses</v>
      </c>
      <c r="AH11">
        <v>45866</v>
      </c>
      <c r="AI11" t="str">
        <v>MC-0020104</v>
      </c>
      <c r="AJ11" t="str">
        <v>Dr. Kevin Marshall</v>
      </c>
      <c r="AK11" t="str">
        <v>ME100002</v>
      </c>
      <c r="AL11" t="str">
        <v>Corrective lenses</v>
      </c>
      <c r="AM11" t="str">
        <v>Qualified</v>
      </c>
      <c r="AN11">
        <v>46425</v>
      </c>
      <c r="AO11">
        <v>1</v>
      </c>
      <c r="AP11">
        <v>0</v>
      </c>
      <c r="AQ11" t="str">
        <v>Corrective lenses</v>
      </c>
      <c r="AR11" t="str">
        <v>Clear</v>
      </c>
      <c r="AS11">
        <v>45446</v>
      </c>
      <c r="AT11" t="str">
        <v>Authorized to Work</v>
      </c>
      <c r="AU11" t="str">
        <v>U.S. Passport</v>
      </c>
      <c r="AX11">
        <v>45446</v>
      </c>
      <c r="AY11" t="str">
        <v>BOF Onboarding Team</v>
      </c>
      <c r="AZ11" t="str">
        <v>Complete</v>
      </c>
      <c r="BB11" t="str">
        <v>Individual/Sole Proprietor</v>
      </c>
      <c r="BC11" t="str">
        <v>SSN</v>
      </c>
      <c r="BD11" t="str">
        <v>***-**-0105</v>
      </c>
      <c r="BF11">
        <v>45446</v>
      </c>
      <c r="BG11" t="str">
        <v>Received</v>
      </c>
      <c r="BH11" t="str">
        <v>Checking</v>
      </c>
      <c r="BI11" t="str">
        <v>Direct Deposit</v>
      </c>
      <c r="BJ11">
        <v>45446</v>
      </c>
      <c r="BK11" t="str">
        <v>Verified</v>
      </c>
      <c r="BL11">
        <v>45439</v>
      </c>
      <c r="BM11" t="str">
        <v>D. Foster</v>
      </c>
      <c r="BN11" t="str">
        <v>Day cab tractor</v>
      </c>
      <c r="BO11" t="str">
        <v>53 ft reefer</v>
      </c>
      <c r="BP11" t="str">
        <v>Chicago, IL</v>
      </c>
      <c r="BQ11">
        <v>4</v>
      </c>
      <c r="BR11">
        <v>5</v>
      </c>
      <c r="BS11">
        <v>4</v>
      </c>
      <c r="BT11">
        <v>4</v>
      </c>
      <c r="BU11">
        <v>5</v>
      </c>
      <c r="BV11">
        <v>5</v>
      </c>
      <c r="BW11">
        <v>4</v>
      </c>
      <c r="BX11">
        <v>5</v>
      </c>
      <c r="BY11">
        <v>4</v>
      </c>
      <c r="BZ11" t="str">
        <v>Pass</v>
      </c>
      <c r="CA11" t="str">
        <v>Corrective lenses</v>
      </c>
      <c r="CB11" t="str">
        <v>Passed</v>
      </c>
      <c r="CC11" t="str">
        <v>Enrolled</v>
      </c>
      <c r="CD11" t="str">
        <v>Query Completed</v>
      </c>
      <c r="CE11">
        <v>46037</v>
      </c>
      <c r="CF11">
        <v>46218</v>
      </c>
      <c r="CH11" t="str">
        <v>Compliant</v>
      </c>
      <c r="CJ11" t="str">
        <v>Maria</v>
      </c>
      <c r="CK11" t="str">
        <v>Lopez</v>
      </c>
      <c r="CL11" t="str">
        <v>IL0000043</v>
      </c>
      <c r="CM11" t="str">
        <v>IL</v>
      </c>
      <c r="CN11" t="str">
        <v>CDL Holder</v>
      </c>
      <c r="CO11" t="str">
        <v>Maria Lopez</v>
      </c>
      <c r="CP11">
        <v>45866</v>
      </c>
      <c r="CQ11">
        <v>46596</v>
      </c>
      <c r="CR11" t="str">
        <v>(312) 555-0101</v>
      </c>
      <c r="CS11" t="str">
        <v>Dr. Kevin Marshall</v>
      </c>
      <c r="CT11">
        <v>45866</v>
      </c>
      <c r="CU11" t="str">
        <v>IL-ME-425674</v>
      </c>
      <c r="CV11" t="str">
        <v>ME100002</v>
      </c>
      <c r="CW11" t="str">
        <v>MD</v>
      </c>
      <c r="CX11" t="str">
        <v>IL</v>
      </c>
      <c r="CY11" t="str">
        <v>Federal Motor Carrier Safety Regulations</v>
      </c>
      <c r="DA11" t="str">
        <v>Yes</v>
      </c>
      <c r="DB11" t="str">
        <v>No</v>
      </c>
      <c r="DC11" t="str">
        <v>No</v>
      </c>
      <c r="DD11" t="str">
        <v>No</v>
      </c>
      <c r="DE11" t="str">
        <v>Yes</v>
      </c>
      <c r="DF11" t="str">
        <v>No</v>
      </c>
      <c r="DG11" t="str">
        <v>Jane Doe</v>
      </c>
      <c r="DH11" t="str">
        <v>Sister</v>
      </c>
      <c r="DI11" t="str">
        <v>555-555-5555</v>
      </c>
      <c r="DJ11" t="str">
        <v>No</v>
      </c>
      <c r="DK11" t="str">
        <v>No</v>
      </c>
      <c r="DL11" t="str">
        <v>No</v>
      </c>
      <c r="DM11" t="str">
        <v>No</v>
      </c>
      <c r="DN11" t="str">
        <v>Yes - Appendectomy (2005)</v>
      </c>
      <c r="DO11" t="str">
        <v>20/20</v>
      </c>
      <c r="DP11" t="str">
        <v>20/20</v>
      </c>
      <c r="DQ11" t="str">
        <v>Pass</v>
      </c>
      <c r="DR11" t="str">
        <v>118</v>
      </c>
      <c r="DS11" t="str">
        <v>78</v>
      </c>
      <c r="DT11" t="str">
        <v>72</v>
      </c>
      <c r="DU11" t="str">
        <v>Normal</v>
      </c>
      <c r="DV11">
        <v>45392</v>
      </c>
      <c r="DW11">
        <v>45394</v>
      </c>
      <c r="DX11" t="str">
        <v>Negative</v>
      </c>
      <c r="DY11">
        <v>45397</v>
      </c>
      <c r="DZ11" t="str">
        <v>BOF Fleet Safety &amp; Compliance Policy 2024</v>
      </c>
      <c r="EA11" t="str">
        <v>Complete</v>
      </c>
      <c r="EB11">
        <v>45413</v>
      </c>
    </row>
    <row r="12">
      <c r="A12" t="str">
        <v>DRV-002</v>
      </c>
      <c r="B12" t="str">
        <v>Maria Lopez</v>
      </c>
      <c r="C12" t="str">
        <v>770 Demo Street, Chicago, IL 60611</v>
      </c>
      <c r="D12" t="str">
        <v>707-555-0100</v>
      </c>
      <c r="E12" t="str">
        <v>***-**-0105</v>
      </c>
      <c r="F12" t="str">
        <v>Chase</v>
      </c>
      <c r="G12">
        <v>000000107</v>
      </c>
      <c r="H12">
        <v>999900201</v>
      </c>
      <c r="I12" t="str">
        <v>Driver Application</v>
      </c>
      <c r="J12" t="str">
        <v>VALID</v>
      </c>
      <c r="K12" t="str">
        <v>IL0000065</v>
      </c>
      <c r="L12">
        <v>46518</v>
      </c>
      <c r="M12">
        <v>46596</v>
      </c>
      <c r="N12">
        <v>46455</v>
      </c>
      <c r="P12" t="str">
        <v>Brown</v>
      </c>
      <c r="Q12" t="str">
        <v>Hazel</v>
      </c>
      <c r="R12" t="str">
        <v>5'-3"</v>
      </c>
      <c r="S12">
        <v>134</v>
      </c>
      <c r="T12" t="str">
        <v>F</v>
      </c>
      <c r="U12">
        <v>30317</v>
      </c>
      <c r="V12" t="str">
        <v>DRV-002.png</v>
      </c>
      <c r="W12" t="str">
        <v>Hispanic</v>
      </c>
      <c r="X12" t="str">
        <v>marialopez@example.com</v>
      </c>
      <c r="Y12" t="str">
        <v>770 Demo Street</v>
      </c>
      <c r="Z12" t="str">
        <v>Chicago</v>
      </c>
      <c r="AA12" t="str">
        <v>IL</v>
      </c>
      <c r="AB12">
        <v>60611</v>
      </c>
      <c r="AC12" t="str">
        <v>IL</v>
      </c>
      <c r="AD12" t="str">
        <v>Class A</v>
      </c>
      <c r="AE12">
        <v>44696</v>
      </c>
      <c r="AF12" t="str">
        <v>N</v>
      </c>
      <c r="AG12" t="str">
        <v>Corrective lenses</v>
      </c>
      <c r="AH12">
        <v>45866</v>
      </c>
      <c r="AI12" t="str">
        <v>MC-0020104</v>
      </c>
      <c r="AJ12" t="str">
        <v>Dr. Kevin Marshall</v>
      </c>
      <c r="AK12" t="str">
        <v>ME100002</v>
      </c>
      <c r="AL12" t="str">
        <v>Corrective lenses</v>
      </c>
      <c r="AM12" t="str">
        <v>Qualified</v>
      </c>
      <c r="AN12">
        <v>46425</v>
      </c>
      <c r="AO12">
        <v>1</v>
      </c>
      <c r="AP12">
        <v>0</v>
      </c>
      <c r="AQ12" t="str">
        <v>Corrective lenses</v>
      </c>
      <c r="AR12" t="str">
        <v>Clear</v>
      </c>
      <c r="AS12">
        <v>45446</v>
      </c>
      <c r="AT12" t="str">
        <v>Authorized to Work</v>
      </c>
      <c r="AU12" t="str">
        <v>U.S. Passport</v>
      </c>
      <c r="AX12">
        <v>45446</v>
      </c>
      <c r="AY12" t="str">
        <v>BOF Onboarding Team</v>
      </c>
      <c r="AZ12" t="str">
        <v>Complete</v>
      </c>
      <c r="BB12" t="str">
        <v>Individual/Sole Proprietor</v>
      </c>
      <c r="BC12" t="str">
        <v>SSN</v>
      </c>
      <c r="BD12" t="str">
        <v>***-**-0105</v>
      </c>
      <c r="BF12">
        <v>45446</v>
      </c>
      <c r="BG12" t="str">
        <v>Received</v>
      </c>
      <c r="BH12" t="str">
        <v>Checking</v>
      </c>
      <c r="BI12" t="str">
        <v>Direct Deposit</v>
      </c>
      <c r="BJ12">
        <v>45446</v>
      </c>
      <c r="BK12" t="str">
        <v>Verified</v>
      </c>
      <c r="BL12">
        <v>45439</v>
      </c>
      <c r="BM12" t="str">
        <v>D. Foster</v>
      </c>
      <c r="BN12" t="str">
        <v>Day cab tractor</v>
      </c>
      <c r="BO12" t="str">
        <v>53 ft reefer</v>
      </c>
      <c r="BP12" t="str">
        <v>Chicago, IL</v>
      </c>
      <c r="BQ12">
        <v>4</v>
      </c>
      <c r="BR12">
        <v>5</v>
      </c>
      <c r="BS12">
        <v>4</v>
      </c>
      <c r="BT12">
        <v>4</v>
      </c>
      <c r="BU12">
        <v>5</v>
      </c>
      <c r="BV12">
        <v>5</v>
      </c>
      <c r="BW12">
        <v>4</v>
      </c>
      <c r="BX12">
        <v>5</v>
      </c>
      <c r="BY12">
        <v>4</v>
      </c>
      <c r="BZ12" t="str">
        <v>Pass</v>
      </c>
      <c r="CA12" t="str">
        <v>Corrective lenses</v>
      </c>
      <c r="CB12" t="str">
        <v>Passed</v>
      </c>
      <c r="CC12" t="str">
        <v>Enrolled</v>
      </c>
      <c r="CD12" t="str">
        <v>Query Completed</v>
      </c>
      <c r="CE12">
        <v>46037</v>
      </c>
      <c r="CF12">
        <v>46218</v>
      </c>
      <c r="CH12" t="str">
        <v>Compliant</v>
      </c>
      <c r="CJ12" t="str">
        <v>Maria</v>
      </c>
      <c r="CK12" t="str">
        <v>Lopez</v>
      </c>
      <c r="CL12" t="str">
        <v>IL0000044</v>
      </c>
      <c r="CM12" t="str">
        <v>IL</v>
      </c>
      <c r="CN12" t="str">
        <v>CDL Holder</v>
      </c>
      <c r="CO12" t="str">
        <v>Maria Lopez</v>
      </c>
      <c r="CP12">
        <v>45866</v>
      </c>
      <c r="CQ12">
        <v>46596</v>
      </c>
      <c r="CR12" t="str">
        <v>(312) 555-0101</v>
      </c>
      <c r="CS12" t="str">
        <v>Dr. Kevin Marshall</v>
      </c>
      <c r="CT12">
        <v>45866</v>
      </c>
      <c r="CU12" t="str">
        <v>IL-ME-425674</v>
      </c>
      <c r="CV12" t="str">
        <v>ME100002</v>
      </c>
      <c r="CW12" t="str">
        <v>MD</v>
      </c>
      <c r="CX12" t="str">
        <v>IL</v>
      </c>
      <c r="CY12" t="str">
        <v>Federal Motor Carrier Safety Regulations</v>
      </c>
      <c r="DA12" t="str">
        <v>Yes</v>
      </c>
      <c r="DB12" t="str">
        <v>No</v>
      </c>
      <c r="DC12" t="str">
        <v>No</v>
      </c>
      <c r="DD12" t="str">
        <v>No</v>
      </c>
      <c r="DE12" t="str">
        <v>Yes</v>
      </c>
      <c r="DF12" t="str">
        <v>No</v>
      </c>
      <c r="DG12" t="str">
        <v>Jane Doe</v>
      </c>
      <c r="DH12" t="str">
        <v>Sister</v>
      </c>
      <c r="DI12" t="str">
        <v>555-555-5555</v>
      </c>
      <c r="DJ12" t="str">
        <v>No</v>
      </c>
      <c r="DK12" t="str">
        <v>No</v>
      </c>
      <c r="DL12" t="str">
        <v>No</v>
      </c>
      <c r="DM12" t="str">
        <v>No</v>
      </c>
      <c r="DN12" t="str">
        <v>Yes - Appendectomy (2005)</v>
      </c>
      <c r="DO12" t="str">
        <v>20/20</v>
      </c>
      <c r="DP12" t="str">
        <v>20/20</v>
      </c>
      <c r="DQ12" t="str">
        <v>Pass</v>
      </c>
      <c r="DR12" t="str">
        <v>118</v>
      </c>
      <c r="DS12" t="str">
        <v>78</v>
      </c>
      <c r="DT12" t="str">
        <v>72</v>
      </c>
      <c r="DU12" t="str">
        <v>Normal</v>
      </c>
      <c r="DV12">
        <v>45392</v>
      </c>
      <c r="DW12">
        <v>45394</v>
      </c>
      <c r="DX12" t="str">
        <v>Negative</v>
      </c>
      <c r="DY12">
        <v>45397</v>
      </c>
      <c r="DZ12" t="str">
        <v>BOF Fleet Safety &amp; Compliance Policy 2024</v>
      </c>
      <c r="EA12" t="str">
        <v>Complete</v>
      </c>
      <c r="EB12">
        <v>45413</v>
      </c>
    </row>
    <row r="13">
      <c r="A13" t="str">
        <v>DRV-002</v>
      </c>
      <c r="B13" t="str">
        <v>Maria Lopez</v>
      </c>
      <c r="C13" t="str">
        <v>770 Demo Street, Chicago, IL 60611</v>
      </c>
      <c r="D13" t="str">
        <v>707-555-0100</v>
      </c>
      <c r="E13" t="str">
        <v>***-**-0105</v>
      </c>
      <c r="F13" t="str">
        <v>Chase</v>
      </c>
      <c r="G13">
        <v>000000107</v>
      </c>
      <c r="H13">
        <v>999900201</v>
      </c>
      <c r="I13" t="str">
        <v>Road Test Certificate</v>
      </c>
      <c r="J13" t="str">
        <v>VALID</v>
      </c>
      <c r="K13" t="str">
        <v>IL0000067</v>
      </c>
      <c r="L13">
        <v>46518</v>
      </c>
      <c r="M13">
        <v>46596</v>
      </c>
      <c r="N13">
        <v>46455</v>
      </c>
      <c r="P13" t="str">
        <v>Brown</v>
      </c>
      <c r="Q13" t="str">
        <v>Hazel</v>
      </c>
      <c r="R13" t="str">
        <v>5'-3"</v>
      </c>
      <c r="S13">
        <v>134</v>
      </c>
      <c r="T13" t="str">
        <v>F</v>
      </c>
      <c r="U13">
        <v>30317</v>
      </c>
      <c r="V13" t="str">
        <v>DRV-002.png</v>
      </c>
      <c r="W13" t="str">
        <v>Hispanic</v>
      </c>
      <c r="X13" t="str">
        <v>marialopez@example.com</v>
      </c>
      <c r="Y13" t="str">
        <v>770 Demo Street</v>
      </c>
      <c r="Z13" t="str">
        <v>Chicago</v>
      </c>
      <c r="AA13" t="str">
        <v>IL</v>
      </c>
      <c r="AB13">
        <v>60611</v>
      </c>
      <c r="AC13" t="str">
        <v>IL</v>
      </c>
      <c r="AD13" t="str">
        <v>Class A</v>
      </c>
      <c r="AE13">
        <v>44696</v>
      </c>
      <c r="AF13" t="str">
        <v>N</v>
      </c>
      <c r="AG13" t="str">
        <v>Corrective lenses</v>
      </c>
      <c r="AH13">
        <v>45866</v>
      </c>
      <c r="AI13" t="str">
        <v>MC-0020104</v>
      </c>
      <c r="AJ13" t="str">
        <v>Dr. Kevin Marshall</v>
      </c>
      <c r="AK13" t="str">
        <v>ME100002</v>
      </c>
      <c r="AL13" t="str">
        <v>Corrective lenses</v>
      </c>
      <c r="AM13" t="str">
        <v>Qualified</v>
      </c>
      <c r="AN13">
        <v>46425</v>
      </c>
      <c r="AO13">
        <v>1</v>
      </c>
      <c r="AP13">
        <v>0</v>
      </c>
      <c r="AQ13" t="str">
        <v>Corrective lenses</v>
      </c>
      <c r="AR13" t="str">
        <v>Clear</v>
      </c>
      <c r="AS13">
        <v>45446</v>
      </c>
      <c r="AT13" t="str">
        <v>Authorized to Work</v>
      </c>
      <c r="AU13" t="str">
        <v>U.S. Passport</v>
      </c>
      <c r="AX13">
        <v>45446</v>
      </c>
      <c r="AY13" t="str">
        <v>BOF Onboarding Team</v>
      </c>
      <c r="AZ13" t="str">
        <v>Complete</v>
      </c>
      <c r="BB13" t="str">
        <v>Individual/Sole Proprietor</v>
      </c>
      <c r="BC13" t="str">
        <v>SSN</v>
      </c>
      <c r="BD13" t="str">
        <v>***-**-0105</v>
      </c>
      <c r="BF13">
        <v>45446</v>
      </c>
      <c r="BG13" t="str">
        <v>Received</v>
      </c>
      <c r="BH13" t="str">
        <v>Checking</v>
      </c>
      <c r="BI13" t="str">
        <v>Direct Deposit</v>
      </c>
      <c r="BJ13">
        <v>45446</v>
      </c>
      <c r="BK13" t="str">
        <v>Verified</v>
      </c>
      <c r="BL13">
        <v>45439</v>
      </c>
      <c r="BM13" t="str">
        <v>D. Foster</v>
      </c>
      <c r="BN13" t="str">
        <v>Day cab tractor</v>
      </c>
      <c r="BO13" t="str">
        <v>53 ft reefer</v>
      </c>
      <c r="BP13" t="str">
        <v>Chicago, IL</v>
      </c>
      <c r="BQ13">
        <v>4</v>
      </c>
      <c r="BR13">
        <v>5</v>
      </c>
      <c r="BS13">
        <v>4</v>
      </c>
      <c r="BT13">
        <v>4</v>
      </c>
      <c r="BU13">
        <v>5</v>
      </c>
      <c r="BV13">
        <v>5</v>
      </c>
      <c r="BW13">
        <v>4</v>
      </c>
      <c r="BX13">
        <v>5</v>
      </c>
      <c r="BY13">
        <v>4</v>
      </c>
      <c r="BZ13" t="str">
        <v>Pass</v>
      </c>
      <c r="CA13" t="str">
        <v>Corrective lenses</v>
      </c>
      <c r="CB13" t="str">
        <v>Passed</v>
      </c>
      <c r="CC13" t="str">
        <v>Enrolled</v>
      </c>
      <c r="CD13" t="str">
        <v>Query Completed</v>
      </c>
      <c r="CE13">
        <v>46037</v>
      </c>
      <c r="CF13">
        <v>46218</v>
      </c>
      <c r="CH13" t="str">
        <v>Compliant</v>
      </c>
      <c r="CJ13" t="str">
        <v>Maria</v>
      </c>
      <c r="CK13" t="str">
        <v>Lopez</v>
      </c>
      <c r="CL13" t="str">
        <v>IL0000045</v>
      </c>
      <c r="CM13" t="str">
        <v>IL</v>
      </c>
      <c r="CN13" t="str">
        <v>CDL Holder</v>
      </c>
      <c r="CO13" t="str">
        <v>Maria Lopez</v>
      </c>
      <c r="CP13">
        <v>45866</v>
      </c>
      <c r="CQ13">
        <v>46596</v>
      </c>
      <c r="CR13" t="str">
        <v>(312) 555-0101</v>
      </c>
      <c r="CS13" t="str">
        <v>Dr. Kevin Marshall</v>
      </c>
      <c r="CT13">
        <v>45866</v>
      </c>
      <c r="CU13" t="str">
        <v>IL-ME-425674</v>
      </c>
      <c r="CV13" t="str">
        <v>ME100002</v>
      </c>
      <c r="CW13" t="str">
        <v>MD</v>
      </c>
      <c r="CX13" t="str">
        <v>IL</v>
      </c>
      <c r="CY13" t="str">
        <v>Federal Motor Carrier Safety Regulations</v>
      </c>
      <c r="DA13" t="str">
        <v>Yes</v>
      </c>
      <c r="DB13" t="str">
        <v>No</v>
      </c>
      <c r="DC13" t="str">
        <v>No</v>
      </c>
      <c r="DD13" t="str">
        <v>No</v>
      </c>
      <c r="DE13" t="str">
        <v>Yes</v>
      </c>
      <c r="DF13" t="str">
        <v>No</v>
      </c>
      <c r="DG13" t="str">
        <v>Jane Doe</v>
      </c>
      <c r="DH13" t="str">
        <v>Sister</v>
      </c>
      <c r="DI13" t="str">
        <v>555-555-5555</v>
      </c>
      <c r="DJ13" t="str">
        <v>No</v>
      </c>
      <c r="DK13" t="str">
        <v>No</v>
      </c>
      <c r="DL13" t="str">
        <v>No</v>
      </c>
      <c r="DM13" t="str">
        <v>No</v>
      </c>
      <c r="DN13" t="str">
        <v>Yes - Appendectomy (2005)</v>
      </c>
      <c r="DO13" t="str">
        <v>20/20</v>
      </c>
      <c r="DP13" t="str">
        <v>20/20</v>
      </c>
      <c r="DQ13" t="str">
        <v>Pass</v>
      </c>
      <c r="DR13" t="str">
        <v>118</v>
      </c>
      <c r="DS13" t="str">
        <v>78</v>
      </c>
      <c r="DT13" t="str">
        <v>72</v>
      </c>
      <c r="DU13" t="str">
        <v>Normal</v>
      </c>
      <c r="DV13">
        <v>45392</v>
      </c>
      <c r="DW13">
        <v>45394</v>
      </c>
      <c r="DX13" t="str">
        <v>Negative</v>
      </c>
      <c r="DY13">
        <v>45397</v>
      </c>
      <c r="DZ13" t="str">
        <v>BOF Fleet Safety &amp; Compliance Policy 2024</v>
      </c>
      <c r="EA13" t="str">
        <v>Complete</v>
      </c>
      <c r="EB13">
        <v>45413</v>
      </c>
    </row>
    <row r="14">
      <c r="A14" t="str">
        <v>DRV-002</v>
      </c>
      <c r="B14" t="str">
        <v>Maria Lopez</v>
      </c>
      <c r="C14" t="str">
        <v>770 Demo Street, Chicago, IL 60611</v>
      </c>
      <c r="D14" t="str">
        <v>707-555-0100</v>
      </c>
      <c r="E14" t="str">
        <v>***-**-0105</v>
      </c>
      <c r="F14" t="str">
        <v>Chase</v>
      </c>
      <c r="G14">
        <v>000000107</v>
      </c>
      <c r="H14">
        <v>999900201</v>
      </c>
      <c r="I14" t="str">
        <v>Incident/Accident Report</v>
      </c>
      <c r="J14" t="str">
        <v>VALID</v>
      </c>
      <c r="K14" t="str">
        <v>IL0000058</v>
      </c>
      <c r="L14">
        <v>46518</v>
      </c>
      <c r="M14">
        <v>46596</v>
      </c>
      <c r="N14">
        <v>46455</v>
      </c>
      <c r="O14" t="str">
        <v>No major incidents recorded in last 90 days.</v>
      </c>
      <c r="P14" t="str">
        <v>Brown</v>
      </c>
      <c r="Q14" t="str">
        <v>Hazel</v>
      </c>
      <c r="R14" t="str">
        <v>5'-3"</v>
      </c>
      <c r="S14">
        <v>134</v>
      </c>
      <c r="T14" t="str">
        <v>F</v>
      </c>
      <c r="U14">
        <v>30317</v>
      </c>
      <c r="V14" t="str">
        <v>DRV-002.png</v>
      </c>
      <c r="W14" t="str">
        <v>Hispanic</v>
      </c>
      <c r="X14" t="str">
        <v>marialopez@example.com</v>
      </c>
      <c r="Y14" t="str">
        <v>770 Demo Street</v>
      </c>
      <c r="Z14" t="str">
        <v>Chicago</v>
      </c>
      <c r="AA14" t="str">
        <v>IL</v>
      </c>
      <c r="AB14">
        <v>60611</v>
      </c>
      <c r="AC14" t="str">
        <v>IL</v>
      </c>
      <c r="AD14" t="str">
        <v>Class A</v>
      </c>
      <c r="AE14">
        <v>44696</v>
      </c>
      <c r="AF14" t="str">
        <v>N</v>
      </c>
      <c r="AG14" t="str">
        <v>Corrective lenses</v>
      </c>
      <c r="AH14">
        <v>45866</v>
      </c>
      <c r="AI14" t="str">
        <v>MC-0020104</v>
      </c>
      <c r="AJ14" t="str">
        <v>Dr. Kevin Marshall</v>
      </c>
      <c r="AK14" t="str">
        <v>ME100002</v>
      </c>
      <c r="AL14" t="str">
        <v>Corrective lenses</v>
      </c>
      <c r="AM14" t="str">
        <v>Qualified</v>
      </c>
      <c r="AN14">
        <v>46425</v>
      </c>
      <c r="AO14">
        <v>1</v>
      </c>
      <c r="AP14">
        <v>0</v>
      </c>
      <c r="AQ14" t="str">
        <v>Corrective lenses</v>
      </c>
      <c r="AR14" t="str">
        <v>Clear</v>
      </c>
      <c r="AS14">
        <v>45446</v>
      </c>
      <c r="AT14" t="str">
        <v>Authorized to Work</v>
      </c>
      <c r="AU14" t="str">
        <v>U.S. Passport</v>
      </c>
      <c r="AX14">
        <v>45446</v>
      </c>
      <c r="AY14" t="str">
        <v>BOF Onboarding Team</v>
      </c>
      <c r="AZ14" t="str">
        <v>Complete</v>
      </c>
      <c r="BB14" t="str">
        <v>Individual/Sole Proprietor</v>
      </c>
      <c r="BC14" t="str">
        <v>SSN</v>
      </c>
      <c r="BD14" t="str">
        <v>***-**-0105</v>
      </c>
      <c r="BF14">
        <v>45446</v>
      </c>
      <c r="BG14" t="str">
        <v>Received</v>
      </c>
      <c r="BH14" t="str">
        <v>Checking</v>
      </c>
      <c r="BI14" t="str">
        <v>Direct Deposit</v>
      </c>
      <c r="BJ14">
        <v>45446</v>
      </c>
      <c r="BK14" t="str">
        <v>Verified</v>
      </c>
      <c r="BL14">
        <v>45439</v>
      </c>
      <c r="BM14" t="str">
        <v>D. Foster</v>
      </c>
      <c r="BN14" t="str">
        <v>Day cab tractor</v>
      </c>
      <c r="BO14" t="str">
        <v>53 ft reefer</v>
      </c>
      <c r="BP14" t="str">
        <v>Chicago, IL</v>
      </c>
      <c r="BQ14">
        <v>4</v>
      </c>
      <c r="BR14">
        <v>5</v>
      </c>
      <c r="BS14">
        <v>4</v>
      </c>
      <c r="BT14">
        <v>4</v>
      </c>
      <c r="BU14">
        <v>5</v>
      </c>
      <c r="BV14">
        <v>5</v>
      </c>
      <c r="BW14">
        <v>4</v>
      </c>
      <c r="BX14">
        <v>5</v>
      </c>
      <c r="BY14">
        <v>4</v>
      </c>
      <c r="BZ14" t="str">
        <v>Pass</v>
      </c>
      <c r="CA14" t="str">
        <v>Corrective lenses</v>
      </c>
      <c r="CB14" t="str">
        <v>Passed</v>
      </c>
      <c r="CC14" t="str">
        <v>Enrolled</v>
      </c>
      <c r="CD14" t="str">
        <v>Query Completed</v>
      </c>
      <c r="CE14">
        <v>46037</v>
      </c>
      <c r="CF14">
        <v>46218</v>
      </c>
      <c r="CH14" t="str">
        <v>Compliant</v>
      </c>
      <c r="CJ14" t="str">
        <v>Maria</v>
      </c>
      <c r="CK14" t="str">
        <v>Lopez</v>
      </c>
      <c r="CL14" t="str">
        <v>IL0000046</v>
      </c>
      <c r="CM14" t="str">
        <v>IL</v>
      </c>
      <c r="CN14" t="str">
        <v>CDL Holder</v>
      </c>
      <c r="CO14" t="str">
        <v>Maria Lopez</v>
      </c>
      <c r="CP14">
        <v>45866</v>
      </c>
      <c r="CQ14">
        <v>46596</v>
      </c>
      <c r="CR14" t="str">
        <v>(312) 555-0101</v>
      </c>
      <c r="CS14" t="str">
        <v>Dr. Kevin Marshall</v>
      </c>
      <c r="CT14">
        <v>45866</v>
      </c>
      <c r="CU14" t="str">
        <v>IL-ME-425674</v>
      </c>
      <c r="CV14" t="str">
        <v>ME100002</v>
      </c>
      <c r="CW14" t="str">
        <v>MD</v>
      </c>
      <c r="CX14" t="str">
        <v>IL</v>
      </c>
      <c r="CY14" t="str">
        <v>Federal Motor Carrier Safety Regulations</v>
      </c>
      <c r="DA14" t="str">
        <v>Yes</v>
      </c>
      <c r="DB14" t="str">
        <v>No</v>
      </c>
      <c r="DC14" t="str">
        <v>No</v>
      </c>
      <c r="DD14" t="str">
        <v>No</v>
      </c>
      <c r="DE14" t="str">
        <v>Yes</v>
      </c>
      <c r="DF14" t="str">
        <v>No</v>
      </c>
      <c r="DG14" t="str">
        <v>Jane Doe</v>
      </c>
      <c r="DH14" t="str">
        <v>Sister</v>
      </c>
      <c r="DI14" t="str">
        <v>555-555-5555</v>
      </c>
      <c r="DJ14" t="str">
        <v>No</v>
      </c>
      <c r="DK14" t="str">
        <v>No</v>
      </c>
      <c r="DL14" t="str">
        <v>No</v>
      </c>
      <c r="DM14" t="str">
        <v>No</v>
      </c>
      <c r="DN14" t="str">
        <v>Yes - Appendectomy (2005)</v>
      </c>
      <c r="DO14" t="str">
        <v>20/20</v>
      </c>
      <c r="DP14" t="str">
        <v>20/20</v>
      </c>
      <c r="DQ14" t="str">
        <v>Pass</v>
      </c>
      <c r="DR14" t="str">
        <v>118</v>
      </c>
      <c r="DS14" t="str">
        <v>78</v>
      </c>
      <c r="DT14" t="str">
        <v>72</v>
      </c>
      <c r="DU14" t="str">
        <v>Normal</v>
      </c>
      <c r="DV14">
        <v>45392</v>
      </c>
      <c r="DW14">
        <v>45394</v>
      </c>
      <c r="DX14" t="str">
        <v>Negative</v>
      </c>
      <c r="DY14">
        <v>45397</v>
      </c>
      <c r="DZ14" t="str">
        <v>BOF Fleet Safety &amp; Compliance Policy 2024</v>
      </c>
      <c r="EA14" t="str">
        <v>Complete</v>
      </c>
      <c r="EB14">
        <v>45413</v>
      </c>
    </row>
    <row r="15">
      <c r="A15" t="str">
        <v>DRV-002</v>
      </c>
      <c r="B15" t="str">
        <v>Maria Lopez</v>
      </c>
      <c r="C15" t="str">
        <v>770 Demo Street, Chicago, IL 60611</v>
      </c>
      <c r="D15" t="str">
        <v>707-555-0100</v>
      </c>
      <c r="E15" t="str">
        <v>***-**-0105</v>
      </c>
      <c r="F15" t="str">
        <v>Chase</v>
      </c>
      <c r="G15">
        <v>000000107</v>
      </c>
      <c r="H15">
        <v>999900201</v>
      </c>
      <c r="I15" t="str">
        <v>Direct Deposit Form</v>
      </c>
      <c r="J15" t="str">
        <v>VALID</v>
      </c>
      <c r="K15" t="str">
        <v>IL0000061</v>
      </c>
      <c r="L15">
        <v>46518</v>
      </c>
      <c r="M15">
        <v>46596</v>
      </c>
      <c r="N15">
        <v>46455</v>
      </c>
      <c r="P15" t="str">
        <v>Brown</v>
      </c>
      <c r="Q15" t="str">
        <v>Hazel</v>
      </c>
      <c r="R15" t="str">
        <v>5'-3"</v>
      </c>
      <c r="S15">
        <v>134</v>
      </c>
      <c r="T15" t="str">
        <v>F</v>
      </c>
      <c r="U15">
        <v>30317</v>
      </c>
      <c r="V15" t="str">
        <v>DRV-002.png</v>
      </c>
      <c r="W15" t="str">
        <v>Hispanic</v>
      </c>
      <c r="X15" t="str">
        <v>marialopez@example.com</v>
      </c>
      <c r="Y15" t="str">
        <v>770 Demo Street</v>
      </c>
      <c r="Z15" t="str">
        <v>Chicago</v>
      </c>
      <c r="AA15" t="str">
        <v>IL</v>
      </c>
      <c r="AB15">
        <v>60611</v>
      </c>
      <c r="AC15" t="str">
        <v>IL</v>
      </c>
      <c r="AD15" t="str">
        <v>Class A</v>
      </c>
      <c r="AE15">
        <v>44696</v>
      </c>
      <c r="AF15" t="str">
        <v>N</v>
      </c>
      <c r="AG15" t="str">
        <v>Corrective lenses</v>
      </c>
      <c r="AH15">
        <v>45866</v>
      </c>
      <c r="AI15" t="str">
        <v>MC-0020104</v>
      </c>
      <c r="AJ15" t="str">
        <v>Dr. Kevin Marshall</v>
      </c>
      <c r="AK15" t="str">
        <v>ME100002</v>
      </c>
      <c r="AL15" t="str">
        <v>Corrective lenses</v>
      </c>
      <c r="AM15" t="str">
        <v>Qualified</v>
      </c>
      <c r="AN15">
        <v>46425</v>
      </c>
      <c r="AO15">
        <v>1</v>
      </c>
      <c r="AP15">
        <v>0</v>
      </c>
      <c r="AQ15" t="str">
        <v>Corrective lenses</v>
      </c>
      <c r="AR15" t="str">
        <v>Clear</v>
      </c>
      <c r="AS15">
        <v>45446</v>
      </c>
      <c r="AT15" t="str">
        <v>Authorized to Work</v>
      </c>
      <c r="AU15" t="str">
        <v>U.S. Passport</v>
      </c>
      <c r="AX15">
        <v>45446</v>
      </c>
      <c r="AY15" t="str">
        <v>BOF Onboarding Team</v>
      </c>
      <c r="AZ15" t="str">
        <v>Complete</v>
      </c>
      <c r="BB15" t="str">
        <v>Individual/Sole Proprietor</v>
      </c>
      <c r="BC15" t="str">
        <v>SSN</v>
      </c>
      <c r="BD15" t="str">
        <v>***-**-0105</v>
      </c>
      <c r="BF15">
        <v>45446</v>
      </c>
      <c r="BG15" t="str">
        <v>Received</v>
      </c>
      <c r="BH15" t="str">
        <v>Checking</v>
      </c>
      <c r="BI15" t="str">
        <v>Direct Deposit</v>
      </c>
      <c r="BJ15">
        <v>45446</v>
      </c>
      <c r="BK15" t="str">
        <v>Verified</v>
      </c>
      <c r="BL15">
        <v>45439</v>
      </c>
      <c r="BM15" t="str">
        <v>D. Foster</v>
      </c>
      <c r="BN15" t="str">
        <v>Day cab tractor</v>
      </c>
      <c r="BO15" t="str">
        <v>53 ft reefer</v>
      </c>
      <c r="BP15" t="str">
        <v>Chicago, IL</v>
      </c>
      <c r="BQ15">
        <v>4</v>
      </c>
      <c r="BR15">
        <v>5</v>
      </c>
      <c r="BS15">
        <v>4</v>
      </c>
      <c r="BT15">
        <v>4</v>
      </c>
      <c r="BU15">
        <v>5</v>
      </c>
      <c r="BV15">
        <v>5</v>
      </c>
      <c r="BW15">
        <v>4</v>
      </c>
      <c r="BX15">
        <v>5</v>
      </c>
      <c r="BY15">
        <v>4</v>
      </c>
      <c r="BZ15" t="str">
        <v>Pass</v>
      </c>
      <c r="CA15" t="str">
        <v>Corrective lenses</v>
      </c>
      <c r="CB15" t="str">
        <v>Passed</v>
      </c>
      <c r="CC15" t="str">
        <v>Enrolled</v>
      </c>
      <c r="CD15" t="str">
        <v>Query Completed</v>
      </c>
      <c r="CE15">
        <v>46037</v>
      </c>
      <c r="CF15">
        <v>46218</v>
      </c>
      <c r="CH15" t="str">
        <v>Compliant</v>
      </c>
      <c r="CJ15" t="str">
        <v>Maria</v>
      </c>
      <c r="CK15" t="str">
        <v>Lopez</v>
      </c>
      <c r="CL15" t="str">
        <v>IL0000047</v>
      </c>
      <c r="CM15" t="str">
        <v>IL</v>
      </c>
      <c r="CN15" t="str">
        <v>CDL Holder</v>
      </c>
      <c r="CO15" t="str">
        <v>Maria Lopez</v>
      </c>
      <c r="CP15">
        <v>45866</v>
      </c>
      <c r="CQ15">
        <v>46596</v>
      </c>
      <c r="CR15" t="str">
        <v>(312) 555-0101</v>
      </c>
      <c r="CS15" t="str">
        <v>Dr. Kevin Marshall</v>
      </c>
      <c r="CT15">
        <v>45866</v>
      </c>
      <c r="CU15" t="str">
        <v>IL-ME-425674</v>
      </c>
      <c r="CV15" t="str">
        <v>ME100002</v>
      </c>
      <c r="CW15" t="str">
        <v>MD</v>
      </c>
      <c r="CX15" t="str">
        <v>IL</v>
      </c>
      <c r="CY15" t="str">
        <v>Federal Motor Carrier Safety Regulations</v>
      </c>
      <c r="DA15" t="str">
        <v>Yes</v>
      </c>
      <c r="DB15" t="str">
        <v>No</v>
      </c>
      <c r="DC15" t="str">
        <v>No</v>
      </c>
      <c r="DD15" t="str">
        <v>No</v>
      </c>
      <c r="DE15" t="str">
        <v>Yes</v>
      </c>
      <c r="DF15" t="str">
        <v>No</v>
      </c>
      <c r="DG15" t="str">
        <v>Jane Doe</v>
      </c>
      <c r="DH15" t="str">
        <v>Sister</v>
      </c>
      <c r="DI15" t="str">
        <v>555-555-5555</v>
      </c>
      <c r="DJ15" t="str">
        <v>No</v>
      </c>
      <c r="DK15" t="str">
        <v>No</v>
      </c>
      <c r="DL15" t="str">
        <v>No</v>
      </c>
      <c r="DM15" t="str">
        <v>No</v>
      </c>
      <c r="DN15" t="str">
        <v>Yes - Appendectomy (2005)</v>
      </c>
      <c r="DO15" t="str">
        <v>20/20</v>
      </c>
      <c r="DP15" t="str">
        <v>20/20</v>
      </c>
      <c r="DQ15" t="str">
        <v>Pass</v>
      </c>
      <c r="DR15" t="str">
        <v>118</v>
      </c>
      <c r="DS15" t="str">
        <v>78</v>
      </c>
      <c r="DT15" t="str">
        <v>72</v>
      </c>
      <c r="DU15" t="str">
        <v>Normal</v>
      </c>
      <c r="DV15">
        <v>45392</v>
      </c>
      <c r="DW15">
        <v>45394</v>
      </c>
      <c r="DX15" t="str">
        <v>Negative</v>
      </c>
      <c r="DY15">
        <v>45397</v>
      </c>
      <c r="DZ15" t="str">
        <v>BOF Fleet Safety &amp; Compliance Policy 2024</v>
      </c>
      <c r="EA15" t="str">
        <v>Complete</v>
      </c>
      <c r="EB15">
        <v>45413</v>
      </c>
    </row>
    <row r="16">
      <c r="A16" t="str">
        <v>DRV-003</v>
      </c>
      <c r="B16" t="str">
        <v>Alex Kim</v>
      </c>
      <c r="C16" t="str">
        <v>960 Demo Street, Atlanta, GA 30308</v>
      </c>
      <c r="D16" t="str">
        <v>675-555-0100</v>
      </c>
      <c r="E16" t="str">
        <v>***-**-0116</v>
      </c>
      <c r="F16" t="str">
        <v>Chase</v>
      </c>
      <c r="G16">
        <v>000000111</v>
      </c>
      <c r="H16">
        <v>999900211</v>
      </c>
      <c r="I16" t="str">
        <v>CDL Summary</v>
      </c>
      <c r="J16" t="str">
        <v>VALID</v>
      </c>
      <c r="K16" t="str">
        <v>GA0000013</v>
      </c>
      <c r="L16">
        <v>46420</v>
      </c>
      <c r="M16">
        <v>46659</v>
      </c>
      <c r="N16">
        <v>46449</v>
      </c>
      <c r="P16" t="str">
        <v>Brown</v>
      </c>
      <c r="Q16" t="str">
        <v>Blue</v>
      </c>
      <c r="R16" t="str">
        <v>6'-2"</v>
      </c>
      <c r="S16">
        <v>214</v>
      </c>
      <c r="T16" t="str">
        <v>M</v>
      </c>
      <c r="U16">
        <v>25934</v>
      </c>
      <c r="V16" t="str">
        <v>DRV-003.png</v>
      </c>
      <c r="W16" t="str">
        <v>Asian</v>
      </c>
      <c r="X16" t="str">
        <v>alexkim@example.com</v>
      </c>
      <c r="Y16" t="str">
        <v>960 Demo Street</v>
      </c>
      <c r="Z16" t="str">
        <v>Atlanta</v>
      </c>
      <c r="AA16" t="str">
        <v>GA</v>
      </c>
      <c r="AB16">
        <v>30308</v>
      </c>
      <c r="AC16" t="str">
        <v>GA</v>
      </c>
      <c r="AD16" t="str">
        <v>Class A</v>
      </c>
      <c r="AE16">
        <v>44598</v>
      </c>
      <c r="AF16" t="str">
        <v>H,N</v>
      </c>
      <c r="AH16">
        <v>45929</v>
      </c>
      <c r="AI16" t="str">
        <v>MC-0030104</v>
      </c>
      <c r="AJ16" t="str">
        <v>Dr. Lisa Bennett</v>
      </c>
      <c r="AK16" t="str">
        <v>ME100003</v>
      </c>
      <c r="AM16" t="str">
        <v>Qualified</v>
      </c>
      <c r="AN16">
        <v>46419</v>
      </c>
      <c r="AO16">
        <v>0</v>
      </c>
      <c r="AP16">
        <v>0</v>
      </c>
      <c r="AR16" t="str">
        <v>Clear</v>
      </c>
      <c r="AS16">
        <v>45488</v>
      </c>
      <c r="AT16" t="str">
        <v>Authorized to Work</v>
      </c>
      <c r="AU16" t="str">
        <v>U.S. Passport</v>
      </c>
      <c r="AX16">
        <v>45488</v>
      </c>
      <c r="AY16" t="str">
        <v>BOF Onboarding Team</v>
      </c>
      <c r="AZ16" t="str">
        <v>Complete</v>
      </c>
      <c r="BB16" t="str">
        <v>Individual/Sole Proprietor</v>
      </c>
      <c r="BC16" t="str">
        <v>SSN</v>
      </c>
      <c r="BD16" t="str">
        <v>***-**-0116</v>
      </c>
      <c r="BF16">
        <v>45488</v>
      </c>
      <c r="BG16" t="str">
        <v>Received</v>
      </c>
      <c r="BH16" t="str">
        <v>Checking</v>
      </c>
      <c r="BI16" t="str">
        <v>Direct Deposit</v>
      </c>
      <c r="BJ16">
        <v>45488</v>
      </c>
      <c r="BK16" t="str">
        <v>Verified</v>
      </c>
      <c r="BL16">
        <v>45481</v>
      </c>
      <c r="BM16" t="str">
        <v>M. Chen</v>
      </c>
      <c r="BN16" t="str">
        <v>Sleeper tractor</v>
      </c>
      <c r="BO16" t="str">
        <v>Tanker</v>
      </c>
      <c r="BP16" t="str">
        <v>Atlanta, GA</v>
      </c>
      <c r="BQ16">
        <v>5</v>
      </c>
      <c r="BR16">
        <v>5</v>
      </c>
      <c r="BS16">
        <v>5</v>
      </c>
      <c r="BT16">
        <v>5</v>
      </c>
      <c r="BU16">
        <v>4</v>
      </c>
      <c r="BV16">
        <v>5</v>
      </c>
      <c r="BW16">
        <v>5</v>
      </c>
      <c r="BX16">
        <v>5</v>
      </c>
      <c r="BY16">
        <v>5</v>
      </c>
      <c r="BZ16" t="str">
        <v>Pass</v>
      </c>
      <c r="CA16" t="str">
        <v>HazMat loads only after refresher every 12 months</v>
      </c>
      <c r="CB16" t="str">
        <v>Passed</v>
      </c>
      <c r="CC16" t="str">
        <v>Enrolled</v>
      </c>
      <c r="CD16" t="str">
        <v>Query Completed</v>
      </c>
      <c r="CE16">
        <v>46037</v>
      </c>
      <c r="CF16">
        <v>46218</v>
      </c>
      <c r="CH16" t="str">
        <v>Compliant</v>
      </c>
      <c r="CJ16" t="str">
        <v>Alex</v>
      </c>
      <c r="CK16" t="str">
        <v>Kim</v>
      </c>
      <c r="CL16" t="str">
        <v>GA0000013</v>
      </c>
      <c r="CM16" t="str">
        <v>GA</v>
      </c>
      <c r="CN16" t="str">
        <v>CDL Holder</v>
      </c>
      <c r="CO16" t="str">
        <v>Alex Kim</v>
      </c>
      <c r="CP16">
        <v>45929</v>
      </c>
      <c r="CQ16">
        <v>46659</v>
      </c>
      <c r="CR16" t="str">
        <v>(404) 555-0107</v>
      </c>
      <c r="CS16" t="str">
        <v>Dr. Lisa Bennett</v>
      </c>
      <c r="CT16">
        <v>45929</v>
      </c>
      <c r="CU16" t="str">
        <v>GA-ME-142937</v>
      </c>
      <c r="CV16" t="str">
        <v>ME100003</v>
      </c>
      <c r="CW16" t="str">
        <v>Advanced Practice Nurse</v>
      </c>
      <c r="CX16" t="str">
        <v>GA</v>
      </c>
      <c r="CY16" t="str">
        <v>Federal Motor Carrier Safety Regulations</v>
      </c>
      <c r="DA16" t="str">
        <v>No</v>
      </c>
      <c r="DB16" t="str">
        <v>No</v>
      </c>
      <c r="DC16" t="str">
        <v>No</v>
      </c>
      <c r="DD16" t="str">
        <v>No</v>
      </c>
      <c r="DE16" t="str">
        <v>No</v>
      </c>
      <c r="DF16" t="str">
        <v>No</v>
      </c>
      <c r="DG16" t="str">
        <v>Jane Doe</v>
      </c>
      <c r="DH16" t="str">
        <v>Sister</v>
      </c>
      <c r="DI16" t="str">
        <v>555-555-5555</v>
      </c>
      <c r="DJ16" t="str">
        <v>No</v>
      </c>
      <c r="DK16" t="str">
        <v>No</v>
      </c>
      <c r="DL16" t="str">
        <v>No</v>
      </c>
      <c r="DM16" t="str">
        <v>No</v>
      </c>
      <c r="DN16" t="str">
        <v>Yes - Appendectomy (2005)</v>
      </c>
      <c r="DO16" t="str">
        <v>20/20</v>
      </c>
      <c r="DP16" t="str">
        <v>20/20</v>
      </c>
      <c r="DQ16" t="str">
        <v>Pass</v>
      </c>
      <c r="DR16" t="str">
        <v>118</v>
      </c>
      <c r="DS16" t="str">
        <v>78</v>
      </c>
      <c r="DT16" t="str">
        <v>72</v>
      </c>
      <c r="DU16" t="str">
        <v>Normal</v>
      </c>
      <c r="DV16">
        <v>45392</v>
      </c>
      <c r="DW16">
        <v>45394</v>
      </c>
      <c r="DX16" t="str">
        <v>Negative</v>
      </c>
      <c r="DY16">
        <v>45397</v>
      </c>
      <c r="DZ16" t="str">
        <v>BOF Fleet Safety &amp; Compliance Policy 2024</v>
      </c>
      <c r="EA16" t="str">
        <v>Complete</v>
      </c>
      <c r="EB16">
        <v>45413</v>
      </c>
    </row>
    <row r="17">
      <c r="A17" t="str">
        <v>DRV-003</v>
      </c>
      <c r="B17" t="str">
        <v>Alex Kim</v>
      </c>
      <c r="C17" t="str">
        <v>960 Demo Street, Atlanta, GA 30308</v>
      </c>
      <c r="D17" t="str">
        <v>675-555-0100</v>
      </c>
      <c r="E17" t="str">
        <v>***-**-0116</v>
      </c>
      <c r="F17" t="str">
        <v>Chase</v>
      </c>
      <c r="G17">
        <v>000000111</v>
      </c>
      <c r="H17">
        <v>999900211</v>
      </c>
      <c r="I17" t="str">
        <v>Medical Certification</v>
      </c>
      <c r="J17" t="str">
        <v>VALID</v>
      </c>
      <c r="K17" t="str">
        <v>GA0000006</v>
      </c>
      <c r="L17">
        <v>46420</v>
      </c>
      <c r="M17">
        <v>46659</v>
      </c>
      <c r="N17">
        <v>46449</v>
      </c>
      <c r="P17" t="str">
        <v>Brown</v>
      </c>
      <c r="Q17" t="str">
        <v>Blue</v>
      </c>
      <c r="R17" t="str">
        <v>6'-2"</v>
      </c>
      <c r="S17">
        <v>214</v>
      </c>
      <c r="T17" t="str">
        <v>M</v>
      </c>
      <c r="U17">
        <v>25934</v>
      </c>
      <c r="V17" t="str">
        <v>DRV-003.png</v>
      </c>
      <c r="W17" t="str">
        <v>Asian</v>
      </c>
      <c r="X17" t="str">
        <v>alexkim@example.com</v>
      </c>
      <c r="Y17" t="str">
        <v>960 Demo Street</v>
      </c>
      <c r="Z17" t="str">
        <v>Atlanta</v>
      </c>
      <c r="AA17" t="str">
        <v>GA</v>
      </c>
      <c r="AB17">
        <v>30308</v>
      </c>
      <c r="AC17" t="str">
        <v>GA</v>
      </c>
      <c r="AD17" t="str">
        <v>Class A</v>
      </c>
      <c r="AE17">
        <v>44598</v>
      </c>
      <c r="AF17" t="str">
        <v>H,N</v>
      </c>
      <c r="AH17">
        <v>45929</v>
      </c>
      <c r="AI17" t="str">
        <v>MC-0030104</v>
      </c>
      <c r="AJ17" t="str">
        <v>Dr. Lisa Bennett</v>
      </c>
      <c r="AK17" t="str">
        <v>ME100003</v>
      </c>
      <c r="AM17" t="str">
        <v>Qualified</v>
      </c>
      <c r="AN17">
        <v>46419</v>
      </c>
      <c r="AO17">
        <v>0</v>
      </c>
      <c r="AP17">
        <v>0</v>
      </c>
      <c r="AR17" t="str">
        <v>Clear</v>
      </c>
      <c r="AS17">
        <v>45488</v>
      </c>
      <c r="AT17" t="str">
        <v>Authorized to Work</v>
      </c>
      <c r="AU17" t="str">
        <v>U.S. Passport</v>
      </c>
      <c r="AX17">
        <v>45488</v>
      </c>
      <c r="AY17" t="str">
        <v>BOF Onboarding Team</v>
      </c>
      <c r="AZ17" t="str">
        <v>Complete</v>
      </c>
      <c r="BB17" t="str">
        <v>Individual/Sole Proprietor</v>
      </c>
      <c r="BC17" t="str">
        <v>SSN</v>
      </c>
      <c r="BD17" t="str">
        <v>***-**-0116</v>
      </c>
      <c r="BF17">
        <v>45488</v>
      </c>
      <c r="BG17" t="str">
        <v>Received</v>
      </c>
      <c r="BH17" t="str">
        <v>Checking</v>
      </c>
      <c r="BI17" t="str">
        <v>Direct Deposit</v>
      </c>
      <c r="BJ17">
        <v>45488</v>
      </c>
      <c r="BK17" t="str">
        <v>Verified</v>
      </c>
      <c r="BL17">
        <v>45481</v>
      </c>
      <c r="BM17" t="str">
        <v>M. Chen</v>
      </c>
      <c r="BN17" t="str">
        <v>Sleeper tractor</v>
      </c>
      <c r="BO17" t="str">
        <v>Tanker</v>
      </c>
      <c r="BP17" t="str">
        <v>Atlanta, GA</v>
      </c>
      <c r="BQ17">
        <v>5</v>
      </c>
      <c r="BR17">
        <v>5</v>
      </c>
      <c r="BS17">
        <v>5</v>
      </c>
      <c r="BT17">
        <v>5</v>
      </c>
      <c r="BU17">
        <v>4</v>
      </c>
      <c r="BV17">
        <v>5</v>
      </c>
      <c r="BW17">
        <v>5</v>
      </c>
      <c r="BX17">
        <v>5</v>
      </c>
      <c r="BY17">
        <v>5</v>
      </c>
      <c r="BZ17" t="str">
        <v>Pass</v>
      </c>
      <c r="CA17" t="str">
        <v>HazMat loads only after refresher every 12 months</v>
      </c>
      <c r="CB17" t="str">
        <v>Passed</v>
      </c>
      <c r="CC17" t="str">
        <v>Enrolled</v>
      </c>
      <c r="CD17" t="str">
        <v>Query Completed</v>
      </c>
      <c r="CE17">
        <v>46037</v>
      </c>
      <c r="CF17">
        <v>46218</v>
      </c>
      <c r="CH17" t="str">
        <v>Compliant</v>
      </c>
      <c r="CJ17" t="str">
        <v>Alex</v>
      </c>
      <c r="CK17" t="str">
        <v>Kim</v>
      </c>
      <c r="CL17" t="str">
        <v>GA0000014</v>
      </c>
      <c r="CM17" t="str">
        <v>GA</v>
      </c>
      <c r="CN17" t="str">
        <v>CDL Holder</v>
      </c>
      <c r="CO17" t="str">
        <v>Alex Kim</v>
      </c>
      <c r="CP17">
        <v>45929</v>
      </c>
      <c r="CQ17">
        <v>46659</v>
      </c>
      <c r="CR17" t="str">
        <v>(404) 555-0107</v>
      </c>
      <c r="CS17" t="str">
        <v>Dr. Lisa Bennett</v>
      </c>
      <c r="CT17">
        <v>45929</v>
      </c>
      <c r="CU17" t="str">
        <v>GA-ME-142937</v>
      </c>
      <c r="CV17" t="str">
        <v>ME100003</v>
      </c>
      <c r="CW17" t="str">
        <v>Advanced Practice Nurse</v>
      </c>
      <c r="CX17" t="str">
        <v>GA</v>
      </c>
      <c r="CY17" t="str">
        <v>Federal Motor Carrier Safety Regulations</v>
      </c>
      <c r="DA17" t="str">
        <v>No</v>
      </c>
      <c r="DB17" t="str">
        <v>No</v>
      </c>
      <c r="DC17" t="str">
        <v>No</v>
      </c>
      <c r="DD17" t="str">
        <v>No</v>
      </c>
      <c r="DE17" t="str">
        <v>No</v>
      </c>
      <c r="DF17" t="str">
        <v>No</v>
      </c>
      <c r="DG17" t="str">
        <v>Jane Doe</v>
      </c>
      <c r="DH17" t="str">
        <v>Sister</v>
      </c>
      <c r="DI17" t="str">
        <v>555-555-5555</v>
      </c>
      <c r="DJ17" t="str">
        <v>No</v>
      </c>
      <c r="DK17" t="str">
        <v>No</v>
      </c>
      <c r="DL17" t="str">
        <v>No</v>
      </c>
      <c r="DM17" t="str">
        <v>No</v>
      </c>
      <c r="DN17" t="str">
        <v>Yes - Appendectomy (2005)</v>
      </c>
      <c r="DO17" t="str">
        <v>20/20</v>
      </c>
      <c r="DP17" t="str">
        <v>20/20</v>
      </c>
      <c r="DQ17" t="str">
        <v>Pass</v>
      </c>
      <c r="DR17" t="str">
        <v>118</v>
      </c>
      <c r="DS17" t="str">
        <v>78</v>
      </c>
      <c r="DT17" t="str">
        <v>72</v>
      </c>
      <c r="DU17" t="str">
        <v>Normal</v>
      </c>
      <c r="DV17">
        <v>45392</v>
      </c>
      <c r="DW17">
        <v>45394</v>
      </c>
      <c r="DX17" t="str">
        <v>Negative</v>
      </c>
      <c r="DY17">
        <v>45397</v>
      </c>
      <c r="DZ17" t="str">
        <v>BOF Fleet Safety &amp; Compliance Policy 2024</v>
      </c>
      <c r="EA17" t="str">
        <v>Complete</v>
      </c>
      <c r="EB17">
        <v>45413</v>
      </c>
    </row>
    <row r="18">
      <c r="A18" t="str">
        <v>DRV-003</v>
      </c>
      <c r="B18" t="str">
        <v>Alex Kim</v>
      </c>
      <c r="C18" t="str">
        <v>960 Demo Street, Atlanta, GA 30308</v>
      </c>
      <c r="D18" t="str">
        <v>675-555-0100</v>
      </c>
      <c r="E18" t="str">
        <v>***-**-0116</v>
      </c>
      <c r="F18" t="str">
        <v>Chase</v>
      </c>
      <c r="G18">
        <v>000000111</v>
      </c>
      <c r="H18">
        <v>999900211</v>
      </c>
      <c r="I18" t="str">
        <v>MVR Background Report</v>
      </c>
      <c r="J18" t="str">
        <v>VALID</v>
      </c>
      <c r="K18" t="str">
        <v>GA0000011</v>
      </c>
      <c r="L18">
        <v>46420</v>
      </c>
      <c r="M18">
        <v>46659</v>
      </c>
      <c r="N18">
        <v>46449</v>
      </c>
      <c r="P18" t="str">
        <v>Brown</v>
      </c>
      <c r="Q18" t="str">
        <v>Blue</v>
      </c>
      <c r="R18" t="str">
        <v>6'-2"</v>
      </c>
      <c r="S18">
        <v>214</v>
      </c>
      <c r="T18" t="str">
        <v>M</v>
      </c>
      <c r="U18">
        <v>25934</v>
      </c>
      <c r="V18" t="str">
        <v>DRV-003.png</v>
      </c>
      <c r="W18" t="str">
        <v>Asian</v>
      </c>
      <c r="X18" t="str">
        <v>alexkim@example.com</v>
      </c>
      <c r="Y18" t="str">
        <v>960 Demo Street</v>
      </c>
      <c r="Z18" t="str">
        <v>Atlanta</v>
      </c>
      <c r="AA18" t="str">
        <v>GA</v>
      </c>
      <c r="AB18">
        <v>30308</v>
      </c>
      <c r="AC18" t="str">
        <v>GA</v>
      </c>
      <c r="AD18" t="str">
        <v>Class A</v>
      </c>
      <c r="AE18">
        <v>44598</v>
      </c>
      <c r="AF18" t="str">
        <v>H,N</v>
      </c>
      <c r="AH18">
        <v>45929</v>
      </c>
      <c r="AI18" t="str">
        <v>MC-0030104</v>
      </c>
      <c r="AJ18" t="str">
        <v>Dr. Lisa Bennett</v>
      </c>
      <c r="AK18" t="str">
        <v>ME100003</v>
      </c>
      <c r="AM18" t="str">
        <v>Qualified</v>
      </c>
      <c r="AN18">
        <v>46419</v>
      </c>
      <c r="AO18">
        <v>0</v>
      </c>
      <c r="AP18">
        <v>0</v>
      </c>
      <c r="AR18" t="str">
        <v>Clear</v>
      </c>
      <c r="AS18">
        <v>45488</v>
      </c>
      <c r="AT18" t="str">
        <v>Authorized to Work</v>
      </c>
      <c r="AU18" t="str">
        <v>U.S. Passport</v>
      </c>
      <c r="AX18">
        <v>45488</v>
      </c>
      <c r="AY18" t="str">
        <v>BOF Onboarding Team</v>
      </c>
      <c r="AZ18" t="str">
        <v>Complete</v>
      </c>
      <c r="BB18" t="str">
        <v>Individual/Sole Proprietor</v>
      </c>
      <c r="BC18" t="str">
        <v>SSN</v>
      </c>
      <c r="BD18" t="str">
        <v>***-**-0116</v>
      </c>
      <c r="BF18">
        <v>45488</v>
      </c>
      <c r="BG18" t="str">
        <v>Received</v>
      </c>
      <c r="BH18" t="str">
        <v>Checking</v>
      </c>
      <c r="BI18" t="str">
        <v>Direct Deposit</v>
      </c>
      <c r="BJ18">
        <v>45488</v>
      </c>
      <c r="BK18" t="str">
        <v>Verified</v>
      </c>
      <c r="BL18">
        <v>45481</v>
      </c>
      <c r="BM18" t="str">
        <v>M. Chen</v>
      </c>
      <c r="BN18" t="str">
        <v>Sleeper tractor</v>
      </c>
      <c r="BO18" t="str">
        <v>Tanker</v>
      </c>
      <c r="BP18" t="str">
        <v>Atlanta, GA</v>
      </c>
      <c r="BQ18">
        <v>5</v>
      </c>
      <c r="BR18">
        <v>5</v>
      </c>
      <c r="BS18">
        <v>5</v>
      </c>
      <c r="BT18">
        <v>5</v>
      </c>
      <c r="BU18">
        <v>4</v>
      </c>
      <c r="BV18">
        <v>5</v>
      </c>
      <c r="BW18">
        <v>5</v>
      </c>
      <c r="BX18">
        <v>5</v>
      </c>
      <c r="BY18">
        <v>5</v>
      </c>
      <c r="BZ18" t="str">
        <v>Pass</v>
      </c>
      <c r="CA18" t="str">
        <v>HazMat loads only after refresher every 12 months</v>
      </c>
      <c r="CB18" t="str">
        <v>Passed</v>
      </c>
      <c r="CC18" t="str">
        <v>Enrolled</v>
      </c>
      <c r="CD18" t="str">
        <v>Query Completed</v>
      </c>
      <c r="CE18">
        <v>46037</v>
      </c>
      <c r="CF18">
        <v>46218</v>
      </c>
      <c r="CH18" t="str">
        <v>Compliant</v>
      </c>
      <c r="CJ18" t="str">
        <v>Alex</v>
      </c>
      <c r="CK18" t="str">
        <v>Kim</v>
      </c>
      <c r="CL18" t="str">
        <v>GA0000015</v>
      </c>
      <c r="CM18" t="str">
        <v>GA</v>
      </c>
      <c r="CN18" t="str">
        <v>CDL Holder</v>
      </c>
      <c r="CO18" t="str">
        <v>Alex Kim</v>
      </c>
      <c r="CP18">
        <v>45929</v>
      </c>
      <c r="CQ18">
        <v>46659</v>
      </c>
      <c r="CR18" t="str">
        <v>(404) 555-0107</v>
      </c>
      <c r="CS18" t="str">
        <v>Dr. Lisa Bennett</v>
      </c>
      <c r="CT18">
        <v>45929</v>
      </c>
      <c r="CU18" t="str">
        <v>GA-ME-142937</v>
      </c>
      <c r="CV18" t="str">
        <v>ME100003</v>
      </c>
      <c r="CW18" t="str">
        <v>Advanced Practice Nurse</v>
      </c>
      <c r="CX18" t="str">
        <v>GA</v>
      </c>
      <c r="CY18" t="str">
        <v>Federal Motor Carrier Safety Regulations</v>
      </c>
      <c r="DA18" t="str">
        <v>No</v>
      </c>
      <c r="DB18" t="str">
        <v>No</v>
      </c>
      <c r="DC18" t="str">
        <v>No</v>
      </c>
      <c r="DD18" t="str">
        <v>No</v>
      </c>
      <c r="DE18" t="str">
        <v>No</v>
      </c>
      <c r="DF18" t="str">
        <v>No</v>
      </c>
      <c r="DG18" t="str">
        <v>Jane Doe</v>
      </c>
      <c r="DH18" t="str">
        <v>Sister</v>
      </c>
      <c r="DI18" t="str">
        <v>555-555-5555</v>
      </c>
      <c r="DJ18" t="str">
        <v>No</v>
      </c>
      <c r="DK18" t="str">
        <v>No</v>
      </c>
      <c r="DL18" t="str">
        <v>No</v>
      </c>
      <c r="DM18" t="str">
        <v>No</v>
      </c>
      <c r="DN18" t="str">
        <v>Yes - Appendectomy (2005)</v>
      </c>
      <c r="DO18" t="str">
        <v>20/20</v>
      </c>
      <c r="DP18" t="str">
        <v>20/20</v>
      </c>
      <c r="DQ18" t="str">
        <v>Pass</v>
      </c>
      <c r="DR18" t="str">
        <v>118</v>
      </c>
      <c r="DS18" t="str">
        <v>78</v>
      </c>
      <c r="DT18" t="str">
        <v>72</v>
      </c>
      <c r="DU18" t="str">
        <v>Normal</v>
      </c>
      <c r="DV18">
        <v>45392</v>
      </c>
      <c r="DW18">
        <v>45394</v>
      </c>
      <c r="DX18" t="str">
        <v>Negative</v>
      </c>
      <c r="DY18">
        <v>45397</v>
      </c>
      <c r="DZ18" t="str">
        <v>BOF Fleet Safety &amp; Compliance Policy 2024</v>
      </c>
      <c r="EA18" t="str">
        <v>Complete</v>
      </c>
      <c r="EB18">
        <v>45413</v>
      </c>
    </row>
    <row r="19">
      <c r="A19" t="str">
        <v>DRV-003</v>
      </c>
      <c r="B19" t="str">
        <v>Alex Kim</v>
      </c>
      <c r="C19" t="str">
        <v>960 Demo Street, Atlanta, GA 30308</v>
      </c>
      <c r="D19" t="str">
        <v>675-555-0100</v>
      </c>
      <c r="E19" t="str">
        <v>***-**-0116</v>
      </c>
      <c r="F19" t="str">
        <v>Chase</v>
      </c>
      <c r="G19">
        <v>000000111</v>
      </c>
      <c r="H19">
        <v>999900211</v>
      </c>
      <c r="I19" t="str">
        <v>Driver Application</v>
      </c>
      <c r="J19" t="str">
        <v>VALID</v>
      </c>
      <c r="K19" t="str">
        <v>GA0000005</v>
      </c>
      <c r="L19">
        <v>46420</v>
      </c>
      <c r="M19">
        <v>46659</v>
      </c>
      <c r="N19">
        <v>46449</v>
      </c>
      <c r="P19" t="str">
        <v>Brown</v>
      </c>
      <c r="Q19" t="str">
        <v>Blue</v>
      </c>
      <c r="R19" t="str">
        <v>6'-2"</v>
      </c>
      <c r="S19">
        <v>214</v>
      </c>
      <c r="T19" t="str">
        <v>M</v>
      </c>
      <c r="U19">
        <v>25934</v>
      </c>
      <c r="V19" t="str">
        <v>DRV-003.png</v>
      </c>
      <c r="W19" t="str">
        <v>Asian</v>
      </c>
      <c r="X19" t="str">
        <v>alexkim@example.com</v>
      </c>
      <c r="Y19" t="str">
        <v>960 Demo Street</v>
      </c>
      <c r="Z19" t="str">
        <v>Atlanta</v>
      </c>
      <c r="AA19" t="str">
        <v>GA</v>
      </c>
      <c r="AB19">
        <v>30308</v>
      </c>
      <c r="AC19" t="str">
        <v>GA</v>
      </c>
      <c r="AD19" t="str">
        <v>Class A</v>
      </c>
      <c r="AE19">
        <v>44598</v>
      </c>
      <c r="AF19" t="str">
        <v>H,N</v>
      </c>
      <c r="AH19">
        <v>45929</v>
      </c>
      <c r="AI19" t="str">
        <v>MC-0030104</v>
      </c>
      <c r="AJ19" t="str">
        <v>Dr. Lisa Bennett</v>
      </c>
      <c r="AK19" t="str">
        <v>ME100003</v>
      </c>
      <c r="AM19" t="str">
        <v>Qualified</v>
      </c>
      <c r="AN19">
        <v>46419</v>
      </c>
      <c r="AO19">
        <v>0</v>
      </c>
      <c r="AP19">
        <v>0</v>
      </c>
      <c r="AR19" t="str">
        <v>Clear</v>
      </c>
      <c r="AS19">
        <v>45488</v>
      </c>
      <c r="AT19" t="str">
        <v>Authorized to Work</v>
      </c>
      <c r="AU19" t="str">
        <v>U.S. Passport</v>
      </c>
      <c r="AX19">
        <v>45488</v>
      </c>
      <c r="AY19" t="str">
        <v>BOF Onboarding Team</v>
      </c>
      <c r="AZ19" t="str">
        <v>Complete</v>
      </c>
      <c r="BB19" t="str">
        <v>Individual/Sole Proprietor</v>
      </c>
      <c r="BC19" t="str">
        <v>SSN</v>
      </c>
      <c r="BD19" t="str">
        <v>***-**-0116</v>
      </c>
      <c r="BF19">
        <v>45488</v>
      </c>
      <c r="BG19" t="str">
        <v>Received</v>
      </c>
      <c r="BH19" t="str">
        <v>Checking</v>
      </c>
      <c r="BI19" t="str">
        <v>Direct Deposit</v>
      </c>
      <c r="BJ19">
        <v>45488</v>
      </c>
      <c r="BK19" t="str">
        <v>Verified</v>
      </c>
      <c r="BL19">
        <v>45481</v>
      </c>
      <c r="BM19" t="str">
        <v>M. Chen</v>
      </c>
      <c r="BN19" t="str">
        <v>Sleeper tractor</v>
      </c>
      <c r="BO19" t="str">
        <v>Tanker</v>
      </c>
      <c r="BP19" t="str">
        <v>Atlanta, GA</v>
      </c>
      <c r="BQ19">
        <v>5</v>
      </c>
      <c r="BR19">
        <v>5</v>
      </c>
      <c r="BS19">
        <v>5</v>
      </c>
      <c r="BT19">
        <v>5</v>
      </c>
      <c r="BU19">
        <v>4</v>
      </c>
      <c r="BV19">
        <v>5</v>
      </c>
      <c r="BW19">
        <v>5</v>
      </c>
      <c r="BX19">
        <v>5</v>
      </c>
      <c r="BY19">
        <v>5</v>
      </c>
      <c r="BZ19" t="str">
        <v>Pass</v>
      </c>
      <c r="CA19" t="str">
        <v>HazMat loads only after refresher every 12 months</v>
      </c>
      <c r="CB19" t="str">
        <v>Passed</v>
      </c>
      <c r="CC19" t="str">
        <v>Enrolled</v>
      </c>
      <c r="CD19" t="str">
        <v>Query Completed</v>
      </c>
      <c r="CE19">
        <v>46037</v>
      </c>
      <c r="CF19">
        <v>46218</v>
      </c>
      <c r="CH19" t="str">
        <v>Compliant</v>
      </c>
      <c r="CJ19" t="str">
        <v>Alex</v>
      </c>
      <c r="CK19" t="str">
        <v>Kim</v>
      </c>
      <c r="CL19" t="str">
        <v>GA0000016</v>
      </c>
      <c r="CM19" t="str">
        <v>GA</v>
      </c>
      <c r="CN19" t="str">
        <v>CDL Holder</v>
      </c>
      <c r="CO19" t="str">
        <v>Alex Kim</v>
      </c>
      <c r="CP19">
        <v>45929</v>
      </c>
      <c r="CQ19">
        <v>46659</v>
      </c>
      <c r="CR19" t="str">
        <v>(404) 555-0107</v>
      </c>
      <c r="CS19" t="str">
        <v>Dr. Lisa Bennett</v>
      </c>
      <c r="CT19">
        <v>45929</v>
      </c>
      <c r="CU19" t="str">
        <v>GA-ME-142937</v>
      </c>
      <c r="CV19" t="str">
        <v>ME100003</v>
      </c>
      <c r="CW19" t="str">
        <v>Advanced Practice Nurse</v>
      </c>
      <c r="CX19" t="str">
        <v>GA</v>
      </c>
      <c r="CY19" t="str">
        <v>Federal Motor Carrier Safety Regulations</v>
      </c>
      <c r="DA19" t="str">
        <v>No</v>
      </c>
      <c r="DB19" t="str">
        <v>No</v>
      </c>
      <c r="DC19" t="str">
        <v>No</v>
      </c>
      <c r="DD19" t="str">
        <v>No</v>
      </c>
      <c r="DE19" t="str">
        <v>No</v>
      </c>
      <c r="DF19" t="str">
        <v>No</v>
      </c>
      <c r="DG19" t="str">
        <v>Jane Doe</v>
      </c>
      <c r="DH19" t="str">
        <v>Sister</v>
      </c>
      <c r="DI19" t="str">
        <v>555-555-5555</v>
      </c>
      <c r="DJ19" t="str">
        <v>No</v>
      </c>
      <c r="DK19" t="str">
        <v>No</v>
      </c>
      <c r="DL19" t="str">
        <v>No</v>
      </c>
      <c r="DM19" t="str">
        <v>No</v>
      </c>
      <c r="DN19" t="str">
        <v>Yes - Appendectomy (2005)</v>
      </c>
      <c r="DO19" t="str">
        <v>20/20</v>
      </c>
      <c r="DP19" t="str">
        <v>20/20</v>
      </c>
      <c r="DQ19" t="str">
        <v>Pass</v>
      </c>
      <c r="DR19" t="str">
        <v>118</v>
      </c>
      <c r="DS19" t="str">
        <v>78</v>
      </c>
      <c r="DT19" t="str">
        <v>72</v>
      </c>
      <c r="DU19" t="str">
        <v>Normal</v>
      </c>
      <c r="DV19">
        <v>45392</v>
      </c>
      <c r="DW19">
        <v>45394</v>
      </c>
      <c r="DX19" t="str">
        <v>Negative</v>
      </c>
      <c r="DY19">
        <v>45397</v>
      </c>
      <c r="DZ19" t="str">
        <v>BOF Fleet Safety &amp; Compliance Policy 2024</v>
      </c>
      <c r="EA19" t="str">
        <v>Complete</v>
      </c>
      <c r="EB19">
        <v>45413</v>
      </c>
    </row>
    <row r="20">
      <c r="A20" t="str">
        <v>DRV-003</v>
      </c>
      <c r="B20" t="str">
        <v>Alex Kim</v>
      </c>
      <c r="C20" t="str">
        <v>960 Demo Street, Atlanta, GA 30308</v>
      </c>
      <c r="D20" t="str">
        <v>675-555-0100</v>
      </c>
      <c r="E20" t="str">
        <v>***-**-0116</v>
      </c>
      <c r="F20" t="str">
        <v>Chase</v>
      </c>
      <c r="G20">
        <v>000000111</v>
      </c>
      <c r="H20">
        <v>999900211</v>
      </c>
      <c r="I20" t="str">
        <v>Road Test Certificate</v>
      </c>
      <c r="J20" t="str">
        <v>VALID</v>
      </c>
      <c r="K20" t="str">
        <v>GA0000004</v>
      </c>
      <c r="L20">
        <v>46420</v>
      </c>
      <c r="M20">
        <v>46659</v>
      </c>
      <c r="N20">
        <v>46449</v>
      </c>
      <c r="P20" t="str">
        <v>Brown</v>
      </c>
      <c r="Q20" t="str">
        <v>Blue</v>
      </c>
      <c r="R20" t="str">
        <v>6'-2"</v>
      </c>
      <c r="S20">
        <v>214</v>
      </c>
      <c r="T20" t="str">
        <v>M</v>
      </c>
      <c r="U20">
        <v>25934</v>
      </c>
      <c r="V20" t="str">
        <v>DRV-003.png</v>
      </c>
      <c r="W20" t="str">
        <v>Asian</v>
      </c>
      <c r="X20" t="str">
        <v>alexkim@example.com</v>
      </c>
      <c r="Y20" t="str">
        <v>960 Demo Street</v>
      </c>
      <c r="Z20" t="str">
        <v>Atlanta</v>
      </c>
      <c r="AA20" t="str">
        <v>GA</v>
      </c>
      <c r="AB20">
        <v>30308</v>
      </c>
      <c r="AC20" t="str">
        <v>GA</v>
      </c>
      <c r="AD20" t="str">
        <v>Class A</v>
      </c>
      <c r="AE20">
        <v>44598</v>
      </c>
      <c r="AF20" t="str">
        <v>H,N</v>
      </c>
      <c r="AH20">
        <v>45929</v>
      </c>
      <c r="AI20" t="str">
        <v>MC-0030104</v>
      </c>
      <c r="AJ20" t="str">
        <v>Dr. Lisa Bennett</v>
      </c>
      <c r="AK20" t="str">
        <v>ME100003</v>
      </c>
      <c r="AM20" t="str">
        <v>Qualified</v>
      </c>
      <c r="AN20">
        <v>46419</v>
      </c>
      <c r="AO20">
        <v>0</v>
      </c>
      <c r="AP20">
        <v>0</v>
      </c>
      <c r="AR20" t="str">
        <v>Clear</v>
      </c>
      <c r="AS20">
        <v>45488</v>
      </c>
      <c r="AT20" t="str">
        <v>Authorized to Work</v>
      </c>
      <c r="AU20" t="str">
        <v>U.S. Passport</v>
      </c>
      <c r="AX20">
        <v>45488</v>
      </c>
      <c r="AY20" t="str">
        <v>BOF Onboarding Team</v>
      </c>
      <c r="AZ20" t="str">
        <v>Complete</v>
      </c>
      <c r="BB20" t="str">
        <v>Individual/Sole Proprietor</v>
      </c>
      <c r="BC20" t="str">
        <v>SSN</v>
      </c>
      <c r="BD20" t="str">
        <v>***-**-0116</v>
      </c>
      <c r="BF20">
        <v>45488</v>
      </c>
      <c r="BG20" t="str">
        <v>Received</v>
      </c>
      <c r="BH20" t="str">
        <v>Checking</v>
      </c>
      <c r="BI20" t="str">
        <v>Direct Deposit</v>
      </c>
      <c r="BJ20">
        <v>45488</v>
      </c>
      <c r="BK20" t="str">
        <v>Verified</v>
      </c>
      <c r="BL20">
        <v>45481</v>
      </c>
      <c r="BM20" t="str">
        <v>M. Chen</v>
      </c>
      <c r="BN20" t="str">
        <v>Sleeper tractor</v>
      </c>
      <c r="BO20" t="str">
        <v>Tanker</v>
      </c>
      <c r="BP20" t="str">
        <v>Atlanta, GA</v>
      </c>
      <c r="BQ20">
        <v>5</v>
      </c>
      <c r="BR20">
        <v>5</v>
      </c>
      <c r="BS20">
        <v>5</v>
      </c>
      <c r="BT20">
        <v>5</v>
      </c>
      <c r="BU20">
        <v>4</v>
      </c>
      <c r="BV20">
        <v>5</v>
      </c>
      <c r="BW20">
        <v>5</v>
      </c>
      <c r="BX20">
        <v>5</v>
      </c>
      <c r="BY20">
        <v>5</v>
      </c>
      <c r="BZ20" t="str">
        <v>Pass</v>
      </c>
      <c r="CA20" t="str">
        <v>HazMat loads only after refresher every 12 months</v>
      </c>
      <c r="CB20" t="str">
        <v>Passed</v>
      </c>
      <c r="CC20" t="str">
        <v>Enrolled</v>
      </c>
      <c r="CD20" t="str">
        <v>Query Completed</v>
      </c>
      <c r="CE20">
        <v>46037</v>
      </c>
      <c r="CF20">
        <v>46218</v>
      </c>
      <c r="CH20" t="str">
        <v>Compliant</v>
      </c>
      <c r="CJ20" t="str">
        <v>Alex</v>
      </c>
      <c r="CK20" t="str">
        <v>Kim</v>
      </c>
      <c r="CL20" t="str">
        <v>GA0000017</v>
      </c>
      <c r="CM20" t="str">
        <v>GA</v>
      </c>
      <c r="CN20" t="str">
        <v>CDL Holder</v>
      </c>
      <c r="CO20" t="str">
        <v>Alex Kim</v>
      </c>
      <c r="CP20">
        <v>45929</v>
      </c>
      <c r="CQ20">
        <v>46659</v>
      </c>
      <c r="CR20" t="str">
        <v>(404) 555-0107</v>
      </c>
      <c r="CS20" t="str">
        <v>Dr. Lisa Bennett</v>
      </c>
      <c r="CT20">
        <v>45929</v>
      </c>
      <c r="CU20" t="str">
        <v>GA-ME-142937</v>
      </c>
      <c r="CV20" t="str">
        <v>ME100003</v>
      </c>
      <c r="CW20" t="str">
        <v>Advanced Practice Nurse</v>
      </c>
      <c r="CX20" t="str">
        <v>GA</v>
      </c>
      <c r="CY20" t="str">
        <v>Federal Motor Carrier Safety Regulations</v>
      </c>
      <c r="DA20" t="str">
        <v>No</v>
      </c>
      <c r="DB20" t="str">
        <v>No</v>
      </c>
      <c r="DC20" t="str">
        <v>No</v>
      </c>
      <c r="DD20" t="str">
        <v>No</v>
      </c>
      <c r="DE20" t="str">
        <v>No</v>
      </c>
      <c r="DF20" t="str">
        <v>No</v>
      </c>
      <c r="DG20" t="str">
        <v>Jane Doe</v>
      </c>
      <c r="DH20" t="str">
        <v>Sister</v>
      </c>
      <c r="DI20" t="str">
        <v>555-555-5555</v>
      </c>
      <c r="DJ20" t="str">
        <v>No</v>
      </c>
      <c r="DK20" t="str">
        <v>No</v>
      </c>
      <c r="DL20" t="str">
        <v>No</v>
      </c>
      <c r="DM20" t="str">
        <v>No</v>
      </c>
      <c r="DN20" t="str">
        <v>Yes - Appendectomy (2005)</v>
      </c>
      <c r="DO20" t="str">
        <v>20/20</v>
      </c>
      <c r="DP20" t="str">
        <v>20/20</v>
      </c>
      <c r="DQ20" t="str">
        <v>Pass</v>
      </c>
      <c r="DR20" t="str">
        <v>118</v>
      </c>
      <c r="DS20" t="str">
        <v>78</v>
      </c>
      <c r="DT20" t="str">
        <v>72</v>
      </c>
      <c r="DU20" t="str">
        <v>Normal</v>
      </c>
      <c r="DV20">
        <v>45392</v>
      </c>
      <c r="DW20">
        <v>45394</v>
      </c>
      <c r="DX20" t="str">
        <v>Negative</v>
      </c>
      <c r="DY20">
        <v>45397</v>
      </c>
      <c r="DZ20" t="str">
        <v>BOF Fleet Safety &amp; Compliance Policy 2024</v>
      </c>
      <c r="EA20" t="str">
        <v>Complete</v>
      </c>
      <c r="EB20">
        <v>45413</v>
      </c>
    </row>
    <row r="21">
      <c r="A21" t="str">
        <v>DRV-003</v>
      </c>
      <c r="B21" t="str">
        <v>Alex Kim</v>
      </c>
      <c r="C21" t="str">
        <v>960 Demo Street, Atlanta, GA 30308</v>
      </c>
      <c r="D21" t="str">
        <v>675-555-0100</v>
      </c>
      <c r="E21" t="str">
        <v>***-**-0116</v>
      </c>
      <c r="F21" t="str">
        <v>Chase</v>
      </c>
      <c r="G21">
        <v>000000111</v>
      </c>
      <c r="H21">
        <v>999900211</v>
      </c>
      <c r="I21" t="str">
        <v>Incident/Accident Report</v>
      </c>
      <c r="J21" t="str">
        <v>VALID</v>
      </c>
      <c r="K21" t="str">
        <v>GA0000027</v>
      </c>
      <c r="L21">
        <v>46420</v>
      </c>
      <c r="M21">
        <v>46659</v>
      </c>
      <c r="N21">
        <v>46449</v>
      </c>
      <c r="O21" t="str">
        <v>No major incidents recorded in last 90 days.</v>
      </c>
      <c r="P21" t="str">
        <v>Brown</v>
      </c>
      <c r="Q21" t="str">
        <v>Blue</v>
      </c>
      <c r="R21" t="str">
        <v>6'-2"</v>
      </c>
      <c r="S21">
        <v>214</v>
      </c>
      <c r="T21" t="str">
        <v>M</v>
      </c>
      <c r="U21">
        <v>25934</v>
      </c>
      <c r="V21" t="str">
        <v>DRV-003.png</v>
      </c>
      <c r="W21" t="str">
        <v>Asian</v>
      </c>
      <c r="X21" t="str">
        <v>alexkim@example.com</v>
      </c>
      <c r="Y21" t="str">
        <v>960 Demo Street</v>
      </c>
      <c r="Z21" t="str">
        <v>Atlanta</v>
      </c>
      <c r="AA21" t="str">
        <v>GA</v>
      </c>
      <c r="AB21">
        <v>30308</v>
      </c>
      <c r="AC21" t="str">
        <v>GA</v>
      </c>
      <c r="AD21" t="str">
        <v>Class A</v>
      </c>
      <c r="AE21">
        <v>44598</v>
      </c>
      <c r="AF21" t="str">
        <v>H,N</v>
      </c>
      <c r="AH21">
        <v>45929</v>
      </c>
      <c r="AI21" t="str">
        <v>MC-0030104</v>
      </c>
      <c r="AJ21" t="str">
        <v>Dr. Lisa Bennett</v>
      </c>
      <c r="AK21" t="str">
        <v>ME100003</v>
      </c>
      <c r="AM21" t="str">
        <v>Qualified</v>
      </c>
      <c r="AN21">
        <v>46419</v>
      </c>
      <c r="AO21">
        <v>0</v>
      </c>
      <c r="AP21">
        <v>0</v>
      </c>
      <c r="AR21" t="str">
        <v>Clear</v>
      </c>
      <c r="AS21">
        <v>45488</v>
      </c>
      <c r="AT21" t="str">
        <v>Authorized to Work</v>
      </c>
      <c r="AU21" t="str">
        <v>U.S. Passport</v>
      </c>
      <c r="AX21">
        <v>45488</v>
      </c>
      <c r="AY21" t="str">
        <v>BOF Onboarding Team</v>
      </c>
      <c r="AZ21" t="str">
        <v>Complete</v>
      </c>
      <c r="BB21" t="str">
        <v>Individual/Sole Proprietor</v>
      </c>
      <c r="BC21" t="str">
        <v>SSN</v>
      </c>
      <c r="BD21" t="str">
        <v>***-**-0116</v>
      </c>
      <c r="BF21">
        <v>45488</v>
      </c>
      <c r="BG21" t="str">
        <v>Received</v>
      </c>
      <c r="BH21" t="str">
        <v>Checking</v>
      </c>
      <c r="BI21" t="str">
        <v>Direct Deposit</v>
      </c>
      <c r="BJ21">
        <v>45488</v>
      </c>
      <c r="BK21" t="str">
        <v>Verified</v>
      </c>
      <c r="BL21">
        <v>45481</v>
      </c>
      <c r="BM21" t="str">
        <v>M. Chen</v>
      </c>
      <c r="BN21" t="str">
        <v>Sleeper tractor</v>
      </c>
      <c r="BO21" t="str">
        <v>Tanker</v>
      </c>
      <c r="BP21" t="str">
        <v>Atlanta, GA</v>
      </c>
      <c r="BQ21">
        <v>5</v>
      </c>
      <c r="BR21">
        <v>5</v>
      </c>
      <c r="BS21">
        <v>5</v>
      </c>
      <c r="BT21">
        <v>5</v>
      </c>
      <c r="BU21">
        <v>4</v>
      </c>
      <c r="BV21">
        <v>5</v>
      </c>
      <c r="BW21">
        <v>5</v>
      </c>
      <c r="BX21">
        <v>5</v>
      </c>
      <c r="BY21">
        <v>5</v>
      </c>
      <c r="BZ21" t="str">
        <v>Pass</v>
      </c>
      <c r="CA21" t="str">
        <v>HazMat loads only after refresher every 12 months</v>
      </c>
      <c r="CB21" t="str">
        <v>Passed</v>
      </c>
      <c r="CC21" t="str">
        <v>Enrolled</v>
      </c>
      <c r="CD21" t="str">
        <v>Query Completed</v>
      </c>
      <c r="CE21">
        <v>46037</v>
      </c>
      <c r="CF21">
        <v>46218</v>
      </c>
      <c r="CH21" t="str">
        <v>Compliant</v>
      </c>
      <c r="CJ21" t="str">
        <v>Alex</v>
      </c>
      <c r="CK21" t="str">
        <v>Kim</v>
      </c>
      <c r="CL21" t="str">
        <v>GA0000018</v>
      </c>
      <c r="CM21" t="str">
        <v>GA</v>
      </c>
      <c r="CN21" t="str">
        <v>CDL Holder</v>
      </c>
      <c r="CO21" t="str">
        <v>Alex Kim</v>
      </c>
      <c r="CP21">
        <v>45929</v>
      </c>
      <c r="CQ21">
        <v>46659</v>
      </c>
      <c r="CR21" t="str">
        <v>(404) 555-0107</v>
      </c>
      <c r="CS21" t="str">
        <v>Dr. Lisa Bennett</v>
      </c>
      <c r="CT21">
        <v>45929</v>
      </c>
      <c r="CU21" t="str">
        <v>GA-ME-142937</v>
      </c>
      <c r="CV21" t="str">
        <v>ME100003</v>
      </c>
      <c r="CW21" t="str">
        <v>Advanced Practice Nurse</v>
      </c>
      <c r="CX21" t="str">
        <v>GA</v>
      </c>
      <c r="CY21" t="str">
        <v>Federal Motor Carrier Safety Regulations</v>
      </c>
      <c r="DA21" t="str">
        <v>No</v>
      </c>
      <c r="DB21" t="str">
        <v>No</v>
      </c>
      <c r="DC21" t="str">
        <v>No</v>
      </c>
      <c r="DD21" t="str">
        <v>No</v>
      </c>
      <c r="DE21" t="str">
        <v>No</v>
      </c>
      <c r="DF21" t="str">
        <v>No</v>
      </c>
      <c r="DG21" t="str">
        <v>Jane Doe</v>
      </c>
      <c r="DH21" t="str">
        <v>Sister</v>
      </c>
      <c r="DI21" t="str">
        <v>555-555-5555</v>
      </c>
      <c r="DJ21" t="str">
        <v>No</v>
      </c>
      <c r="DK21" t="str">
        <v>No</v>
      </c>
      <c r="DL21" t="str">
        <v>No</v>
      </c>
      <c r="DM21" t="str">
        <v>No</v>
      </c>
      <c r="DN21" t="str">
        <v>Yes - Appendectomy (2005)</v>
      </c>
      <c r="DO21" t="str">
        <v>20/20</v>
      </c>
      <c r="DP21" t="str">
        <v>20/20</v>
      </c>
      <c r="DQ21" t="str">
        <v>Pass</v>
      </c>
      <c r="DR21" t="str">
        <v>118</v>
      </c>
      <c r="DS21" t="str">
        <v>78</v>
      </c>
      <c r="DT21" t="str">
        <v>72</v>
      </c>
      <c r="DU21" t="str">
        <v>Normal</v>
      </c>
      <c r="DV21">
        <v>45392</v>
      </c>
      <c r="DW21">
        <v>45394</v>
      </c>
      <c r="DX21" t="str">
        <v>Negative</v>
      </c>
      <c r="DY21">
        <v>45397</v>
      </c>
      <c r="DZ21" t="str">
        <v>BOF Fleet Safety &amp; Compliance Policy 2024</v>
      </c>
      <c r="EA21" t="str">
        <v>Complete</v>
      </c>
      <c r="EB21">
        <v>45413</v>
      </c>
    </row>
    <row r="22">
      <c r="A22" t="str">
        <v>DRV-003</v>
      </c>
      <c r="B22" t="str">
        <v>Alex Kim</v>
      </c>
      <c r="C22" t="str">
        <v>960 Demo Street, Atlanta, GA 30308</v>
      </c>
      <c r="D22" t="str">
        <v>675-555-0100</v>
      </c>
      <c r="E22" t="str">
        <v>***-**-0116</v>
      </c>
      <c r="F22" t="str">
        <v>Chase</v>
      </c>
      <c r="G22">
        <v>000000111</v>
      </c>
      <c r="H22">
        <v>999900211</v>
      </c>
      <c r="I22" t="str">
        <v>Direct Deposit Form</v>
      </c>
      <c r="J22" t="str">
        <v>VALID</v>
      </c>
      <c r="K22" t="str">
        <v>GA0000002</v>
      </c>
      <c r="L22">
        <v>46420</v>
      </c>
      <c r="M22">
        <v>46659</v>
      </c>
      <c r="N22">
        <v>46449</v>
      </c>
      <c r="P22" t="str">
        <v>Brown</v>
      </c>
      <c r="Q22" t="str">
        <v>Blue</v>
      </c>
      <c r="R22" t="str">
        <v>6'-2"</v>
      </c>
      <c r="S22">
        <v>214</v>
      </c>
      <c r="T22" t="str">
        <v>M</v>
      </c>
      <c r="U22">
        <v>25934</v>
      </c>
      <c r="V22" t="str">
        <v>DRV-003.png</v>
      </c>
      <c r="W22" t="str">
        <v>Asian</v>
      </c>
      <c r="X22" t="str">
        <v>alexkim@example.com</v>
      </c>
      <c r="Y22" t="str">
        <v>960 Demo Street</v>
      </c>
      <c r="Z22" t="str">
        <v>Atlanta</v>
      </c>
      <c r="AA22" t="str">
        <v>GA</v>
      </c>
      <c r="AB22">
        <v>30308</v>
      </c>
      <c r="AC22" t="str">
        <v>GA</v>
      </c>
      <c r="AD22" t="str">
        <v>Class A</v>
      </c>
      <c r="AE22">
        <v>44598</v>
      </c>
      <c r="AF22" t="str">
        <v>H,N</v>
      </c>
      <c r="AH22">
        <v>45929</v>
      </c>
      <c r="AI22" t="str">
        <v>MC-0030104</v>
      </c>
      <c r="AJ22" t="str">
        <v>Dr. Lisa Bennett</v>
      </c>
      <c r="AK22" t="str">
        <v>ME100003</v>
      </c>
      <c r="AM22" t="str">
        <v>Qualified</v>
      </c>
      <c r="AN22">
        <v>46419</v>
      </c>
      <c r="AO22">
        <v>0</v>
      </c>
      <c r="AP22">
        <v>0</v>
      </c>
      <c r="AR22" t="str">
        <v>Clear</v>
      </c>
      <c r="AS22">
        <v>45488</v>
      </c>
      <c r="AT22" t="str">
        <v>Authorized to Work</v>
      </c>
      <c r="AU22" t="str">
        <v>U.S. Passport</v>
      </c>
      <c r="AX22">
        <v>45488</v>
      </c>
      <c r="AY22" t="str">
        <v>BOF Onboarding Team</v>
      </c>
      <c r="AZ22" t="str">
        <v>Complete</v>
      </c>
      <c r="BB22" t="str">
        <v>Individual/Sole Proprietor</v>
      </c>
      <c r="BC22" t="str">
        <v>SSN</v>
      </c>
      <c r="BD22" t="str">
        <v>***-**-0116</v>
      </c>
      <c r="BF22">
        <v>45488</v>
      </c>
      <c r="BG22" t="str">
        <v>Received</v>
      </c>
      <c r="BH22" t="str">
        <v>Checking</v>
      </c>
      <c r="BI22" t="str">
        <v>Direct Deposit</v>
      </c>
      <c r="BJ22">
        <v>45488</v>
      </c>
      <c r="BK22" t="str">
        <v>Verified</v>
      </c>
      <c r="BL22">
        <v>45481</v>
      </c>
      <c r="BM22" t="str">
        <v>M. Chen</v>
      </c>
      <c r="BN22" t="str">
        <v>Sleeper tractor</v>
      </c>
      <c r="BO22" t="str">
        <v>Tanker</v>
      </c>
      <c r="BP22" t="str">
        <v>Atlanta, GA</v>
      </c>
      <c r="BQ22">
        <v>5</v>
      </c>
      <c r="BR22">
        <v>5</v>
      </c>
      <c r="BS22">
        <v>5</v>
      </c>
      <c r="BT22">
        <v>5</v>
      </c>
      <c r="BU22">
        <v>4</v>
      </c>
      <c r="BV22">
        <v>5</v>
      </c>
      <c r="BW22">
        <v>5</v>
      </c>
      <c r="BX22">
        <v>5</v>
      </c>
      <c r="BY22">
        <v>5</v>
      </c>
      <c r="BZ22" t="str">
        <v>Pass</v>
      </c>
      <c r="CA22" t="str">
        <v>HazMat loads only after refresher every 12 months</v>
      </c>
      <c r="CB22" t="str">
        <v>Passed</v>
      </c>
      <c r="CC22" t="str">
        <v>Enrolled</v>
      </c>
      <c r="CD22" t="str">
        <v>Query Completed</v>
      </c>
      <c r="CE22">
        <v>46037</v>
      </c>
      <c r="CF22">
        <v>46218</v>
      </c>
      <c r="CH22" t="str">
        <v>Compliant</v>
      </c>
      <c r="CJ22" t="str">
        <v>Alex</v>
      </c>
      <c r="CK22" t="str">
        <v>Kim</v>
      </c>
      <c r="CL22" t="str">
        <v>GA0000019</v>
      </c>
      <c r="CM22" t="str">
        <v>GA</v>
      </c>
      <c r="CN22" t="str">
        <v>CDL Holder</v>
      </c>
      <c r="CO22" t="str">
        <v>Alex Kim</v>
      </c>
      <c r="CP22">
        <v>45929</v>
      </c>
      <c r="CQ22">
        <v>46659</v>
      </c>
      <c r="CR22" t="str">
        <v>(404) 555-0107</v>
      </c>
      <c r="CS22" t="str">
        <v>Dr. Lisa Bennett</v>
      </c>
      <c r="CT22">
        <v>45929</v>
      </c>
      <c r="CU22" t="str">
        <v>GA-ME-142937</v>
      </c>
      <c r="CV22" t="str">
        <v>ME100003</v>
      </c>
      <c r="CW22" t="str">
        <v>Advanced Practice Nurse</v>
      </c>
      <c r="CX22" t="str">
        <v>GA</v>
      </c>
      <c r="CY22" t="str">
        <v>Federal Motor Carrier Safety Regulations</v>
      </c>
      <c r="DA22" t="str">
        <v>No</v>
      </c>
      <c r="DB22" t="str">
        <v>No</v>
      </c>
      <c r="DC22" t="str">
        <v>No</v>
      </c>
      <c r="DD22" t="str">
        <v>No</v>
      </c>
      <c r="DE22" t="str">
        <v>No</v>
      </c>
      <c r="DF22" t="str">
        <v>No</v>
      </c>
      <c r="DG22" t="str">
        <v>Jane Doe</v>
      </c>
      <c r="DH22" t="str">
        <v>Sister</v>
      </c>
      <c r="DI22" t="str">
        <v>555-555-5555</v>
      </c>
      <c r="DJ22" t="str">
        <v>No</v>
      </c>
      <c r="DK22" t="str">
        <v>No</v>
      </c>
      <c r="DL22" t="str">
        <v>No</v>
      </c>
      <c r="DM22" t="str">
        <v>No</v>
      </c>
      <c r="DN22" t="str">
        <v>Yes - Appendectomy (2005)</v>
      </c>
      <c r="DO22" t="str">
        <v>20/20</v>
      </c>
      <c r="DP22" t="str">
        <v>20/20</v>
      </c>
      <c r="DQ22" t="str">
        <v>Pass</v>
      </c>
      <c r="DR22" t="str">
        <v>118</v>
      </c>
      <c r="DS22" t="str">
        <v>78</v>
      </c>
      <c r="DT22" t="str">
        <v>72</v>
      </c>
      <c r="DU22" t="str">
        <v>Normal</v>
      </c>
      <c r="DV22">
        <v>45392</v>
      </c>
      <c r="DW22">
        <v>45394</v>
      </c>
      <c r="DX22" t="str">
        <v>Negative</v>
      </c>
      <c r="DY22">
        <v>45397</v>
      </c>
      <c r="DZ22" t="str">
        <v>BOF Fleet Safety &amp; Compliance Policy 2024</v>
      </c>
      <c r="EA22" t="str">
        <v>Complete</v>
      </c>
      <c r="EB22">
        <v>45413</v>
      </c>
    </row>
    <row r="23">
      <c r="A23" t="str">
        <v>DRV-004</v>
      </c>
      <c r="B23" t="str">
        <v>Priya Patel</v>
      </c>
      <c r="C23" t="str">
        <v>520 Demo Street, Cleveland, OH 44114</v>
      </c>
      <c r="D23" t="str">
        <v>359-555-0100</v>
      </c>
      <c r="E23" t="str">
        <v>***-**-0119</v>
      </c>
      <c r="F23" t="str">
        <v>Chase</v>
      </c>
      <c r="G23">
        <v>000000101</v>
      </c>
      <c r="H23">
        <v>999900203</v>
      </c>
      <c r="I23" t="str">
        <v>CDL Summary</v>
      </c>
      <c r="J23" t="str">
        <v>VALID</v>
      </c>
      <c r="K23" t="str">
        <v>OH0000130</v>
      </c>
      <c r="L23">
        <v>46739</v>
      </c>
      <c r="M23">
        <v>46486</v>
      </c>
      <c r="N23">
        <v>46452</v>
      </c>
      <c r="P23" t="str">
        <v>Brown</v>
      </c>
      <c r="Q23" t="str">
        <v>Blue</v>
      </c>
      <c r="R23" t="str">
        <v>5'-7"</v>
      </c>
      <c r="S23">
        <v>148</v>
      </c>
      <c r="T23" t="str">
        <v>F</v>
      </c>
      <c r="U23">
        <v>33970</v>
      </c>
      <c r="V23" t="str">
        <v>DRV-004.png</v>
      </c>
      <c r="W23" t="str">
        <v>South Asian</v>
      </c>
      <c r="X23" t="str">
        <v>priyapatel@example.com</v>
      </c>
      <c r="Y23" t="str">
        <v>520 Demo Street</v>
      </c>
      <c r="Z23" t="str">
        <v>Cleveland</v>
      </c>
      <c r="AA23" t="str">
        <v>OH</v>
      </c>
      <c r="AB23">
        <v>44114</v>
      </c>
      <c r="AC23" t="str">
        <v>OH</v>
      </c>
      <c r="AD23" t="str">
        <v>Class A</v>
      </c>
      <c r="AE23">
        <v>44917</v>
      </c>
      <c r="AF23" t="str">
        <v>N,T</v>
      </c>
      <c r="AG23" t="str">
        <v>Automatic transmission only</v>
      </c>
      <c r="AH23">
        <v>45756</v>
      </c>
      <c r="AI23" t="str">
        <v>MC-0040812</v>
      </c>
      <c r="AJ23" t="str">
        <v>Dr. Ramon Ortiz</v>
      </c>
      <c r="AK23" t="str">
        <v>ME100004</v>
      </c>
      <c r="AM23" t="str">
        <v>Qualified</v>
      </c>
      <c r="AN23">
        <v>46422</v>
      </c>
      <c r="AO23">
        <v>0</v>
      </c>
      <c r="AP23">
        <v>0</v>
      </c>
      <c r="AQ23" t="str">
        <v>Automatic transmission only</v>
      </c>
      <c r="AR23" t="str">
        <v>Clear</v>
      </c>
      <c r="AS23">
        <v>45432</v>
      </c>
      <c r="AT23" t="str">
        <v>Authorized to Work</v>
      </c>
      <c r="AU23" t="str">
        <v>U.S. Passport</v>
      </c>
      <c r="AX23">
        <v>45432</v>
      </c>
      <c r="AY23" t="str">
        <v>BOF Onboarding Team</v>
      </c>
      <c r="AZ23" t="str">
        <v>Complete</v>
      </c>
      <c r="BB23" t="str">
        <v>Individual/Sole Proprietor</v>
      </c>
      <c r="BC23" t="str">
        <v>SSN</v>
      </c>
      <c r="BD23" t="str">
        <v>***-**-0119</v>
      </c>
      <c r="BF23">
        <v>45432</v>
      </c>
      <c r="BG23" t="str">
        <v>Received</v>
      </c>
      <c r="BH23" t="str">
        <v>Savings</v>
      </c>
      <c r="BI23" t="str">
        <v>Direct Deposit</v>
      </c>
      <c r="BJ23">
        <v>45432</v>
      </c>
      <c r="BK23" t="str">
        <v>Verified</v>
      </c>
      <c r="BL23">
        <v>45425</v>
      </c>
      <c r="BM23" t="str">
        <v>S. Howard</v>
      </c>
      <c r="BN23" t="str">
        <v>Day cab tractor</v>
      </c>
      <c r="BO23" t="str">
        <v>53 ft dry van</v>
      </c>
      <c r="BP23" t="str">
        <v>Cleveland, OH</v>
      </c>
      <c r="BQ23">
        <v>4</v>
      </c>
      <c r="BR23">
        <v>4</v>
      </c>
      <c r="BS23">
        <v>4</v>
      </c>
      <c r="BT23">
        <v>5</v>
      </c>
      <c r="BU23">
        <v>4</v>
      </c>
      <c r="BV23">
        <v>4</v>
      </c>
      <c r="BW23">
        <v>4</v>
      </c>
      <c r="BX23">
        <v>5</v>
      </c>
      <c r="BY23">
        <v>4</v>
      </c>
      <c r="BZ23" t="str">
        <v>Pass</v>
      </c>
      <c r="CA23" t="str">
        <v>Automatic transmission assigned</v>
      </c>
      <c r="CB23" t="str">
        <v>Passed</v>
      </c>
      <c r="CC23" t="str">
        <v>Enrolled</v>
      </c>
      <c r="CD23" t="str">
        <v>Query Completed</v>
      </c>
      <c r="CE23">
        <v>46037</v>
      </c>
      <c r="CF23">
        <v>46218</v>
      </c>
      <c r="CH23" t="str">
        <v>Compliant</v>
      </c>
      <c r="CJ23" t="str">
        <v>Priya</v>
      </c>
      <c r="CK23" t="str">
        <v>Patel</v>
      </c>
      <c r="CL23" t="str">
        <v>OH0000130</v>
      </c>
      <c r="CM23" t="str">
        <v>OH</v>
      </c>
      <c r="CN23" t="str">
        <v>CDL Holder</v>
      </c>
      <c r="CO23" t="str">
        <v>Priya Patel</v>
      </c>
      <c r="CP23">
        <v>45756</v>
      </c>
      <c r="CQ23">
        <v>46486</v>
      </c>
      <c r="CR23" t="str">
        <v>(614) 555-0111</v>
      </c>
      <c r="CS23" t="str">
        <v>Dr. Ramon Ortiz</v>
      </c>
      <c r="CT23">
        <v>45756</v>
      </c>
      <c r="CU23" t="str">
        <v>OH-ME-293591</v>
      </c>
      <c r="CV23" t="str">
        <v>ME100004</v>
      </c>
      <c r="CW23" t="str">
        <v>MD</v>
      </c>
      <c r="CX23" t="str">
        <v>OH</v>
      </c>
      <c r="CY23" t="str">
        <v>Federal Motor Carrier Safety Regulations</v>
      </c>
      <c r="DA23" t="str">
        <v>No</v>
      </c>
      <c r="DB23" t="str">
        <v>No</v>
      </c>
      <c r="DC23" t="str">
        <v>No</v>
      </c>
      <c r="DD23" t="str">
        <v>No</v>
      </c>
      <c r="DE23" t="str">
        <v>No</v>
      </c>
      <c r="DF23" t="str">
        <v>No</v>
      </c>
      <c r="DG23" t="str">
        <v>Jane Doe</v>
      </c>
      <c r="DH23" t="str">
        <v>Sister</v>
      </c>
      <c r="DI23" t="str">
        <v>555-555-5555</v>
      </c>
      <c r="DJ23" t="str">
        <v>No</v>
      </c>
      <c r="DK23" t="str">
        <v>No</v>
      </c>
      <c r="DL23" t="str">
        <v>No</v>
      </c>
      <c r="DM23" t="str">
        <v>No</v>
      </c>
      <c r="DN23" t="str">
        <v>Yes - Appendectomy (2005)</v>
      </c>
      <c r="DO23" t="str">
        <v>20/20</v>
      </c>
      <c r="DP23" t="str">
        <v>20/20</v>
      </c>
      <c r="DQ23" t="str">
        <v>Pass</v>
      </c>
      <c r="DR23" t="str">
        <v>118</v>
      </c>
      <c r="DS23" t="str">
        <v>78</v>
      </c>
      <c r="DT23" t="str">
        <v>72</v>
      </c>
      <c r="DU23" t="str">
        <v>Normal</v>
      </c>
      <c r="DV23">
        <v>45392</v>
      </c>
      <c r="DW23">
        <v>45394</v>
      </c>
      <c r="DX23" t="str">
        <v>Negative</v>
      </c>
      <c r="DY23">
        <v>45397</v>
      </c>
      <c r="DZ23" t="str">
        <v>BOF Fleet Safety &amp; Compliance Policy 2024</v>
      </c>
      <c r="EA23" t="str">
        <v>Complete</v>
      </c>
      <c r="EB23">
        <v>45413</v>
      </c>
    </row>
    <row r="24">
      <c r="A24" t="str">
        <v>DRV-004</v>
      </c>
      <c r="B24" t="str">
        <v>Priya Patel</v>
      </c>
      <c r="C24" t="str">
        <v>520 Demo Street, Cleveland, OH 44114</v>
      </c>
      <c r="D24" t="str">
        <v>359-555-0100</v>
      </c>
      <c r="E24" t="str">
        <v>***-**-0119</v>
      </c>
      <c r="F24" t="str">
        <v>Chase</v>
      </c>
      <c r="G24">
        <v>000000101</v>
      </c>
      <c r="H24">
        <v>999900203</v>
      </c>
      <c r="I24" t="str">
        <v>Medical Certification</v>
      </c>
      <c r="J24" t="str">
        <v>VALID</v>
      </c>
      <c r="K24" t="str">
        <v>OH0000099</v>
      </c>
      <c r="L24">
        <v>46739</v>
      </c>
      <c r="M24">
        <v>46486</v>
      </c>
      <c r="N24">
        <v>46452</v>
      </c>
      <c r="P24" t="str">
        <v>Brown</v>
      </c>
      <c r="Q24" t="str">
        <v>Blue</v>
      </c>
      <c r="R24" t="str">
        <v>5'-7"</v>
      </c>
      <c r="S24">
        <v>148</v>
      </c>
      <c r="T24" t="str">
        <v>F</v>
      </c>
      <c r="U24">
        <v>33970</v>
      </c>
      <c r="V24" t="str">
        <v>DRV-004.png</v>
      </c>
      <c r="W24" t="str">
        <v>South Asian</v>
      </c>
      <c r="X24" t="str">
        <v>priyapatel@example.com</v>
      </c>
      <c r="Y24" t="str">
        <v>520 Demo Street</v>
      </c>
      <c r="Z24" t="str">
        <v>Cleveland</v>
      </c>
      <c r="AA24" t="str">
        <v>OH</v>
      </c>
      <c r="AB24">
        <v>44114</v>
      </c>
      <c r="AC24" t="str">
        <v>OH</v>
      </c>
      <c r="AD24" t="str">
        <v>Class A</v>
      </c>
      <c r="AE24">
        <v>44917</v>
      </c>
      <c r="AF24" t="str">
        <v>N,T</v>
      </c>
      <c r="AG24" t="str">
        <v>Automatic transmission only</v>
      </c>
      <c r="AH24">
        <v>45756</v>
      </c>
      <c r="AI24" t="str">
        <v>MC-0040812</v>
      </c>
      <c r="AJ24" t="str">
        <v>Dr. Ramon Ortiz</v>
      </c>
      <c r="AK24" t="str">
        <v>ME100004</v>
      </c>
      <c r="AM24" t="str">
        <v>Qualified</v>
      </c>
      <c r="AN24">
        <v>46422</v>
      </c>
      <c r="AO24">
        <v>0</v>
      </c>
      <c r="AP24">
        <v>0</v>
      </c>
      <c r="AQ24" t="str">
        <v>Automatic transmission only</v>
      </c>
      <c r="AR24" t="str">
        <v>Clear</v>
      </c>
      <c r="AS24">
        <v>45432</v>
      </c>
      <c r="AT24" t="str">
        <v>Authorized to Work</v>
      </c>
      <c r="AU24" t="str">
        <v>U.S. Passport</v>
      </c>
      <c r="AX24">
        <v>45432</v>
      </c>
      <c r="AY24" t="str">
        <v>BOF Onboarding Team</v>
      </c>
      <c r="AZ24" t="str">
        <v>Complete</v>
      </c>
      <c r="BB24" t="str">
        <v>Individual/Sole Proprietor</v>
      </c>
      <c r="BC24" t="str">
        <v>SSN</v>
      </c>
      <c r="BD24" t="str">
        <v>***-**-0119</v>
      </c>
      <c r="BF24">
        <v>45432</v>
      </c>
      <c r="BG24" t="str">
        <v>Received</v>
      </c>
      <c r="BH24" t="str">
        <v>Savings</v>
      </c>
      <c r="BI24" t="str">
        <v>Direct Deposit</v>
      </c>
      <c r="BJ24">
        <v>45432</v>
      </c>
      <c r="BK24" t="str">
        <v>Verified</v>
      </c>
      <c r="BL24">
        <v>45425</v>
      </c>
      <c r="BM24" t="str">
        <v>S. Howard</v>
      </c>
      <c r="BN24" t="str">
        <v>Day cab tractor</v>
      </c>
      <c r="BO24" t="str">
        <v>53 ft dry van</v>
      </c>
      <c r="BP24" t="str">
        <v>Cleveland, OH</v>
      </c>
      <c r="BQ24">
        <v>4</v>
      </c>
      <c r="BR24">
        <v>4</v>
      </c>
      <c r="BS24">
        <v>4</v>
      </c>
      <c r="BT24">
        <v>5</v>
      </c>
      <c r="BU24">
        <v>4</v>
      </c>
      <c r="BV24">
        <v>4</v>
      </c>
      <c r="BW24">
        <v>4</v>
      </c>
      <c r="BX24">
        <v>5</v>
      </c>
      <c r="BY24">
        <v>4</v>
      </c>
      <c r="BZ24" t="str">
        <v>Pass</v>
      </c>
      <c r="CA24" t="str">
        <v>Automatic transmission assigned</v>
      </c>
      <c r="CB24" t="str">
        <v>Passed</v>
      </c>
      <c r="CC24" t="str">
        <v>Enrolled</v>
      </c>
      <c r="CD24" t="str">
        <v>Query Completed</v>
      </c>
      <c r="CE24">
        <v>46037</v>
      </c>
      <c r="CF24">
        <v>46218</v>
      </c>
      <c r="CH24" t="str">
        <v>Compliant</v>
      </c>
      <c r="CJ24" t="str">
        <v>Priya</v>
      </c>
      <c r="CK24" t="str">
        <v>Patel</v>
      </c>
      <c r="CL24" t="str">
        <v>OH0000131</v>
      </c>
      <c r="CM24" t="str">
        <v>OH</v>
      </c>
      <c r="CN24" t="str">
        <v>CDL Holder</v>
      </c>
      <c r="CO24" t="str">
        <v>Priya Patel</v>
      </c>
      <c r="CP24">
        <v>45756</v>
      </c>
      <c r="CQ24">
        <v>46486</v>
      </c>
      <c r="CR24" t="str">
        <v>(614) 555-0111</v>
      </c>
      <c r="CS24" t="str">
        <v>Dr. Ramon Ortiz</v>
      </c>
      <c r="CT24">
        <v>45756</v>
      </c>
      <c r="CU24" t="str">
        <v>OH-ME-293591</v>
      </c>
      <c r="CV24" t="str">
        <v>ME100004</v>
      </c>
      <c r="CW24" t="str">
        <v>MD</v>
      </c>
      <c r="CX24" t="str">
        <v>OH</v>
      </c>
      <c r="CY24" t="str">
        <v>Federal Motor Carrier Safety Regulations</v>
      </c>
      <c r="DA24" t="str">
        <v>No</v>
      </c>
      <c r="DB24" t="str">
        <v>No</v>
      </c>
      <c r="DC24" t="str">
        <v>No</v>
      </c>
      <c r="DD24" t="str">
        <v>No</v>
      </c>
      <c r="DE24" t="str">
        <v>No</v>
      </c>
      <c r="DF24" t="str">
        <v>No</v>
      </c>
      <c r="DG24" t="str">
        <v>Jane Doe</v>
      </c>
      <c r="DH24" t="str">
        <v>Sister</v>
      </c>
      <c r="DI24" t="str">
        <v>555-555-5555</v>
      </c>
      <c r="DJ24" t="str">
        <v>No</v>
      </c>
      <c r="DK24" t="str">
        <v>No</v>
      </c>
      <c r="DL24" t="str">
        <v>No</v>
      </c>
      <c r="DM24" t="str">
        <v>No</v>
      </c>
      <c r="DN24" t="str">
        <v>Yes - Appendectomy (2005)</v>
      </c>
      <c r="DO24" t="str">
        <v>20/20</v>
      </c>
      <c r="DP24" t="str">
        <v>20/20</v>
      </c>
      <c r="DQ24" t="str">
        <v>Pass</v>
      </c>
      <c r="DR24" t="str">
        <v>118</v>
      </c>
      <c r="DS24" t="str">
        <v>78</v>
      </c>
      <c r="DT24" t="str">
        <v>72</v>
      </c>
      <c r="DU24" t="str">
        <v>Normal</v>
      </c>
      <c r="DV24">
        <v>45392</v>
      </c>
      <c r="DW24">
        <v>45394</v>
      </c>
      <c r="DX24" t="str">
        <v>Negative</v>
      </c>
      <c r="DY24">
        <v>45397</v>
      </c>
      <c r="DZ24" t="str">
        <v>BOF Fleet Safety &amp; Compliance Policy 2024</v>
      </c>
      <c r="EA24" t="str">
        <v>Complete</v>
      </c>
      <c r="EB24">
        <v>45413</v>
      </c>
    </row>
    <row r="25">
      <c r="A25" t="str">
        <v>DRV-004</v>
      </c>
      <c r="B25" t="str">
        <v>Priya Patel</v>
      </c>
      <c r="C25" t="str">
        <v>520 Demo Street, Cleveland, OH 44114</v>
      </c>
      <c r="D25" t="str">
        <v>359-555-0100</v>
      </c>
      <c r="E25" t="str">
        <v>***-**-0119</v>
      </c>
      <c r="F25" t="str">
        <v>Chase</v>
      </c>
      <c r="G25">
        <v>000000101</v>
      </c>
      <c r="H25">
        <v>999900203</v>
      </c>
      <c r="I25" t="str">
        <v>MVR Background Report</v>
      </c>
      <c r="J25" t="str">
        <v>VALID</v>
      </c>
      <c r="K25" t="str">
        <v>OH0000123</v>
      </c>
      <c r="L25">
        <v>46739</v>
      </c>
      <c r="M25">
        <v>46486</v>
      </c>
      <c r="N25">
        <v>46452</v>
      </c>
      <c r="P25" t="str">
        <v>Brown</v>
      </c>
      <c r="Q25" t="str">
        <v>Blue</v>
      </c>
      <c r="R25" t="str">
        <v>5'-7"</v>
      </c>
      <c r="S25">
        <v>148</v>
      </c>
      <c r="T25" t="str">
        <v>F</v>
      </c>
      <c r="U25">
        <v>33970</v>
      </c>
      <c r="V25" t="str">
        <v>DRV-004.png</v>
      </c>
      <c r="W25" t="str">
        <v>South Asian</v>
      </c>
      <c r="X25" t="str">
        <v>priyapatel@example.com</v>
      </c>
      <c r="Y25" t="str">
        <v>520 Demo Street</v>
      </c>
      <c r="Z25" t="str">
        <v>Cleveland</v>
      </c>
      <c r="AA25" t="str">
        <v>OH</v>
      </c>
      <c r="AB25">
        <v>44114</v>
      </c>
      <c r="AC25" t="str">
        <v>OH</v>
      </c>
      <c r="AD25" t="str">
        <v>Class A</v>
      </c>
      <c r="AE25">
        <v>44917</v>
      </c>
      <c r="AF25" t="str">
        <v>N,T</v>
      </c>
      <c r="AG25" t="str">
        <v>Automatic transmission only</v>
      </c>
      <c r="AH25">
        <v>45756</v>
      </c>
      <c r="AI25" t="str">
        <v>MC-0040812</v>
      </c>
      <c r="AJ25" t="str">
        <v>Dr. Ramon Ortiz</v>
      </c>
      <c r="AK25" t="str">
        <v>ME100004</v>
      </c>
      <c r="AM25" t="str">
        <v>Qualified</v>
      </c>
      <c r="AN25">
        <v>46422</v>
      </c>
      <c r="AO25">
        <v>0</v>
      </c>
      <c r="AP25">
        <v>0</v>
      </c>
      <c r="AQ25" t="str">
        <v>Automatic transmission only</v>
      </c>
      <c r="AR25" t="str">
        <v>Clear</v>
      </c>
      <c r="AS25">
        <v>45432</v>
      </c>
      <c r="AT25" t="str">
        <v>Authorized to Work</v>
      </c>
      <c r="AU25" t="str">
        <v>U.S. Passport</v>
      </c>
      <c r="AX25">
        <v>45432</v>
      </c>
      <c r="AY25" t="str">
        <v>BOF Onboarding Team</v>
      </c>
      <c r="AZ25" t="str">
        <v>Complete</v>
      </c>
      <c r="BB25" t="str">
        <v>Individual/Sole Proprietor</v>
      </c>
      <c r="BC25" t="str">
        <v>SSN</v>
      </c>
      <c r="BD25" t="str">
        <v>***-**-0119</v>
      </c>
      <c r="BF25">
        <v>45432</v>
      </c>
      <c r="BG25" t="str">
        <v>Received</v>
      </c>
      <c r="BH25" t="str">
        <v>Savings</v>
      </c>
      <c r="BI25" t="str">
        <v>Direct Deposit</v>
      </c>
      <c r="BJ25">
        <v>45432</v>
      </c>
      <c r="BK25" t="str">
        <v>Verified</v>
      </c>
      <c r="BL25">
        <v>45425</v>
      </c>
      <c r="BM25" t="str">
        <v>S. Howard</v>
      </c>
      <c r="BN25" t="str">
        <v>Day cab tractor</v>
      </c>
      <c r="BO25" t="str">
        <v>53 ft dry van</v>
      </c>
      <c r="BP25" t="str">
        <v>Cleveland, OH</v>
      </c>
      <c r="BQ25">
        <v>4</v>
      </c>
      <c r="BR25">
        <v>4</v>
      </c>
      <c r="BS25">
        <v>4</v>
      </c>
      <c r="BT25">
        <v>5</v>
      </c>
      <c r="BU25">
        <v>4</v>
      </c>
      <c r="BV25">
        <v>4</v>
      </c>
      <c r="BW25">
        <v>4</v>
      </c>
      <c r="BX25">
        <v>5</v>
      </c>
      <c r="BY25">
        <v>4</v>
      </c>
      <c r="BZ25" t="str">
        <v>Pass</v>
      </c>
      <c r="CA25" t="str">
        <v>Automatic transmission assigned</v>
      </c>
      <c r="CB25" t="str">
        <v>Passed</v>
      </c>
      <c r="CC25" t="str">
        <v>Enrolled</v>
      </c>
      <c r="CD25" t="str">
        <v>Query Completed</v>
      </c>
      <c r="CE25">
        <v>46037</v>
      </c>
      <c r="CF25">
        <v>46218</v>
      </c>
      <c r="CH25" t="str">
        <v>Compliant</v>
      </c>
      <c r="CJ25" t="str">
        <v>Priya</v>
      </c>
      <c r="CK25" t="str">
        <v>Patel</v>
      </c>
      <c r="CL25" t="str">
        <v>OH0000132</v>
      </c>
      <c r="CM25" t="str">
        <v>OH</v>
      </c>
      <c r="CN25" t="str">
        <v>CDL Holder</v>
      </c>
      <c r="CO25" t="str">
        <v>Priya Patel</v>
      </c>
      <c r="CP25">
        <v>45756</v>
      </c>
      <c r="CQ25">
        <v>46486</v>
      </c>
      <c r="CR25" t="str">
        <v>(614) 555-0111</v>
      </c>
      <c r="CS25" t="str">
        <v>Dr. Ramon Ortiz</v>
      </c>
      <c r="CT25">
        <v>45756</v>
      </c>
      <c r="CU25" t="str">
        <v>OH-ME-293591</v>
      </c>
      <c r="CV25" t="str">
        <v>ME100004</v>
      </c>
      <c r="CW25" t="str">
        <v>MD</v>
      </c>
      <c r="CX25" t="str">
        <v>OH</v>
      </c>
      <c r="CY25" t="str">
        <v>Federal Motor Carrier Safety Regulations</v>
      </c>
      <c r="DA25" t="str">
        <v>No</v>
      </c>
      <c r="DB25" t="str">
        <v>No</v>
      </c>
      <c r="DC25" t="str">
        <v>No</v>
      </c>
      <c r="DD25" t="str">
        <v>No</v>
      </c>
      <c r="DE25" t="str">
        <v>No</v>
      </c>
      <c r="DF25" t="str">
        <v>No</v>
      </c>
      <c r="DG25" t="str">
        <v>Jane Doe</v>
      </c>
      <c r="DH25" t="str">
        <v>Sister</v>
      </c>
      <c r="DI25" t="str">
        <v>555-555-5555</v>
      </c>
      <c r="DJ25" t="str">
        <v>No</v>
      </c>
      <c r="DK25" t="str">
        <v>No</v>
      </c>
      <c r="DL25" t="str">
        <v>No</v>
      </c>
      <c r="DM25" t="str">
        <v>No</v>
      </c>
      <c r="DN25" t="str">
        <v>Yes - Appendectomy (2005)</v>
      </c>
      <c r="DO25" t="str">
        <v>20/20</v>
      </c>
      <c r="DP25" t="str">
        <v>20/20</v>
      </c>
      <c r="DQ25" t="str">
        <v>Pass</v>
      </c>
      <c r="DR25" t="str">
        <v>118</v>
      </c>
      <c r="DS25" t="str">
        <v>78</v>
      </c>
      <c r="DT25" t="str">
        <v>72</v>
      </c>
      <c r="DU25" t="str">
        <v>Normal</v>
      </c>
      <c r="DV25">
        <v>45392</v>
      </c>
      <c r="DW25">
        <v>45394</v>
      </c>
      <c r="DX25" t="str">
        <v>Negative</v>
      </c>
      <c r="DY25">
        <v>45397</v>
      </c>
      <c r="DZ25" t="str">
        <v>BOF Fleet Safety &amp; Compliance Policy 2024</v>
      </c>
      <c r="EA25" t="str">
        <v>Complete</v>
      </c>
      <c r="EB25">
        <v>45413</v>
      </c>
    </row>
    <row r="26">
      <c r="A26" t="str">
        <v>DRV-004</v>
      </c>
      <c r="B26" t="str">
        <v>Priya Patel</v>
      </c>
      <c r="C26" t="str">
        <v>520 Demo Street, Cleveland, OH 44114</v>
      </c>
      <c r="D26" t="str">
        <v>359-555-0100</v>
      </c>
      <c r="E26" t="str">
        <v>***-**-0119</v>
      </c>
      <c r="F26" t="str">
        <v>Chase</v>
      </c>
      <c r="G26">
        <v>000000101</v>
      </c>
      <c r="H26">
        <v>999900203</v>
      </c>
      <c r="I26" t="str">
        <v>summary</v>
      </c>
      <c r="J26" t="str">
        <v>VALID</v>
      </c>
      <c r="K26" t="str">
        <v>OH0000149</v>
      </c>
      <c r="L26">
        <v>46739</v>
      </c>
      <c r="M26">
        <v>46486</v>
      </c>
      <c r="N26">
        <v>46452</v>
      </c>
      <c r="P26" t="str">
        <v>Brown</v>
      </c>
      <c r="Q26" t="str">
        <v>Blue</v>
      </c>
      <c r="R26" t="str">
        <v>5'-7"</v>
      </c>
      <c r="S26">
        <v>148</v>
      </c>
      <c r="T26" t="str">
        <v>F</v>
      </c>
      <c r="U26">
        <v>33970</v>
      </c>
      <c r="V26" t="str">
        <v>DRV-004.png</v>
      </c>
      <c r="W26" t="str">
        <v>South Asian</v>
      </c>
      <c r="X26" t="str">
        <v>priyapatel@example.com</v>
      </c>
      <c r="Y26" t="str">
        <v>520 Demo Street</v>
      </c>
      <c r="Z26" t="str">
        <v>Cleveland</v>
      </c>
      <c r="AA26" t="str">
        <v>OH</v>
      </c>
      <c r="AB26">
        <v>44114</v>
      </c>
      <c r="AC26" t="str">
        <v>OH</v>
      </c>
      <c r="AD26" t="str">
        <v>Class A</v>
      </c>
      <c r="AE26">
        <v>44917</v>
      </c>
      <c r="AF26" t="str">
        <v>N,T</v>
      </c>
      <c r="AG26" t="str">
        <v>Automatic transmission only</v>
      </c>
      <c r="AH26">
        <v>45756</v>
      </c>
      <c r="AI26" t="str">
        <v>MC-0040812</v>
      </c>
      <c r="AJ26" t="str">
        <v>Dr. Ramon Ortiz</v>
      </c>
      <c r="AK26" t="str">
        <v>ME100004</v>
      </c>
      <c r="AM26" t="str">
        <v>Qualified</v>
      </c>
      <c r="AN26">
        <v>46422</v>
      </c>
      <c r="AO26">
        <v>0</v>
      </c>
      <c r="AP26">
        <v>0</v>
      </c>
      <c r="AQ26" t="str">
        <v>Automatic transmission only</v>
      </c>
      <c r="AR26" t="str">
        <v>Clear</v>
      </c>
      <c r="AS26">
        <v>45432</v>
      </c>
      <c r="AT26" t="str">
        <v>Authorized to Work</v>
      </c>
      <c r="AU26" t="str">
        <v>U.S. Passport</v>
      </c>
      <c r="AX26">
        <v>45432</v>
      </c>
      <c r="AY26" t="str">
        <v>BOF Onboarding Team</v>
      </c>
      <c r="AZ26" t="str">
        <v>Complete</v>
      </c>
      <c r="BB26" t="str">
        <v>Individual/Sole Proprietor</v>
      </c>
      <c r="BC26" t="str">
        <v>SSN</v>
      </c>
      <c r="BD26" t="str">
        <v>***-**-0119</v>
      </c>
      <c r="BF26">
        <v>45432</v>
      </c>
      <c r="BG26" t="str">
        <v>Received</v>
      </c>
      <c r="BH26" t="str">
        <v>Savings</v>
      </c>
      <c r="BI26" t="str">
        <v>Direct Deposit</v>
      </c>
      <c r="BJ26">
        <v>45432</v>
      </c>
      <c r="BK26" t="str">
        <v>Verified</v>
      </c>
      <c r="BL26">
        <v>45425</v>
      </c>
      <c r="BM26" t="str">
        <v>S. Howard</v>
      </c>
      <c r="BN26" t="str">
        <v>Day cab tractor</v>
      </c>
      <c r="BO26" t="str">
        <v>53 ft dry van</v>
      </c>
      <c r="BP26" t="str">
        <v>Cleveland, OH</v>
      </c>
      <c r="BQ26">
        <v>4</v>
      </c>
      <c r="BR26">
        <v>4</v>
      </c>
      <c r="BS26">
        <v>4</v>
      </c>
      <c r="BT26">
        <v>5</v>
      </c>
      <c r="BU26">
        <v>4</v>
      </c>
      <c r="BV26">
        <v>4</v>
      </c>
      <c r="BW26">
        <v>4</v>
      </c>
      <c r="BX26">
        <v>5</v>
      </c>
      <c r="BY26">
        <v>4</v>
      </c>
      <c r="BZ26" t="str">
        <v>Pass</v>
      </c>
      <c r="CA26" t="str">
        <v>Automatic transmission assigned</v>
      </c>
      <c r="CB26" t="str">
        <v>Passed</v>
      </c>
      <c r="CC26" t="str">
        <v>Enrolled</v>
      </c>
      <c r="CD26" t="str">
        <v>Query Completed</v>
      </c>
      <c r="CE26">
        <v>46037</v>
      </c>
      <c r="CF26">
        <v>46218</v>
      </c>
      <c r="CH26" t="str">
        <v>Compliant</v>
      </c>
      <c r="CJ26" t="str">
        <v>Priya</v>
      </c>
      <c r="CK26" t="str">
        <v>Patel</v>
      </c>
      <c r="CL26" t="str">
        <v>OH0000133</v>
      </c>
      <c r="CM26" t="str">
        <v>OH</v>
      </c>
      <c r="CN26" t="str">
        <v>CDL Holder</v>
      </c>
      <c r="CO26" t="str">
        <v>Priya Patel</v>
      </c>
      <c r="CP26">
        <v>45756</v>
      </c>
      <c r="CQ26">
        <v>46486</v>
      </c>
      <c r="CR26" t="str">
        <v>(614) 555-0111</v>
      </c>
      <c r="CS26" t="str">
        <v>Dr. Ramon Ortiz</v>
      </c>
      <c r="CT26">
        <v>45756</v>
      </c>
      <c r="CU26" t="str">
        <v>OH-ME-293591</v>
      </c>
      <c r="CV26" t="str">
        <v>ME100004</v>
      </c>
      <c r="CW26" t="str">
        <v>MD</v>
      </c>
      <c r="CX26" t="str">
        <v>OH</v>
      </c>
      <c r="CY26" t="str">
        <v>Federal Motor Carrier Safety Regulations</v>
      </c>
      <c r="DA26" t="str">
        <v>No</v>
      </c>
      <c r="DB26" t="str">
        <v>No</v>
      </c>
      <c r="DC26" t="str">
        <v>No</v>
      </c>
      <c r="DD26" t="str">
        <v>No</v>
      </c>
      <c r="DE26" t="str">
        <v>No</v>
      </c>
      <c r="DF26" t="str">
        <v>No</v>
      </c>
      <c r="DG26" t="str">
        <v>Jane Doe</v>
      </c>
      <c r="DH26" t="str">
        <v>Sister</v>
      </c>
      <c r="DI26" t="str">
        <v>555-555-5555</v>
      </c>
      <c r="DJ26" t="str">
        <v>No</v>
      </c>
      <c r="DK26" t="str">
        <v>No</v>
      </c>
      <c r="DL26" t="str">
        <v>No</v>
      </c>
      <c r="DM26" t="str">
        <v>No</v>
      </c>
      <c r="DN26" t="str">
        <v>Yes - Appendectomy (2005)</v>
      </c>
      <c r="DO26" t="str">
        <v>20/20</v>
      </c>
      <c r="DP26" t="str">
        <v>20/20</v>
      </c>
      <c r="DQ26" t="str">
        <v>Pass</v>
      </c>
      <c r="DR26" t="str">
        <v>118</v>
      </c>
      <c r="DS26" t="str">
        <v>78</v>
      </c>
      <c r="DT26" t="str">
        <v>72</v>
      </c>
      <c r="DU26" t="str">
        <v>Normal</v>
      </c>
      <c r="DV26">
        <v>45392</v>
      </c>
      <c r="DW26">
        <v>45394</v>
      </c>
      <c r="DX26" t="str">
        <v>Negative</v>
      </c>
      <c r="DY26">
        <v>45397</v>
      </c>
      <c r="DZ26" t="str">
        <v>BOF Fleet Safety &amp; Compliance Policy 2024</v>
      </c>
      <c r="EA26" t="str">
        <v>Complete</v>
      </c>
      <c r="EB26">
        <v>45413</v>
      </c>
    </row>
    <row r="27">
      <c r="A27" t="str">
        <v>DRV-004</v>
      </c>
      <c r="B27" t="str">
        <v>Priya Patel</v>
      </c>
      <c r="C27" t="str">
        <v>520 Demo Street, Cleveland, OH 44114</v>
      </c>
      <c r="D27" t="str">
        <v>359-555-0100</v>
      </c>
      <c r="E27" t="str">
        <v>***-**-0119</v>
      </c>
      <c r="F27" t="str">
        <v>Chase</v>
      </c>
      <c r="G27">
        <v>000000101</v>
      </c>
      <c r="H27">
        <v>999900203</v>
      </c>
      <c r="I27" t="str">
        <v>Road Test Certificate</v>
      </c>
      <c r="J27" t="str">
        <v>VALID</v>
      </c>
      <c r="K27" t="str">
        <v>OH0000072</v>
      </c>
      <c r="L27">
        <v>46739</v>
      </c>
      <c r="M27">
        <v>46486</v>
      </c>
      <c r="N27">
        <v>46452</v>
      </c>
      <c r="P27" t="str">
        <v>Brown</v>
      </c>
      <c r="Q27" t="str">
        <v>Blue</v>
      </c>
      <c r="R27" t="str">
        <v>5'-7"</v>
      </c>
      <c r="S27">
        <v>148</v>
      </c>
      <c r="T27" t="str">
        <v>F</v>
      </c>
      <c r="U27">
        <v>33970</v>
      </c>
      <c r="V27" t="str">
        <v>DRV-004.png</v>
      </c>
      <c r="W27" t="str">
        <v>South Asian</v>
      </c>
      <c r="X27" t="str">
        <v>priyapatel@example.com</v>
      </c>
      <c r="Y27" t="str">
        <v>520 Demo Street</v>
      </c>
      <c r="Z27" t="str">
        <v>Cleveland</v>
      </c>
      <c r="AA27" t="str">
        <v>OH</v>
      </c>
      <c r="AB27">
        <v>44114</v>
      </c>
      <c r="AC27" t="str">
        <v>OH</v>
      </c>
      <c r="AD27" t="str">
        <v>Class A</v>
      </c>
      <c r="AE27">
        <v>44917</v>
      </c>
      <c r="AF27" t="str">
        <v>N,T</v>
      </c>
      <c r="AG27" t="str">
        <v>Automatic transmission only</v>
      </c>
      <c r="AH27">
        <v>45756</v>
      </c>
      <c r="AI27" t="str">
        <v>MC-0040812</v>
      </c>
      <c r="AJ27" t="str">
        <v>Dr. Ramon Ortiz</v>
      </c>
      <c r="AK27" t="str">
        <v>ME100004</v>
      </c>
      <c r="AM27" t="str">
        <v>Qualified</v>
      </c>
      <c r="AN27">
        <v>46422</v>
      </c>
      <c r="AO27">
        <v>0</v>
      </c>
      <c r="AP27">
        <v>0</v>
      </c>
      <c r="AQ27" t="str">
        <v>Automatic transmission only</v>
      </c>
      <c r="AR27" t="str">
        <v>Clear</v>
      </c>
      <c r="AS27">
        <v>45432</v>
      </c>
      <c r="AT27" t="str">
        <v>Authorized to Work</v>
      </c>
      <c r="AU27" t="str">
        <v>U.S. Passport</v>
      </c>
      <c r="AX27">
        <v>45432</v>
      </c>
      <c r="AY27" t="str">
        <v>BOF Onboarding Team</v>
      </c>
      <c r="AZ27" t="str">
        <v>Complete</v>
      </c>
      <c r="BB27" t="str">
        <v>Individual/Sole Proprietor</v>
      </c>
      <c r="BC27" t="str">
        <v>SSN</v>
      </c>
      <c r="BD27" t="str">
        <v>***-**-0119</v>
      </c>
      <c r="BF27">
        <v>45432</v>
      </c>
      <c r="BG27" t="str">
        <v>Received</v>
      </c>
      <c r="BH27" t="str">
        <v>Savings</v>
      </c>
      <c r="BI27" t="str">
        <v>Direct Deposit</v>
      </c>
      <c r="BJ27">
        <v>45432</v>
      </c>
      <c r="BK27" t="str">
        <v>Verified</v>
      </c>
      <c r="BL27">
        <v>45425</v>
      </c>
      <c r="BM27" t="str">
        <v>S. Howard</v>
      </c>
      <c r="BN27" t="str">
        <v>Day cab tractor</v>
      </c>
      <c r="BO27" t="str">
        <v>53 ft dry van</v>
      </c>
      <c r="BP27" t="str">
        <v>Cleveland, OH</v>
      </c>
      <c r="BQ27">
        <v>4</v>
      </c>
      <c r="BR27">
        <v>4</v>
      </c>
      <c r="BS27">
        <v>4</v>
      </c>
      <c r="BT27">
        <v>5</v>
      </c>
      <c r="BU27">
        <v>4</v>
      </c>
      <c r="BV27">
        <v>4</v>
      </c>
      <c r="BW27">
        <v>4</v>
      </c>
      <c r="BX27">
        <v>5</v>
      </c>
      <c r="BY27">
        <v>4</v>
      </c>
      <c r="BZ27" t="str">
        <v>Pass</v>
      </c>
      <c r="CA27" t="str">
        <v>Automatic transmission assigned</v>
      </c>
      <c r="CB27" t="str">
        <v>Passed</v>
      </c>
      <c r="CC27" t="str">
        <v>Enrolled</v>
      </c>
      <c r="CD27" t="str">
        <v>Query Completed</v>
      </c>
      <c r="CE27">
        <v>46037</v>
      </c>
      <c r="CF27">
        <v>46218</v>
      </c>
      <c r="CH27" t="str">
        <v>Compliant</v>
      </c>
      <c r="CJ27" t="str">
        <v>Priya</v>
      </c>
      <c r="CK27" t="str">
        <v>Patel</v>
      </c>
      <c r="CL27" t="str">
        <v>OH0000134</v>
      </c>
      <c r="CM27" t="str">
        <v>OH</v>
      </c>
      <c r="CN27" t="str">
        <v>CDL Holder</v>
      </c>
      <c r="CO27" t="str">
        <v>Priya Patel</v>
      </c>
      <c r="CP27">
        <v>45756</v>
      </c>
      <c r="CQ27">
        <v>46486</v>
      </c>
      <c r="CR27" t="str">
        <v>(614) 555-0111</v>
      </c>
      <c r="CS27" t="str">
        <v>Dr. Ramon Ortiz</v>
      </c>
      <c r="CT27">
        <v>45756</v>
      </c>
      <c r="CU27" t="str">
        <v>OH-ME-293591</v>
      </c>
      <c r="CV27" t="str">
        <v>ME100004</v>
      </c>
      <c r="CW27" t="str">
        <v>MD</v>
      </c>
      <c r="CX27" t="str">
        <v>OH</v>
      </c>
      <c r="CY27" t="str">
        <v>Federal Motor Carrier Safety Regulations</v>
      </c>
      <c r="DA27" t="str">
        <v>No</v>
      </c>
      <c r="DB27" t="str">
        <v>No</v>
      </c>
      <c r="DC27" t="str">
        <v>No</v>
      </c>
      <c r="DD27" t="str">
        <v>No</v>
      </c>
      <c r="DE27" t="str">
        <v>No</v>
      </c>
      <c r="DF27" t="str">
        <v>No</v>
      </c>
      <c r="DG27" t="str">
        <v>Jane Doe</v>
      </c>
      <c r="DH27" t="str">
        <v>Sister</v>
      </c>
      <c r="DI27" t="str">
        <v>555-555-5555</v>
      </c>
      <c r="DJ27" t="str">
        <v>No</v>
      </c>
      <c r="DK27" t="str">
        <v>No</v>
      </c>
      <c r="DL27" t="str">
        <v>No</v>
      </c>
      <c r="DM27" t="str">
        <v>No</v>
      </c>
      <c r="DN27" t="str">
        <v>Yes - Appendectomy (2005)</v>
      </c>
      <c r="DO27" t="str">
        <v>20/20</v>
      </c>
      <c r="DP27" t="str">
        <v>20/20</v>
      </c>
      <c r="DQ27" t="str">
        <v>Pass</v>
      </c>
      <c r="DR27" t="str">
        <v>118</v>
      </c>
      <c r="DS27" t="str">
        <v>78</v>
      </c>
      <c r="DT27" t="str">
        <v>72</v>
      </c>
      <c r="DU27" t="str">
        <v>Normal</v>
      </c>
      <c r="DV27">
        <v>45392</v>
      </c>
      <c r="DW27">
        <v>45394</v>
      </c>
      <c r="DX27" t="str">
        <v>Negative</v>
      </c>
      <c r="DY27">
        <v>45397</v>
      </c>
      <c r="DZ27" t="str">
        <v>BOF Fleet Safety &amp; Compliance Policy 2024</v>
      </c>
      <c r="EA27" t="str">
        <v>Complete</v>
      </c>
      <c r="EB27">
        <v>45413</v>
      </c>
    </row>
    <row r="28">
      <c r="A28" t="str">
        <v>DRV-004</v>
      </c>
      <c r="B28" t="str">
        <v>Priya Patel</v>
      </c>
      <c r="C28" t="str">
        <v>520 Demo Street, Cleveland, OH 44114</v>
      </c>
      <c r="D28" t="str">
        <v>359-555-0100</v>
      </c>
      <c r="E28" t="str">
        <v>***-**-0119</v>
      </c>
      <c r="F28" t="str">
        <v>Chase</v>
      </c>
      <c r="G28">
        <v>000000101</v>
      </c>
      <c r="H28">
        <v>999900203</v>
      </c>
      <c r="I28" t="str">
        <v>Incident/Accident Report</v>
      </c>
      <c r="J28" t="str">
        <v>VALID</v>
      </c>
      <c r="K28" t="str">
        <v>OH0000074</v>
      </c>
      <c r="L28">
        <v>46739</v>
      </c>
      <c r="M28">
        <v>46486</v>
      </c>
      <c r="N28">
        <v>46452</v>
      </c>
      <c r="O28" t="str">
        <v>Load L-504: Seal mismatch detected. Pickup: SEAL-61044 Delivery: SEAL-61043.</v>
      </c>
      <c r="P28" t="str">
        <v>Brown</v>
      </c>
      <c r="Q28" t="str">
        <v>Blue</v>
      </c>
      <c r="R28" t="str">
        <v>5'-7"</v>
      </c>
      <c r="S28">
        <v>148</v>
      </c>
      <c r="T28" t="str">
        <v>F</v>
      </c>
      <c r="U28">
        <v>33970</v>
      </c>
      <c r="V28" t="str">
        <v>DRV-004.png</v>
      </c>
      <c r="W28" t="str">
        <v>South Asian</v>
      </c>
      <c r="X28" t="str">
        <v>priyapatel@example.com</v>
      </c>
      <c r="Y28" t="str">
        <v>520 Demo Street</v>
      </c>
      <c r="Z28" t="str">
        <v>Cleveland</v>
      </c>
      <c r="AA28" t="str">
        <v>OH</v>
      </c>
      <c r="AB28">
        <v>44114</v>
      </c>
      <c r="AC28" t="str">
        <v>OH</v>
      </c>
      <c r="AD28" t="str">
        <v>Class A</v>
      </c>
      <c r="AE28">
        <v>44917</v>
      </c>
      <c r="AF28" t="str">
        <v>N,T</v>
      </c>
      <c r="AG28" t="str">
        <v>Automatic transmission only</v>
      </c>
      <c r="AH28">
        <v>45756</v>
      </c>
      <c r="AI28" t="str">
        <v>MC-0040812</v>
      </c>
      <c r="AJ28" t="str">
        <v>Dr. Ramon Ortiz</v>
      </c>
      <c r="AK28" t="str">
        <v>ME100004</v>
      </c>
      <c r="AM28" t="str">
        <v>Qualified</v>
      </c>
      <c r="AN28">
        <v>46422</v>
      </c>
      <c r="AO28">
        <v>0</v>
      </c>
      <c r="AP28">
        <v>0</v>
      </c>
      <c r="AQ28" t="str">
        <v>Automatic transmission only</v>
      </c>
      <c r="AR28" t="str">
        <v>Clear</v>
      </c>
      <c r="AS28">
        <v>45432</v>
      </c>
      <c r="AT28" t="str">
        <v>Authorized to Work</v>
      </c>
      <c r="AU28" t="str">
        <v>U.S. Passport</v>
      </c>
      <c r="AX28">
        <v>45432</v>
      </c>
      <c r="AY28" t="str">
        <v>BOF Onboarding Team</v>
      </c>
      <c r="AZ28" t="str">
        <v>Complete</v>
      </c>
      <c r="BB28" t="str">
        <v>Individual/Sole Proprietor</v>
      </c>
      <c r="BC28" t="str">
        <v>SSN</v>
      </c>
      <c r="BD28" t="str">
        <v>***-**-0119</v>
      </c>
      <c r="BF28">
        <v>45432</v>
      </c>
      <c r="BG28" t="str">
        <v>Received</v>
      </c>
      <c r="BH28" t="str">
        <v>Savings</v>
      </c>
      <c r="BI28" t="str">
        <v>Direct Deposit</v>
      </c>
      <c r="BJ28">
        <v>45432</v>
      </c>
      <c r="BK28" t="str">
        <v>Verified</v>
      </c>
      <c r="BL28">
        <v>45425</v>
      </c>
      <c r="BM28" t="str">
        <v>S. Howard</v>
      </c>
      <c r="BN28" t="str">
        <v>Day cab tractor</v>
      </c>
      <c r="BO28" t="str">
        <v>53 ft dry van</v>
      </c>
      <c r="BP28" t="str">
        <v>Cleveland, OH</v>
      </c>
      <c r="BQ28">
        <v>4</v>
      </c>
      <c r="BR28">
        <v>4</v>
      </c>
      <c r="BS28">
        <v>4</v>
      </c>
      <c r="BT28">
        <v>5</v>
      </c>
      <c r="BU28">
        <v>4</v>
      </c>
      <c r="BV28">
        <v>4</v>
      </c>
      <c r="BW28">
        <v>4</v>
      </c>
      <c r="BX28">
        <v>5</v>
      </c>
      <c r="BY28">
        <v>4</v>
      </c>
      <c r="BZ28" t="str">
        <v>Pass</v>
      </c>
      <c r="CA28" t="str">
        <v>Automatic transmission assigned</v>
      </c>
      <c r="CB28" t="str">
        <v>Passed</v>
      </c>
      <c r="CC28" t="str">
        <v>Enrolled</v>
      </c>
      <c r="CD28" t="str">
        <v>Query Completed</v>
      </c>
      <c r="CE28">
        <v>46037</v>
      </c>
      <c r="CF28">
        <v>46218</v>
      </c>
      <c r="CH28" t="str">
        <v>Compliant</v>
      </c>
      <c r="CJ28" t="str">
        <v>Priya</v>
      </c>
      <c r="CK28" t="str">
        <v>Patel</v>
      </c>
      <c r="CL28" t="str">
        <v>OH0000135</v>
      </c>
      <c r="CM28" t="str">
        <v>OH</v>
      </c>
      <c r="CN28" t="str">
        <v>CDL Holder</v>
      </c>
      <c r="CO28" t="str">
        <v>Priya Patel</v>
      </c>
      <c r="CP28">
        <v>45756</v>
      </c>
      <c r="CQ28">
        <v>46486</v>
      </c>
      <c r="CR28" t="str">
        <v>(614) 555-0111</v>
      </c>
      <c r="CS28" t="str">
        <v>Dr. Ramon Ortiz</v>
      </c>
      <c r="CT28">
        <v>45756</v>
      </c>
      <c r="CU28" t="str">
        <v>OH-ME-293591</v>
      </c>
      <c r="CV28" t="str">
        <v>ME100004</v>
      </c>
      <c r="CW28" t="str">
        <v>MD</v>
      </c>
      <c r="CX28" t="str">
        <v>OH</v>
      </c>
      <c r="CY28" t="str">
        <v>Federal Motor Carrier Safety Regulations</v>
      </c>
      <c r="DA28" t="str">
        <v>No</v>
      </c>
      <c r="DB28" t="str">
        <v>No</v>
      </c>
      <c r="DC28" t="str">
        <v>No</v>
      </c>
      <c r="DD28" t="str">
        <v>No</v>
      </c>
      <c r="DE28" t="str">
        <v>No</v>
      </c>
      <c r="DF28" t="str">
        <v>No</v>
      </c>
      <c r="DG28" t="str">
        <v>Jane Doe</v>
      </c>
      <c r="DH28" t="str">
        <v>Sister</v>
      </c>
      <c r="DI28" t="str">
        <v>555-555-5555</v>
      </c>
      <c r="DJ28" t="str">
        <v>No</v>
      </c>
      <c r="DK28" t="str">
        <v>No</v>
      </c>
      <c r="DL28" t="str">
        <v>No</v>
      </c>
      <c r="DM28" t="str">
        <v>No</v>
      </c>
      <c r="DN28" t="str">
        <v>Yes - Appendectomy (2005)</v>
      </c>
      <c r="DO28" t="str">
        <v>20/20</v>
      </c>
      <c r="DP28" t="str">
        <v>20/20</v>
      </c>
      <c r="DQ28" t="str">
        <v>Pass</v>
      </c>
      <c r="DR28" t="str">
        <v>118</v>
      </c>
      <c r="DS28" t="str">
        <v>78</v>
      </c>
      <c r="DT28" t="str">
        <v>72</v>
      </c>
      <c r="DU28" t="str">
        <v>Normal</v>
      </c>
      <c r="DV28">
        <v>45392</v>
      </c>
      <c r="DW28">
        <v>45394</v>
      </c>
      <c r="DX28" t="str">
        <v>Negative</v>
      </c>
      <c r="DY28">
        <v>45397</v>
      </c>
      <c r="DZ28" t="str">
        <v>BOF Fleet Safety &amp; Compliance Policy 2024</v>
      </c>
      <c r="EA28" t="str">
        <v>Complete</v>
      </c>
      <c r="EB28">
        <v>45413</v>
      </c>
    </row>
    <row r="29">
      <c r="A29" t="str">
        <v>DRV-004</v>
      </c>
      <c r="B29" t="str">
        <v>Priya Patel</v>
      </c>
      <c r="C29" t="str">
        <v>520 Demo Street, Cleveland, OH 44114</v>
      </c>
      <c r="D29" t="str">
        <v>359-555-0100</v>
      </c>
      <c r="E29" t="str">
        <v>***-**-0119</v>
      </c>
      <c r="F29" t="str">
        <v>Chase</v>
      </c>
      <c r="G29">
        <v>000000101</v>
      </c>
      <c r="H29">
        <v>999900203</v>
      </c>
      <c r="I29" t="str">
        <v>Direct Deposit Form</v>
      </c>
      <c r="J29" t="str">
        <v>VALID</v>
      </c>
      <c r="K29" t="str">
        <v>OH0000095</v>
      </c>
      <c r="L29">
        <v>46739</v>
      </c>
      <c r="M29">
        <v>46486</v>
      </c>
      <c r="N29">
        <v>46452</v>
      </c>
      <c r="P29" t="str">
        <v>Brown</v>
      </c>
      <c r="Q29" t="str">
        <v>Blue</v>
      </c>
      <c r="R29" t="str">
        <v>5'-7"</v>
      </c>
      <c r="S29">
        <v>148</v>
      </c>
      <c r="T29" t="str">
        <v>F</v>
      </c>
      <c r="U29">
        <v>33970</v>
      </c>
      <c r="V29" t="str">
        <v>DRV-004.png</v>
      </c>
      <c r="W29" t="str">
        <v>South Asian</v>
      </c>
      <c r="X29" t="str">
        <v>priyapatel@example.com</v>
      </c>
      <c r="Y29" t="str">
        <v>520 Demo Street</v>
      </c>
      <c r="Z29" t="str">
        <v>Cleveland</v>
      </c>
      <c r="AA29" t="str">
        <v>OH</v>
      </c>
      <c r="AB29">
        <v>44114</v>
      </c>
      <c r="AC29" t="str">
        <v>OH</v>
      </c>
      <c r="AD29" t="str">
        <v>Class A</v>
      </c>
      <c r="AE29">
        <v>44917</v>
      </c>
      <c r="AF29" t="str">
        <v>N,T</v>
      </c>
      <c r="AG29" t="str">
        <v>Automatic transmission only</v>
      </c>
      <c r="AH29">
        <v>45756</v>
      </c>
      <c r="AI29" t="str">
        <v>MC-0040812</v>
      </c>
      <c r="AJ29" t="str">
        <v>Dr. Ramon Ortiz</v>
      </c>
      <c r="AK29" t="str">
        <v>ME100004</v>
      </c>
      <c r="AM29" t="str">
        <v>Qualified</v>
      </c>
      <c r="AN29">
        <v>46422</v>
      </c>
      <c r="AO29">
        <v>0</v>
      </c>
      <c r="AP29">
        <v>0</v>
      </c>
      <c r="AQ29" t="str">
        <v>Automatic transmission only</v>
      </c>
      <c r="AR29" t="str">
        <v>Clear</v>
      </c>
      <c r="AS29">
        <v>45432</v>
      </c>
      <c r="AT29" t="str">
        <v>Authorized to Work</v>
      </c>
      <c r="AU29" t="str">
        <v>U.S. Passport</v>
      </c>
      <c r="AX29">
        <v>45432</v>
      </c>
      <c r="AY29" t="str">
        <v>BOF Onboarding Team</v>
      </c>
      <c r="AZ29" t="str">
        <v>Complete</v>
      </c>
      <c r="BB29" t="str">
        <v>Individual/Sole Proprietor</v>
      </c>
      <c r="BC29" t="str">
        <v>SSN</v>
      </c>
      <c r="BD29" t="str">
        <v>***-**-0119</v>
      </c>
      <c r="BF29">
        <v>45432</v>
      </c>
      <c r="BG29" t="str">
        <v>Received</v>
      </c>
      <c r="BH29" t="str">
        <v>Savings</v>
      </c>
      <c r="BI29" t="str">
        <v>Direct Deposit</v>
      </c>
      <c r="BJ29">
        <v>45432</v>
      </c>
      <c r="BK29" t="str">
        <v>Verified</v>
      </c>
      <c r="BL29">
        <v>45425</v>
      </c>
      <c r="BM29" t="str">
        <v>S. Howard</v>
      </c>
      <c r="BN29" t="str">
        <v>Day cab tractor</v>
      </c>
      <c r="BO29" t="str">
        <v>53 ft dry van</v>
      </c>
      <c r="BP29" t="str">
        <v>Cleveland, OH</v>
      </c>
      <c r="BQ29">
        <v>4</v>
      </c>
      <c r="BR29">
        <v>4</v>
      </c>
      <c r="BS29">
        <v>4</v>
      </c>
      <c r="BT29">
        <v>5</v>
      </c>
      <c r="BU29">
        <v>4</v>
      </c>
      <c r="BV29">
        <v>4</v>
      </c>
      <c r="BW29">
        <v>4</v>
      </c>
      <c r="BX29">
        <v>5</v>
      </c>
      <c r="BY29">
        <v>4</v>
      </c>
      <c r="BZ29" t="str">
        <v>Pass</v>
      </c>
      <c r="CA29" t="str">
        <v>Automatic transmission assigned</v>
      </c>
      <c r="CB29" t="str">
        <v>Passed</v>
      </c>
      <c r="CC29" t="str">
        <v>Enrolled</v>
      </c>
      <c r="CD29" t="str">
        <v>Query Completed</v>
      </c>
      <c r="CE29">
        <v>46037</v>
      </c>
      <c r="CF29">
        <v>46218</v>
      </c>
      <c r="CH29" t="str">
        <v>Compliant</v>
      </c>
      <c r="CJ29" t="str">
        <v>Priya</v>
      </c>
      <c r="CK29" t="str">
        <v>Patel</v>
      </c>
      <c r="CL29" t="str">
        <v>OH0000136</v>
      </c>
      <c r="CM29" t="str">
        <v>OH</v>
      </c>
      <c r="CN29" t="str">
        <v>CDL Holder</v>
      </c>
      <c r="CO29" t="str">
        <v>Priya Patel</v>
      </c>
      <c r="CP29">
        <v>45756</v>
      </c>
      <c r="CQ29">
        <v>46486</v>
      </c>
      <c r="CR29" t="str">
        <v>(614) 555-0111</v>
      </c>
      <c r="CS29" t="str">
        <v>Dr. Ramon Ortiz</v>
      </c>
      <c r="CT29">
        <v>45756</v>
      </c>
      <c r="CU29" t="str">
        <v>OH-ME-293591</v>
      </c>
      <c r="CV29" t="str">
        <v>ME100004</v>
      </c>
      <c r="CW29" t="str">
        <v>MD</v>
      </c>
      <c r="CX29" t="str">
        <v>OH</v>
      </c>
      <c r="CY29" t="str">
        <v>Federal Motor Carrier Safety Regulations</v>
      </c>
      <c r="DA29" t="str">
        <v>No</v>
      </c>
      <c r="DB29" t="str">
        <v>No</v>
      </c>
      <c r="DC29" t="str">
        <v>No</v>
      </c>
      <c r="DD29" t="str">
        <v>No</v>
      </c>
      <c r="DE29" t="str">
        <v>No</v>
      </c>
      <c r="DF29" t="str">
        <v>No</v>
      </c>
      <c r="DG29" t="str">
        <v>Jane Doe</v>
      </c>
      <c r="DH29" t="str">
        <v>Sister</v>
      </c>
      <c r="DI29" t="str">
        <v>555-555-5555</v>
      </c>
      <c r="DJ29" t="str">
        <v>No</v>
      </c>
      <c r="DK29" t="str">
        <v>No</v>
      </c>
      <c r="DL29" t="str">
        <v>No</v>
      </c>
      <c r="DM29" t="str">
        <v>No</v>
      </c>
      <c r="DN29" t="str">
        <v>Yes - Appendectomy (2005)</v>
      </c>
      <c r="DO29" t="str">
        <v>20/20</v>
      </c>
      <c r="DP29" t="str">
        <v>20/20</v>
      </c>
      <c r="DQ29" t="str">
        <v>Pass</v>
      </c>
      <c r="DR29" t="str">
        <v>118</v>
      </c>
      <c r="DS29" t="str">
        <v>78</v>
      </c>
      <c r="DT29" t="str">
        <v>72</v>
      </c>
      <c r="DU29" t="str">
        <v>Normal</v>
      </c>
      <c r="DV29">
        <v>45392</v>
      </c>
      <c r="DW29">
        <v>45394</v>
      </c>
      <c r="DX29" t="str">
        <v>Negative</v>
      </c>
      <c r="DY29">
        <v>45397</v>
      </c>
      <c r="DZ29" t="str">
        <v>BOF Fleet Safety &amp; Compliance Policy 2024</v>
      </c>
      <c r="EA29" t="str">
        <v>Complete</v>
      </c>
      <c r="EB29">
        <v>45413</v>
      </c>
    </row>
    <row r="30">
      <c r="A30" t="str">
        <v>DRV-005</v>
      </c>
      <c r="B30" t="str">
        <v>Kenji Tanaka</v>
      </c>
      <c r="C30" t="str">
        <v>150 Demo Street, Columbus, OH 43215</v>
      </c>
      <c r="D30" t="str">
        <v>871-555-0100</v>
      </c>
      <c r="E30" t="str">
        <v>***-**-0102</v>
      </c>
      <c r="F30" t="str">
        <v>Chase</v>
      </c>
      <c r="G30">
        <v>000000105</v>
      </c>
      <c r="H30">
        <v>999900206</v>
      </c>
      <c r="I30" t="str">
        <v>CDL Summary</v>
      </c>
      <c r="J30" t="str">
        <v>VALID</v>
      </c>
      <c r="K30" t="str">
        <v>OH0000084</v>
      </c>
      <c r="L30">
        <v>46577</v>
      </c>
      <c r="M30">
        <v>46496</v>
      </c>
      <c r="N30">
        <v>46478</v>
      </c>
      <c r="P30" t="str">
        <v>Black</v>
      </c>
      <c r="Q30" t="str">
        <v>Green</v>
      </c>
      <c r="R30" t="str">
        <v>5'-10"</v>
      </c>
      <c r="S30">
        <v>193</v>
      </c>
      <c r="T30" t="str">
        <v>M</v>
      </c>
      <c r="U30">
        <v>24108</v>
      </c>
      <c r="V30" t="str">
        <v>DRV-005.png</v>
      </c>
      <c r="W30" t="str">
        <v>Asian</v>
      </c>
      <c r="X30" t="str">
        <v>ktanaka@example.com</v>
      </c>
      <c r="Y30" t="str">
        <v>150 Demo Street</v>
      </c>
      <c r="Z30" t="str">
        <v>Columbus</v>
      </c>
      <c r="AA30" t="str">
        <v>OH</v>
      </c>
      <c r="AB30">
        <v>43215</v>
      </c>
      <c r="AC30" t="str">
        <v>OH</v>
      </c>
      <c r="AD30" t="str">
        <v>Class A</v>
      </c>
      <c r="AE30">
        <v>44755</v>
      </c>
      <c r="AF30" t="str">
        <v>T</v>
      </c>
      <c r="AG30" t="str">
        <v>Corrective lenses</v>
      </c>
      <c r="AH30">
        <v>45766</v>
      </c>
      <c r="AI30" t="str">
        <v>MC-0051018</v>
      </c>
      <c r="AJ30" t="str">
        <v>Dr. Helen Price</v>
      </c>
      <c r="AK30" t="str">
        <v>ME100005</v>
      </c>
      <c r="AL30" t="str">
        <v>Corrective lenses</v>
      </c>
      <c r="AM30" t="str">
        <v>Qualified</v>
      </c>
      <c r="AN30">
        <v>46448</v>
      </c>
      <c r="AO30">
        <v>1</v>
      </c>
      <c r="AP30">
        <v>0</v>
      </c>
      <c r="AQ30" t="str">
        <v>Corrective lenses</v>
      </c>
      <c r="AR30" t="str">
        <v>Clear</v>
      </c>
      <c r="AS30">
        <v>45509</v>
      </c>
      <c r="AT30" t="str">
        <v>Authorized to Work</v>
      </c>
      <c r="AU30" t="str">
        <v>U.S. Passport</v>
      </c>
      <c r="AX30">
        <v>45509</v>
      </c>
      <c r="AY30" t="str">
        <v>BOF Onboarding Team</v>
      </c>
      <c r="AZ30" t="str">
        <v>Complete</v>
      </c>
      <c r="BB30" t="str">
        <v>Individual/Sole Proprietor</v>
      </c>
      <c r="BC30" t="str">
        <v>SSN</v>
      </c>
      <c r="BD30" t="str">
        <v>***-**-0102</v>
      </c>
      <c r="BF30">
        <v>45509</v>
      </c>
      <c r="BG30" t="str">
        <v>Received</v>
      </c>
      <c r="BH30" t="str">
        <v>Checking</v>
      </c>
      <c r="BI30" t="str">
        <v>Direct Deposit</v>
      </c>
      <c r="BJ30">
        <v>45509</v>
      </c>
      <c r="BK30" t="str">
        <v>Verified</v>
      </c>
      <c r="BL30">
        <v>45502</v>
      </c>
      <c r="BM30" t="str">
        <v>T. Warren</v>
      </c>
      <c r="BN30" t="str">
        <v>Day cab tractor</v>
      </c>
      <c r="BO30" t="str">
        <v>53 ft dry van</v>
      </c>
      <c r="BP30" t="str">
        <v>Columbus, OH</v>
      </c>
      <c r="BQ30">
        <v>5</v>
      </c>
      <c r="BR30">
        <v>4</v>
      </c>
      <c r="BS30">
        <v>4</v>
      </c>
      <c r="BT30">
        <v>4</v>
      </c>
      <c r="BU30">
        <v>4</v>
      </c>
      <c r="BV30">
        <v>5</v>
      </c>
      <c r="BW30">
        <v>4</v>
      </c>
      <c r="BX30">
        <v>4</v>
      </c>
      <c r="BY30">
        <v>4</v>
      </c>
      <c r="BZ30" t="str">
        <v>Pass</v>
      </c>
      <c r="CA30" t="str">
        <v>Corrective lenses</v>
      </c>
      <c r="CB30" t="str">
        <v>Passed</v>
      </c>
      <c r="CC30" t="str">
        <v>Enrolled</v>
      </c>
      <c r="CD30" t="str">
        <v>Query Completed</v>
      </c>
      <c r="CE30">
        <v>46037</v>
      </c>
      <c r="CF30">
        <v>46218</v>
      </c>
      <c r="CH30" t="str">
        <v>Compliant</v>
      </c>
      <c r="CJ30" t="str">
        <v>Kenji</v>
      </c>
      <c r="CK30" t="str">
        <v>Tanaka</v>
      </c>
      <c r="CL30" t="str">
        <v>OH0000084</v>
      </c>
      <c r="CM30" t="str">
        <v>OH</v>
      </c>
      <c r="CN30" t="str">
        <v>CDL Holder</v>
      </c>
      <c r="CO30" t="str">
        <v>Kenji Tanaka</v>
      </c>
      <c r="CP30">
        <v>45766</v>
      </c>
      <c r="CQ30">
        <v>46496</v>
      </c>
      <c r="CR30" t="str">
        <v>(614) 555-0106</v>
      </c>
      <c r="CS30" t="str">
        <v>Dr. Helen Price</v>
      </c>
      <c r="CT30">
        <v>45766</v>
      </c>
      <c r="CU30" t="str">
        <v>OH-ME-401933</v>
      </c>
      <c r="CV30" t="str">
        <v>ME100005</v>
      </c>
      <c r="CW30" t="str">
        <v>Advanced Practice Nurse</v>
      </c>
      <c r="CX30" t="str">
        <v>OH</v>
      </c>
      <c r="CY30" t="str">
        <v>Federal Motor Carrier Safety Regulations</v>
      </c>
      <c r="DA30" t="str">
        <v>Yes</v>
      </c>
      <c r="DB30" t="str">
        <v>No</v>
      </c>
      <c r="DC30" t="str">
        <v>No</v>
      </c>
      <c r="DD30" t="str">
        <v>No</v>
      </c>
      <c r="DE30" t="str">
        <v>Yes</v>
      </c>
      <c r="DF30" t="str">
        <v>No</v>
      </c>
      <c r="DG30" t="str">
        <v>Jane Doe</v>
      </c>
      <c r="DH30" t="str">
        <v>Sister</v>
      </c>
      <c r="DI30" t="str">
        <v>555-555-5555</v>
      </c>
      <c r="DJ30" t="str">
        <v>No</v>
      </c>
      <c r="DK30" t="str">
        <v>No</v>
      </c>
      <c r="DL30" t="str">
        <v>No</v>
      </c>
      <c r="DM30" t="str">
        <v>No</v>
      </c>
      <c r="DN30" t="str">
        <v>Yes - Appendectomy (2005)</v>
      </c>
      <c r="DO30" t="str">
        <v>20/20</v>
      </c>
      <c r="DP30" t="str">
        <v>20/20</v>
      </c>
      <c r="DQ30" t="str">
        <v>Pass</v>
      </c>
      <c r="DR30" t="str">
        <v>118</v>
      </c>
      <c r="DS30" t="str">
        <v>78</v>
      </c>
      <c r="DT30" t="str">
        <v>72</v>
      </c>
      <c r="DU30" t="str">
        <v>Normal</v>
      </c>
      <c r="DV30">
        <v>45392</v>
      </c>
      <c r="DW30">
        <v>45394</v>
      </c>
      <c r="DX30" t="str">
        <v>Negative</v>
      </c>
      <c r="DY30">
        <v>45397</v>
      </c>
      <c r="DZ30" t="str">
        <v>BOF Fleet Safety &amp; Compliance Policy 2024</v>
      </c>
      <c r="EA30" t="str">
        <v>Complete</v>
      </c>
      <c r="EB30">
        <v>45413</v>
      </c>
    </row>
    <row r="31">
      <c r="A31" t="str">
        <v>DRV-005</v>
      </c>
      <c r="B31" t="str">
        <v>Kenji Tanaka</v>
      </c>
      <c r="C31" t="str">
        <v>150 Demo Street, Columbus, OH 43215</v>
      </c>
      <c r="D31" t="str">
        <v>871-555-0100</v>
      </c>
      <c r="E31" t="str">
        <v>***-**-0102</v>
      </c>
      <c r="F31" t="str">
        <v>Chase</v>
      </c>
      <c r="G31">
        <v>000000105</v>
      </c>
      <c r="H31">
        <v>999900206</v>
      </c>
      <c r="I31" t="str">
        <v>Medical Certification</v>
      </c>
      <c r="J31" t="str">
        <v>VALID</v>
      </c>
      <c r="K31" t="str">
        <v>OH0000093</v>
      </c>
      <c r="L31">
        <v>46577</v>
      </c>
      <c r="M31">
        <v>46496</v>
      </c>
      <c r="N31">
        <v>46478</v>
      </c>
      <c r="P31" t="str">
        <v>Black</v>
      </c>
      <c r="Q31" t="str">
        <v>Green</v>
      </c>
      <c r="R31" t="str">
        <v>5'-10"</v>
      </c>
      <c r="S31">
        <v>193</v>
      </c>
      <c r="T31" t="str">
        <v>M</v>
      </c>
      <c r="U31">
        <v>24108</v>
      </c>
      <c r="V31" t="str">
        <v>DRV-005.png</v>
      </c>
      <c r="W31" t="str">
        <v>Asian</v>
      </c>
      <c r="X31" t="str">
        <v>ktanaka@example.com</v>
      </c>
      <c r="Y31" t="str">
        <v>150 Demo Street</v>
      </c>
      <c r="Z31" t="str">
        <v>Columbus</v>
      </c>
      <c r="AA31" t="str">
        <v>OH</v>
      </c>
      <c r="AB31">
        <v>43215</v>
      </c>
      <c r="AC31" t="str">
        <v>OH</v>
      </c>
      <c r="AD31" t="str">
        <v>Class A</v>
      </c>
      <c r="AE31">
        <v>44755</v>
      </c>
      <c r="AF31" t="str">
        <v>T</v>
      </c>
      <c r="AG31" t="str">
        <v>Corrective lenses</v>
      </c>
      <c r="AH31">
        <v>45766</v>
      </c>
      <c r="AI31" t="str">
        <v>MC-0051018</v>
      </c>
      <c r="AJ31" t="str">
        <v>Dr. Helen Price</v>
      </c>
      <c r="AK31" t="str">
        <v>ME100005</v>
      </c>
      <c r="AL31" t="str">
        <v>Corrective lenses</v>
      </c>
      <c r="AM31" t="str">
        <v>Qualified</v>
      </c>
      <c r="AN31">
        <v>46448</v>
      </c>
      <c r="AO31">
        <v>1</v>
      </c>
      <c r="AP31">
        <v>0</v>
      </c>
      <c r="AQ31" t="str">
        <v>Corrective lenses</v>
      </c>
      <c r="AR31" t="str">
        <v>Clear</v>
      </c>
      <c r="AS31">
        <v>45509</v>
      </c>
      <c r="AT31" t="str">
        <v>Authorized to Work</v>
      </c>
      <c r="AU31" t="str">
        <v>U.S. Passport</v>
      </c>
      <c r="AX31">
        <v>45509</v>
      </c>
      <c r="AY31" t="str">
        <v>BOF Onboarding Team</v>
      </c>
      <c r="AZ31" t="str">
        <v>Complete</v>
      </c>
      <c r="BB31" t="str">
        <v>Individual/Sole Proprietor</v>
      </c>
      <c r="BC31" t="str">
        <v>SSN</v>
      </c>
      <c r="BD31" t="str">
        <v>***-**-0102</v>
      </c>
      <c r="BF31">
        <v>45509</v>
      </c>
      <c r="BG31" t="str">
        <v>Received</v>
      </c>
      <c r="BH31" t="str">
        <v>Checking</v>
      </c>
      <c r="BI31" t="str">
        <v>Direct Deposit</v>
      </c>
      <c r="BJ31">
        <v>45509</v>
      </c>
      <c r="BK31" t="str">
        <v>Verified</v>
      </c>
      <c r="BL31">
        <v>45502</v>
      </c>
      <c r="BM31" t="str">
        <v>T. Warren</v>
      </c>
      <c r="BN31" t="str">
        <v>Day cab tractor</v>
      </c>
      <c r="BO31" t="str">
        <v>53 ft dry van</v>
      </c>
      <c r="BP31" t="str">
        <v>Columbus, OH</v>
      </c>
      <c r="BQ31">
        <v>5</v>
      </c>
      <c r="BR31">
        <v>4</v>
      </c>
      <c r="BS31">
        <v>4</v>
      </c>
      <c r="BT31">
        <v>4</v>
      </c>
      <c r="BU31">
        <v>4</v>
      </c>
      <c r="BV31">
        <v>5</v>
      </c>
      <c r="BW31">
        <v>4</v>
      </c>
      <c r="BX31">
        <v>4</v>
      </c>
      <c r="BY31">
        <v>4</v>
      </c>
      <c r="BZ31" t="str">
        <v>Pass</v>
      </c>
      <c r="CA31" t="str">
        <v>Corrective lenses</v>
      </c>
      <c r="CB31" t="str">
        <v>Passed</v>
      </c>
      <c r="CC31" t="str">
        <v>Enrolled</v>
      </c>
      <c r="CD31" t="str">
        <v>Query Completed</v>
      </c>
      <c r="CE31">
        <v>46037</v>
      </c>
      <c r="CF31">
        <v>46218</v>
      </c>
      <c r="CH31" t="str">
        <v>Compliant</v>
      </c>
      <c r="CJ31" t="str">
        <v>Kenji</v>
      </c>
      <c r="CK31" t="str">
        <v>Tanaka</v>
      </c>
      <c r="CL31" t="str">
        <v>OH0000085</v>
      </c>
      <c r="CM31" t="str">
        <v>OH</v>
      </c>
      <c r="CN31" t="str">
        <v>CDL Holder</v>
      </c>
      <c r="CO31" t="str">
        <v>Kenji Tanaka</v>
      </c>
      <c r="CP31">
        <v>45766</v>
      </c>
      <c r="CQ31">
        <v>46496</v>
      </c>
      <c r="CR31" t="str">
        <v>(614) 555-0106</v>
      </c>
      <c r="CS31" t="str">
        <v>Dr. Helen Price</v>
      </c>
      <c r="CT31">
        <v>45766</v>
      </c>
      <c r="CU31" t="str">
        <v>OH-ME-401933</v>
      </c>
      <c r="CV31" t="str">
        <v>ME100005</v>
      </c>
      <c r="CW31" t="str">
        <v>Advanced Practice Nurse</v>
      </c>
      <c r="CX31" t="str">
        <v>OH</v>
      </c>
      <c r="CY31" t="str">
        <v>Federal Motor Carrier Safety Regulations</v>
      </c>
      <c r="DA31" t="str">
        <v>Yes</v>
      </c>
      <c r="DB31" t="str">
        <v>No</v>
      </c>
      <c r="DC31" t="str">
        <v>No</v>
      </c>
      <c r="DD31" t="str">
        <v>No</v>
      </c>
      <c r="DE31" t="str">
        <v>Yes</v>
      </c>
      <c r="DF31" t="str">
        <v>No</v>
      </c>
      <c r="DG31" t="str">
        <v>Jane Doe</v>
      </c>
      <c r="DH31" t="str">
        <v>Sister</v>
      </c>
      <c r="DI31" t="str">
        <v>555-555-5555</v>
      </c>
      <c r="DJ31" t="str">
        <v>No</v>
      </c>
      <c r="DK31" t="str">
        <v>No</v>
      </c>
      <c r="DL31" t="str">
        <v>No</v>
      </c>
      <c r="DM31" t="str">
        <v>No</v>
      </c>
      <c r="DN31" t="str">
        <v>Yes - Appendectomy (2005)</v>
      </c>
      <c r="DO31" t="str">
        <v>20/20</v>
      </c>
      <c r="DP31" t="str">
        <v>20/20</v>
      </c>
      <c r="DQ31" t="str">
        <v>Pass</v>
      </c>
      <c r="DR31" t="str">
        <v>118</v>
      </c>
      <c r="DS31" t="str">
        <v>78</v>
      </c>
      <c r="DT31" t="str">
        <v>72</v>
      </c>
      <c r="DU31" t="str">
        <v>Normal</v>
      </c>
      <c r="DV31">
        <v>45392</v>
      </c>
      <c r="DW31">
        <v>45394</v>
      </c>
      <c r="DX31" t="str">
        <v>Negative</v>
      </c>
      <c r="DY31">
        <v>45397</v>
      </c>
      <c r="DZ31" t="str">
        <v>BOF Fleet Safety &amp; Compliance Policy 2024</v>
      </c>
      <c r="EA31" t="str">
        <v>Complete</v>
      </c>
      <c r="EB31">
        <v>45413</v>
      </c>
    </row>
    <row r="32">
      <c r="A32" t="str">
        <v>DRV-005</v>
      </c>
      <c r="B32" t="str">
        <v>Kenji Tanaka</v>
      </c>
      <c r="C32" t="str">
        <v>150 Demo Street, Columbus, OH 43215</v>
      </c>
      <c r="D32" t="str">
        <v>871-555-0100</v>
      </c>
      <c r="E32" t="str">
        <v>***-**-0102</v>
      </c>
      <c r="F32" t="str">
        <v>Chase</v>
      </c>
      <c r="G32">
        <v>000000105</v>
      </c>
      <c r="H32">
        <v>999900206</v>
      </c>
      <c r="I32" t="str">
        <v>MVR Background Report</v>
      </c>
      <c r="J32" t="str">
        <v>VALID</v>
      </c>
      <c r="K32" t="str">
        <v>OH0000119</v>
      </c>
      <c r="L32">
        <v>46577</v>
      </c>
      <c r="M32">
        <v>46496</v>
      </c>
      <c r="N32">
        <v>46478</v>
      </c>
      <c r="P32" t="str">
        <v>Black</v>
      </c>
      <c r="Q32" t="str">
        <v>Green</v>
      </c>
      <c r="R32" t="str">
        <v>5'-10"</v>
      </c>
      <c r="S32">
        <v>193</v>
      </c>
      <c r="T32" t="str">
        <v>M</v>
      </c>
      <c r="U32">
        <v>24108</v>
      </c>
      <c r="V32" t="str">
        <v>DRV-005.png</v>
      </c>
      <c r="W32" t="str">
        <v>Asian</v>
      </c>
      <c r="X32" t="str">
        <v>ktanaka@example.com</v>
      </c>
      <c r="Y32" t="str">
        <v>150 Demo Street</v>
      </c>
      <c r="Z32" t="str">
        <v>Columbus</v>
      </c>
      <c r="AA32" t="str">
        <v>OH</v>
      </c>
      <c r="AB32">
        <v>43215</v>
      </c>
      <c r="AC32" t="str">
        <v>OH</v>
      </c>
      <c r="AD32" t="str">
        <v>Class A</v>
      </c>
      <c r="AE32">
        <v>44755</v>
      </c>
      <c r="AF32" t="str">
        <v>T</v>
      </c>
      <c r="AG32" t="str">
        <v>Corrective lenses</v>
      </c>
      <c r="AH32">
        <v>45766</v>
      </c>
      <c r="AI32" t="str">
        <v>MC-0051018</v>
      </c>
      <c r="AJ32" t="str">
        <v>Dr. Helen Price</v>
      </c>
      <c r="AK32" t="str">
        <v>ME100005</v>
      </c>
      <c r="AL32" t="str">
        <v>Corrective lenses</v>
      </c>
      <c r="AM32" t="str">
        <v>Qualified</v>
      </c>
      <c r="AN32">
        <v>46448</v>
      </c>
      <c r="AO32">
        <v>1</v>
      </c>
      <c r="AP32">
        <v>0</v>
      </c>
      <c r="AQ32" t="str">
        <v>Corrective lenses</v>
      </c>
      <c r="AR32" t="str">
        <v>Clear</v>
      </c>
      <c r="AS32">
        <v>45509</v>
      </c>
      <c r="AT32" t="str">
        <v>Authorized to Work</v>
      </c>
      <c r="AU32" t="str">
        <v>U.S. Passport</v>
      </c>
      <c r="AX32">
        <v>45509</v>
      </c>
      <c r="AY32" t="str">
        <v>BOF Onboarding Team</v>
      </c>
      <c r="AZ32" t="str">
        <v>Complete</v>
      </c>
      <c r="BB32" t="str">
        <v>Individual/Sole Proprietor</v>
      </c>
      <c r="BC32" t="str">
        <v>SSN</v>
      </c>
      <c r="BD32" t="str">
        <v>***-**-0102</v>
      </c>
      <c r="BF32">
        <v>45509</v>
      </c>
      <c r="BG32" t="str">
        <v>Received</v>
      </c>
      <c r="BH32" t="str">
        <v>Checking</v>
      </c>
      <c r="BI32" t="str">
        <v>Direct Deposit</v>
      </c>
      <c r="BJ32">
        <v>45509</v>
      </c>
      <c r="BK32" t="str">
        <v>Verified</v>
      </c>
      <c r="BL32">
        <v>45502</v>
      </c>
      <c r="BM32" t="str">
        <v>T. Warren</v>
      </c>
      <c r="BN32" t="str">
        <v>Day cab tractor</v>
      </c>
      <c r="BO32" t="str">
        <v>53 ft dry van</v>
      </c>
      <c r="BP32" t="str">
        <v>Columbus, OH</v>
      </c>
      <c r="BQ32">
        <v>5</v>
      </c>
      <c r="BR32">
        <v>4</v>
      </c>
      <c r="BS32">
        <v>4</v>
      </c>
      <c r="BT32">
        <v>4</v>
      </c>
      <c r="BU32">
        <v>4</v>
      </c>
      <c r="BV32">
        <v>5</v>
      </c>
      <c r="BW32">
        <v>4</v>
      </c>
      <c r="BX32">
        <v>4</v>
      </c>
      <c r="BY32">
        <v>4</v>
      </c>
      <c r="BZ32" t="str">
        <v>Pass</v>
      </c>
      <c r="CA32" t="str">
        <v>Corrective lenses</v>
      </c>
      <c r="CB32" t="str">
        <v>Passed</v>
      </c>
      <c r="CC32" t="str">
        <v>Enrolled</v>
      </c>
      <c r="CD32" t="str">
        <v>Query Completed</v>
      </c>
      <c r="CE32">
        <v>46037</v>
      </c>
      <c r="CF32">
        <v>46218</v>
      </c>
      <c r="CH32" t="str">
        <v>Compliant</v>
      </c>
      <c r="CJ32" t="str">
        <v>Kenji</v>
      </c>
      <c r="CK32" t="str">
        <v>Tanaka</v>
      </c>
      <c r="CL32" t="str">
        <v>OH0000086</v>
      </c>
      <c r="CM32" t="str">
        <v>OH</v>
      </c>
      <c r="CN32" t="str">
        <v>CDL Holder</v>
      </c>
      <c r="CO32" t="str">
        <v>Kenji Tanaka</v>
      </c>
      <c r="CP32">
        <v>45766</v>
      </c>
      <c r="CQ32">
        <v>46496</v>
      </c>
      <c r="CR32" t="str">
        <v>(614) 555-0106</v>
      </c>
      <c r="CS32" t="str">
        <v>Dr. Helen Price</v>
      </c>
      <c r="CT32">
        <v>45766</v>
      </c>
      <c r="CU32" t="str">
        <v>OH-ME-401933</v>
      </c>
      <c r="CV32" t="str">
        <v>ME100005</v>
      </c>
      <c r="CW32" t="str">
        <v>Advanced Practice Nurse</v>
      </c>
      <c r="CX32" t="str">
        <v>OH</v>
      </c>
      <c r="CY32" t="str">
        <v>Federal Motor Carrier Safety Regulations</v>
      </c>
      <c r="DA32" t="str">
        <v>Yes</v>
      </c>
      <c r="DB32" t="str">
        <v>No</v>
      </c>
      <c r="DC32" t="str">
        <v>No</v>
      </c>
      <c r="DD32" t="str">
        <v>No</v>
      </c>
      <c r="DE32" t="str">
        <v>Yes</v>
      </c>
      <c r="DF32" t="str">
        <v>No</v>
      </c>
      <c r="DG32" t="str">
        <v>Jane Doe</v>
      </c>
      <c r="DH32" t="str">
        <v>Sister</v>
      </c>
      <c r="DI32" t="str">
        <v>555-555-5555</v>
      </c>
      <c r="DJ32" t="str">
        <v>No</v>
      </c>
      <c r="DK32" t="str">
        <v>No</v>
      </c>
      <c r="DL32" t="str">
        <v>No</v>
      </c>
      <c r="DM32" t="str">
        <v>No</v>
      </c>
      <c r="DN32" t="str">
        <v>Yes - Appendectomy (2005)</v>
      </c>
      <c r="DO32" t="str">
        <v>20/20</v>
      </c>
      <c r="DP32" t="str">
        <v>20/20</v>
      </c>
      <c r="DQ32" t="str">
        <v>Pass</v>
      </c>
      <c r="DR32" t="str">
        <v>118</v>
      </c>
      <c r="DS32" t="str">
        <v>78</v>
      </c>
      <c r="DT32" t="str">
        <v>72</v>
      </c>
      <c r="DU32" t="str">
        <v>Normal</v>
      </c>
      <c r="DV32">
        <v>45392</v>
      </c>
      <c r="DW32">
        <v>45394</v>
      </c>
      <c r="DX32" t="str">
        <v>Negative</v>
      </c>
      <c r="DY32">
        <v>45397</v>
      </c>
      <c r="DZ32" t="str">
        <v>BOF Fleet Safety &amp; Compliance Policy 2024</v>
      </c>
      <c r="EA32" t="str">
        <v>Complete</v>
      </c>
      <c r="EB32">
        <v>45413</v>
      </c>
    </row>
    <row r="33">
      <c r="A33" t="str">
        <v>DRV-005</v>
      </c>
      <c r="B33" t="str">
        <v>Kenji Tanaka</v>
      </c>
      <c r="C33" t="str">
        <v>150 Demo Street, Columbus, OH 43215</v>
      </c>
      <c r="D33" t="str">
        <v>871-555-0100</v>
      </c>
      <c r="E33" t="str">
        <v>***-**-0102</v>
      </c>
      <c r="F33" t="str">
        <v>Chase</v>
      </c>
      <c r="G33">
        <v>000000105</v>
      </c>
      <c r="H33">
        <v>999900206</v>
      </c>
      <c r="I33" t="str">
        <v>Driver Application</v>
      </c>
      <c r="J33" t="str">
        <v>VALID</v>
      </c>
      <c r="K33" t="str">
        <v>OH0000102</v>
      </c>
      <c r="L33">
        <v>46577</v>
      </c>
      <c r="M33">
        <v>46496</v>
      </c>
      <c r="N33">
        <v>46478</v>
      </c>
      <c r="P33" t="str">
        <v>Black</v>
      </c>
      <c r="Q33" t="str">
        <v>Green</v>
      </c>
      <c r="R33" t="str">
        <v>5'-10"</v>
      </c>
      <c r="S33">
        <v>193</v>
      </c>
      <c r="T33" t="str">
        <v>M</v>
      </c>
      <c r="U33">
        <v>24108</v>
      </c>
      <c r="V33" t="str">
        <v>DRV-005.png</v>
      </c>
      <c r="W33" t="str">
        <v>Asian</v>
      </c>
      <c r="X33" t="str">
        <v>ktanaka@example.com</v>
      </c>
      <c r="Y33" t="str">
        <v>150 Demo Street</v>
      </c>
      <c r="Z33" t="str">
        <v>Columbus</v>
      </c>
      <c r="AA33" t="str">
        <v>OH</v>
      </c>
      <c r="AB33">
        <v>43215</v>
      </c>
      <c r="AC33" t="str">
        <v>OH</v>
      </c>
      <c r="AD33" t="str">
        <v>Class A</v>
      </c>
      <c r="AE33">
        <v>44755</v>
      </c>
      <c r="AF33" t="str">
        <v>T</v>
      </c>
      <c r="AG33" t="str">
        <v>Corrective lenses</v>
      </c>
      <c r="AH33">
        <v>45766</v>
      </c>
      <c r="AI33" t="str">
        <v>MC-0051018</v>
      </c>
      <c r="AJ33" t="str">
        <v>Dr. Helen Price</v>
      </c>
      <c r="AK33" t="str">
        <v>ME100005</v>
      </c>
      <c r="AL33" t="str">
        <v>Corrective lenses</v>
      </c>
      <c r="AM33" t="str">
        <v>Qualified</v>
      </c>
      <c r="AN33">
        <v>46448</v>
      </c>
      <c r="AO33">
        <v>1</v>
      </c>
      <c r="AP33">
        <v>0</v>
      </c>
      <c r="AQ33" t="str">
        <v>Corrective lenses</v>
      </c>
      <c r="AR33" t="str">
        <v>Clear</v>
      </c>
      <c r="AS33">
        <v>45509</v>
      </c>
      <c r="AT33" t="str">
        <v>Authorized to Work</v>
      </c>
      <c r="AU33" t="str">
        <v>U.S. Passport</v>
      </c>
      <c r="AX33">
        <v>45509</v>
      </c>
      <c r="AY33" t="str">
        <v>BOF Onboarding Team</v>
      </c>
      <c r="AZ33" t="str">
        <v>Complete</v>
      </c>
      <c r="BB33" t="str">
        <v>Individual/Sole Proprietor</v>
      </c>
      <c r="BC33" t="str">
        <v>SSN</v>
      </c>
      <c r="BD33" t="str">
        <v>***-**-0102</v>
      </c>
      <c r="BF33">
        <v>45509</v>
      </c>
      <c r="BG33" t="str">
        <v>Received</v>
      </c>
      <c r="BH33" t="str">
        <v>Checking</v>
      </c>
      <c r="BI33" t="str">
        <v>Direct Deposit</v>
      </c>
      <c r="BJ33">
        <v>45509</v>
      </c>
      <c r="BK33" t="str">
        <v>Verified</v>
      </c>
      <c r="BL33">
        <v>45502</v>
      </c>
      <c r="BM33" t="str">
        <v>T. Warren</v>
      </c>
      <c r="BN33" t="str">
        <v>Day cab tractor</v>
      </c>
      <c r="BO33" t="str">
        <v>53 ft dry van</v>
      </c>
      <c r="BP33" t="str">
        <v>Columbus, OH</v>
      </c>
      <c r="BQ33">
        <v>5</v>
      </c>
      <c r="BR33">
        <v>4</v>
      </c>
      <c r="BS33">
        <v>4</v>
      </c>
      <c r="BT33">
        <v>4</v>
      </c>
      <c r="BU33">
        <v>4</v>
      </c>
      <c r="BV33">
        <v>5</v>
      </c>
      <c r="BW33">
        <v>4</v>
      </c>
      <c r="BX33">
        <v>4</v>
      </c>
      <c r="BY33">
        <v>4</v>
      </c>
      <c r="BZ33" t="str">
        <v>Pass</v>
      </c>
      <c r="CA33" t="str">
        <v>Corrective lenses</v>
      </c>
      <c r="CB33" t="str">
        <v>Passed</v>
      </c>
      <c r="CC33" t="str">
        <v>Enrolled</v>
      </c>
      <c r="CD33" t="str">
        <v>Query Completed</v>
      </c>
      <c r="CE33">
        <v>46037</v>
      </c>
      <c r="CF33">
        <v>46218</v>
      </c>
      <c r="CH33" t="str">
        <v>Compliant</v>
      </c>
      <c r="CJ33" t="str">
        <v>Kenji</v>
      </c>
      <c r="CK33" t="str">
        <v>Tanaka</v>
      </c>
      <c r="CL33" t="str">
        <v>OH0000087</v>
      </c>
      <c r="CM33" t="str">
        <v>OH</v>
      </c>
      <c r="CN33" t="str">
        <v>CDL Holder</v>
      </c>
      <c r="CO33" t="str">
        <v>Kenji Tanaka</v>
      </c>
      <c r="CP33">
        <v>45766</v>
      </c>
      <c r="CQ33">
        <v>46496</v>
      </c>
      <c r="CR33" t="str">
        <v>(614) 555-0106</v>
      </c>
      <c r="CS33" t="str">
        <v>Dr. Helen Price</v>
      </c>
      <c r="CT33">
        <v>45766</v>
      </c>
      <c r="CU33" t="str">
        <v>OH-ME-401933</v>
      </c>
      <c r="CV33" t="str">
        <v>ME100005</v>
      </c>
      <c r="CW33" t="str">
        <v>Advanced Practice Nurse</v>
      </c>
      <c r="CX33" t="str">
        <v>OH</v>
      </c>
      <c r="CY33" t="str">
        <v>Federal Motor Carrier Safety Regulations</v>
      </c>
      <c r="DA33" t="str">
        <v>Yes</v>
      </c>
      <c r="DB33" t="str">
        <v>No</v>
      </c>
      <c r="DC33" t="str">
        <v>No</v>
      </c>
      <c r="DD33" t="str">
        <v>No</v>
      </c>
      <c r="DE33" t="str">
        <v>Yes</v>
      </c>
      <c r="DF33" t="str">
        <v>No</v>
      </c>
      <c r="DG33" t="str">
        <v>Jane Doe</v>
      </c>
      <c r="DH33" t="str">
        <v>Sister</v>
      </c>
      <c r="DI33" t="str">
        <v>555-555-5555</v>
      </c>
      <c r="DJ33" t="str">
        <v>No</v>
      </c>
      <c r="DK33" t="str">
        <v>No</v>
      </c>
      <c r="DL33" t="str">
        <v>No</v>
      </c>
      <c r="DM33" t="str">
        <v>No</v>
      </c>
      <c r="DN33" t="str">
        <v>Yes - Appendectomy (2005)</v>
      </c>
      <c r="DO33" t="str">
        <v>20/20</v>
      </c>
      <c r="DP33" t="str">
        <v>20/20</v>
      </c>
      <c r="DQ33" t="str">
        <v>Pass</v>
      </c>
      <c r="DR33" t="str">
        <v>118</v>
      </c>
      <c r="DS33" t="str">
        <v>78</v>
      </c>
      <c r="DT33" t="str">
        <v>72</v>
      </c>
      <c r="DU33" t="str">
        <v>Normal</v>
      </c>
      <c r="DV33">
        <v>45392</v>
      </c>
      <c r="DW33">
        <v>45394</v>
      </c>
      <c r="DX33" t="str">
        <v>Negative</v>
      </c>
      <c r="DY33">
        <v>45397</v>
      </c>
      <c r="DZ33" t="str">
        <v>BOF Fleet Safety &amp; Compliance Policy 2024</v>
      </c>
      <c r="EA33" t="str">
        <v>Complete</v>
      </c>
      <c r="EB33">
        <v>45413</v>
      </c>
    </row>
    <row r="34">
      <c r="A34" t="str">
        <v>DRV-005</v>
      </c>
      <c r="B34" t="str">
        <v>Kenji Tanaka</v>
      </c>
      <c r="C34" t="str">
        <v>150 Demo Street, Columbus, OH 43215</v>
      </c>
      <c r="D34" t="str">
        <v>871-555-0100</v>
      </c>
      <c r="E34" t="str">
        <v>***-**-0102</v>
      </c>
      <c r="F34" t="str">
        <v>Chase</v>
      </c>
      <c r="G34">
        <v>000000105</v>
      </c>
      <c r="H34">
        <v>999900206</v>
      </c>
      <c r="I34" t="str">
        <v>Road Test Certificate</v>
      </c>
      <c r="J34" t="str">
        <v>VALID</v>
      </c>
      <c r="K34" t="str">
        <v>OH0000125</v>
      </c>
      <c r="L34">
        <v>46577</v>
      </c>
      <c r="M34">
        <v>46496</v>
      </c>
      <c r="N34">
        <v>46478</v>
      </c>
      <c r="P34" t="str">
        <v>Black</v>
      </c>
      <c r="Q34" t="str">
        <v>Green</v>
      </c>
      <c r="R34" t="str">
        <v>5'-10"</v>
      </c>
      <c r="S34">
        <v>193</v>
      </c>
      <c r="T34" t="str">
        <v>M</v>
      </c>
      <c r="U34">
        <v>24108</v>
      </c>
      <c r="V34" t="str">
        <v>DRV-005.png</v>
      </c>
      <c r="W34" t="str">
        <v>Asian</v>
      </c>
      <c r="X34" t="str">
        <v>ktanaka@example.com</v>
      </c>
      <c r="Y34" t="str">
        <v>150 Demo Street</v>
      </c>
      <c r="Z34" t="str">
        <v>Columbus</v>
      </c>
      <c r="AA34" t="str">
        <v>OH</v>
      </c>
      <c r="AB34">
        <v>43215</v>
      </c>
      <c r="AC34" t="str">
        <v>OH</v>
      </c>
      <c r="AD34" t="str">
        <v>Class A</v>
      </c>
      <c r="AE34">
        <v>44755</v>
      </c>
      <c r="AF34" t="str">
        <v>T</v>
      </c>
      <c r="AG34" t="str">
        <v>Corrective lenses</v>
      </c>
      <c r="AH34">
        <v>45766</v>
      </c>
      <c r="AI34" t="str">
        <v>MC-0051018</v>
      </c>
      <c r="AJ34" t="str">
        <v>Dr. Helen Price</v>
      </c>
      <c r="AK34" t="str">
        <v>ME100005</v>
      </c>
      <c r="AL34" t="str">
        <v>Corrective lenses</v>
      </c>
      <c r="AM34" t="str">
        <v>Qualified</v>
      </c>
      <c r="AN34">
        <v>46448</v>
      </c>
      <c r="AO34">
        <v>1</v>
      </c>
      <c r="AP34">
        <v>0</v>
      </c>
      <c r="AQ34" t="str">
        <v>Corrective lenses</v>
      </c>
      <c r="AR34" t="str">
        <v>Clear</v>
      </c>
      <c r="AS34">
        <v>45509</v>
      </c>
      <c r="AT34" t="str">
        <v>Authorized to Work</v>
      </c>
      <c r="AU34" t="str">
        <v>U.S. Passport</v>
      </c>
      <c r="AX34">
        <v>45509</v>
      </c>
      <c r="AY34" t="str">
        <v>BOF Onboarding Team</v>
      </c>
      <c r="AZ34" t="str">
        <v>Complete</v>
      </c>
      <c r="BB34" t="str">
        <v>Individual/Sole Proprietor</v>
      </c>
      <c r="BC34" t="str">
        <v>SSN</v>
      </c>
      <c r="BD34" t="str">
        <v>***-**-0102</v>
      </c>
      <c r="BF34">
        <v>45509</v>
      </c>
      <c r="BG34" t="str">
        <v>Received</v>
      </c>
      <c r="BH34" t="str">
        <v>Checking</v>
      </c>
      <c r="BI34" t="str">
        <v>Direct Deposit</v>
      </c>
      <c r="BJ34">
        <v>45509</v>
      </c>
      <c r="BK34" t="str">
        <v>Verified</v>
      </c>
      <c r="BL34">
        <v>45502</v>
      </c>
      <c r="BM34" t="str">
        <v>T. Warren</v>
      </c>
      <c r="BN34" t="str">
        <v>Day cab tractor</v>
      </c>
      <c r="BO34" t="str">
        <v>53 ft dry van</v>
      </c>
      <c r="BP34" t="str">
        <v>Columbus, OH</v>
      </c>
      <c r="BQ34">
        <v>5</v>
      </c>
      <c r="BR34">
        <v>4</v>
      </c>
      <c r="BS34">
        <v>4</v>
      </c>
      <c r="BT34">
        <v>4</v>
      </c>
      <c r="BU34">
        <v>4</v>
      </c>
      <c r="BV34">
        <v>5</v>
      </c>
      <c r="BW34">
        <v>4</v>
      </c>
      <c r="BX34">
        <v>4</v>
      </c>
      <c r="BY34">
        <v>4</v>
      </c>
      <c r="BZ34" t="str">
        <v>Pass</v>
      </c>
      <c r="CA34" t="str">
        <v>Corrective lenses</v>
      </c>
      <c r="CB34" t="str">
        <v>Passed</v>
      </c>
      <c r="CC34" t="str">
        <v>Enrolled</v>
      </c>
      <c r="CD34" t="str">
        <v>Query Completed</v>
      </c>
      <c r="CE34">
        <v>46037</v>
      </c>
      <c r="CF34">
        <v>46218</v>
      </c>
      <c r="CH34" t="str">
        <v>Compliant</v>
      </c>
      <c r="CJ34" t="str">
        <v>Kenji</v>
      </c>
      <c r="CK34" t="str">
        <v>Tanaka</v>
      </c>
      <c r="CL34" t="str">
        <v>OH0000088</v>
      </c>
      <c r="CM34" t="str">
        <v>OH</v>
      </c>
      <c r="CN34" t="str">
        <v>CDL Holder</v>
      </c>
      <c r="CO34" t="str">
        <v>Kenji Tanaka</v>
      </c>
      <c r="CP34">
        <v>45766</v>
      </c>
      <c r="CQ34">
        <v>46496</v>
      </c>
      <c r="CR34" t="str">
        <v>(614) 555-0106</v>
      </c>
      <c r="CS34" t="str">
        <v>Dr. Helen Price</v>
      </c>
      <c r="CT34">
        <v>45766</v>
      </c>
      <c r="CU34" t="str">
        <v>OH-ME-401933</v>
      </c>
      <c r="CV34" t="str">
        <v>ME100005</v>
      </c>
      <c r="CW34" t="str">
        <v>Advanced Practice Nurse</v>
      </c>
      <c r="CX34" t="str">
        <v>OH</v>
      </c>
      <c r="CY34" t="str">
        <v>Federal Motor Carrier Safety Regulations</v>
      </c>
      <c r="DA34" t="str">
        <v>Yes</v>
      </c>
      <c r="DB34" t="str">
        <v>No</v>
      </c>
      <c r="DC34" t="str">
        <v>No</v>
      </c>
      <c r="DD34" t="str">
        <v>No</v>
      </c>
      <c r="DE34" t="str">
        <v>Yes</v>
      </c>
      <c r="DF34" t="str">
        <v>No</v>
      </c>
      <c r="DG34" t="str">
        <v>Jane Doe</v>
      </c>
      <c r="DH34" t="str">
        <v>Sister</v>
      </c>
      <c r="DI34" t="str">
        <v>555-555-5555</v>
      </c>
      <c r="DJ34" t="str">
        <v>No</v>
      </c>
      <c r="DK34" t="str">
        <v>No</v>
      </c>
      <c r="DL34" t="str">
        <v>No</v>
      </c>
      <c r="DM34" t="str">
        <v>No</v>
      </c>
      <c r="DN34" t="str">
        <v>Yes - Appendectomy (2005)</v>
      </c>
      <c r="DO34" t="str">
        <v>20/20</v>
      </c>
      <c r="DP34" t="str">
        <v>20/20</v>
      </c>
      <c r="DQ34" t="str">
        <v>Pass</v>
      </c>
      <c r="DR34" t="str">
        <v>118</v>
      </c>
      <c r="DS34" t="str">
        <v>78</v>
      </c>
      <c r="DT34" t="str">
        <v>72</v>
      </c>
      <c r="DU34" t="str">
        <v>Normal</v>
      </c>
      <c r="DV34">
        <v>45392</v>
      </c>
      <c r="DW34">
        <v>45394</v>
      </c>
      <c r="DX34" t="str">
        <v>Negative</v>
      </c>
      <c r="DY34">
        <v>45397</v>
      </c>
      <c r="DZ34" t="str">
        <v>BOF Fleet Safety &amp; Compliance Policy 2024</v>
      </c>
      <c r="EA34" t="str">
        <v>Complete</v>
      </c>
      <c r="EB34">
        <v>45413</v>
      </c>
    </row>
    <row r="35">
      <c r="A35" t="str">
        <v>DRV-005</v>
      </c>
      <c r="B35" t="str">
        <v>Kenji Tanaka</v>
      </c>
      <c r="C35" t="str">
        <v>150 Demo Street, Columbus, OH 43215</v>
      </c>
      <c r="D35" t="str">
        <v>871-555-0100</v>
      </c>
      <c r="E35" t="str">
        <v>***-**-0102</v>
      </c>
      <c r="F35" t="str">
        <v>Chase</v>
      </c>
      <c r="G35">
        <v>000000105</v>
      </c>
      <c r="H35">
        <v>999900206</v>
      </c>
      <c r="I35" t="str">
        <v>Incident/Accident Report</v>
      </c>
      <c r="J35" t="str">
        <v>VALID</v>
      </c>
      <c r="K35" t="str">
        <v>OH0000082</v>
      </c>
      <c r="L35">
        <v>46577</v>
      </c>
      <c r="M35">
        <v>46496</v>
      </c>
      <c r="N35">
        <v>46478</v>
      </c>
      <c r="O35" t="str">
        <v>No major incidents recorded in last 90 days.</v>
      </c>
      <c r="P35" t="str">
        <v>Black</v>
      </c>
      <c r="Q35" t="str">
        <v>Green</v>
      </c>
      <c r="R35" t="str">
        <v>5'-10"</v>
      </c>
      <c r="S35">
        <v>193</v>
      </c>
      <c r="T35" t="str">
        <v>M</v>
      </c>
      <c r="U35">
        <v>24108</v>
      </c>
      <c r="V35" t="str">
        <v>DRV-005.png</v>
      </c>
      <c r="W35" t="str">
        <v>Asian</v>
      </c>
      <c r="X35" t="str">
        <v>ktanaka@example.com</v>
      </c>
      <c r="Y35" t="str">
        <v>150 Demo Street</v>
      </c>
      <c r="Z35" t="str">
        <v>Columbus</v>
      </c>
      <c r="AA35" t="str">
        <v>OH</v>
      </c>
      <c r="AB35">
        <v>43215</v>
      </c>
      <c r="AC35" t="str">
        <v>OH</v>
      </c>
      <c r="AD35" t="str">
        <v>Class A</v>
      </c>
      <c r="AE35">
        <v>44755</v>
      </c>
      <c r="AF35" t="str">
        <v>T</v>
      </c>
      <c r="AG35" t="str">
        <v>Corrective lenses</v>
      </c>
      <c r="AH35">
        <v>45766</v>
      </c>
      <c r="AI35" t="str">
        <v>MC-0051018</v>
      </c>
      <c r="AJ35" t="str">
        <v>Dr. Helen Price</v>
      </c>
      <c r="AK35" t="str">
        <v>ME100005</v>
      </c>
      <c r="AL35" t="str">
        <v>Corrective lenses</v>
      </c>
      <c r="AM35" t="str">
        <v>Qualified</v>
      </c>
      <c r="AN35">
        <v>46448</v>
      </c>
      <c r="AO35">
        <v>1</v>
      </c>
      <c r="AP35">
        <v>0</v>
      </c>
      <c r="AQ35" t="str">
        <v>Corrective lenses</v>
      </c>
      <c r="AR35" t="str">
        <v>Clear</v>
      </c>
      <c r="AS35">
        <v>45509</v>
      </c>
      <c r="AT35" t="str">
        <v>Authorized to Work</v>
      </c>
      <c r="AU35" t="str">
        <v>U.S. Passport</v>
      </c>
      <c r="AX35">
        <v>45509</v>
      </c>
      <c r="AY35" t="str">
        <v>BOF Onboarding Team</v>
      </c>
      <c r="AZ35" t="str">
        <v>Complete</v>
      </c>
      <c r="BB35" t="str">
        <v>Individual/Sole Proprietor</v>
      </c>
      <c r="BC35" t="str">
        <v>SSN</v>
      </c>
      <c r="BD35" t="str">
        <v>***-**-0102</v>
      </c>
      <c r="BF35">
        <v>45509</v>
      </c>
      <c r="BG35" t="str">
        <v>Received</v>
      </c>
      <c r="BH35" t="str">
        <v>Checking</v>
      </c>
      <c r="BI35" t="str">
        <v>Direct Deposit</v>
      </c>
      <c r="BJ35">
        <v>45509</v>
      </c>
      <c r="BK35" t="str">
        <v>Verified</v>
      </c>
      <c r="BL35">
        <v>45502</v>
      </c>
      <c r="BM35" t="str">
        <v>T. Warren</v>
      </c>
      <c r="BN35" t="str">
        <v>Day cab tractor</v>
      </c>
      <c r="BO35" t="str">
        <v>53 ft dry van</v>
      </c>
      <c r="BP35" t="str">
        <v>Columbus, OH</v>
      </c>
      <c r="BQ35">
        <v>5</v>
      </c>
      <c r="BR35">
        <v>4</v>
      </c>
      <c r="BS35">
        <v>4</v>
      </c>
      <c r="BT35">
        <v>4</v>
      </c>
      <c r="BU35">
        <v>4</v>
      </c>
      <c r="BV35">
        <v>5</v>
      </c>
      <c r="BW35">
        <v>4</v>
      </c>
      <c r="BX35">
        <v>4</v>
      </c>
      <c r="BY35">
        <v>4</v>
      </c>
      <c r="BZ35" t="str">
        <v>Pass</v>
      </c>
      <c r="CA35" t="str">
        <v>Corrective lenses</v>
      </c>
      <c r="CB35" t="str">
        <v>Passed</v>
      </c>
      <c r="CC35" t="str">
        <v>Enrolled</v>
      </c>
      <c r="CD35" t="str">
        <v>Query Completed</v>
      </c>
      <c r="CE35">
        <v>46037</v>
      </c>
      <c r="CF35">
        <v>46218</v>
      </c>
      <c r="CH35" t="str">
        <v>Compliant</v>
      </c>
      <c r="CJ35" t="str">
        <v>Kenji</v>
      </c>
      <c r="CK35" t="str">
        <v>Tanaka</v>
      </c>
      <c r="CL35" t="str">
        <v>OH0000089</v>
      </c>
      <c r="CM35" t="str">
        <v>OH</v>
      </c>
      <c r="CN35" t="str">
        <v>CDL Holder</v>
      </c>
      <c r="CO35" t="str">
        <v>Kenji Tanaka</v>
      </c>
      <c r="CP35">
        <v>45766</v>
      </c>
      <c r="CQ35">
        <v>46496</v>
      </c>
      <c r="CR35" t="str">
        <v>(614) 555-0106</v>
      </c>
      <c r="CS35" t="str">
        <v>Dr. Helen Price</v>
      </c>
      <c r="CT35">
        <v>45766</v>
      </c>
      <c r="CU35" t="str">
        <v>OH-ME-401933</v>
      </c>
      <c r="CV35" t="str">
        <v>ME100005</v>
      </c>
      <c r="CW35" t="str">
        <v>Advanced Practice Nurse</v>
      </c>
      <c r="CX35" t="str">
        <v>OH</v>
      </c>
      <c r="CY35" t="str">
        <v>Federal Motor Carrier Safety Regulations</v>
      </c>
      <c r="DA35" t="str">
        <v>Yes</v>
      </c>
      <c r="DB35" t="str">
        <v>No</v>
      </c>
      <c r="DC35" t="str">
        <v>No</v>
      </c>
      <c r="DD35" t="str">
        <v>No</v>
      </c>
      <c r="DE35" t="str">
        <v>Yes</v>
      </c>
      <c r="DF35" t="str">
        <v>No</v>
      </c>
      <c r="DG35" t="str">
        <v>Jane Doe</v>
      </c>
      <c r="DH35" t="str">
        <v>Sister</v>
      </c>
      <c r="DI35" t="str">
        <v>555-555-5555</v>
      </c>
      <c r="DJ35" t="str">
        <v>No</v>
      </c>
      <c r="DK35" t="str">
        <v>No</v>
      </c>
      <c r="DL35" t="str">
        <v>No</v>
      </c>
      <c r="DM35" t="str">
        <v>No</v>
      </c>
      <c r="DN35" t="str">
        <v>Yes - Appendectomy (2005)</v>
      </c>
      <c r="DO35" t="str">
        <v>20/20</v>
      </c>
      <c r="DP35" t="str">
        <v>20/20</v>
      </c>
      <c r="DQ35" t="str">
        <v>Pass</v>
      </c>
      <c r="DR35" t="str">
        <v>118</v>
      </c>
      <c r="DS35" t="str">
        <v>78</v>
      </c>
      <c r="DT35" t="str">
        <v>72</v>
      </c>
      <c r="DU35" t="str">
        <v>Normal</v>
      </c>
      <c r="DV35">
        <v>45392</v>
      </c>
      <c r="DW35">
        <v>45394</v>
      </c>
      <c r="DX35" t="str">
        <v>Negative</v>
      </c>
      <c r="DY35">
        <v>45397</v>
      </c>
      <c r="DZ35" t="str">
        <v>BOF Fleet Safety &amp; Compliance Policy 2024</v>
      </c>
      <c r="EA35" t="str">
        <v>Complete</v>
      </c>
      <c r="EB35">
        <v>45413</v>
      </c>
    </row>
    <row r="36">
      <c r="A36" t="str">
        <v>DRV-005</v>
      </c>
      <c r="B36" t="str">
        <v>Kenji Tanaka</v>
      </c>
      <c r="C36" t="str">
        <v>150 Demo Street, Columbus, OH 43215</v>
      </c>
      <c r="D36" t="str">
        <v>871-555-0100</v>
      </c>
      <c r="E36" t="str">
        <v>***-**-0102</v>
      </c>
      <c r="F36" t="str">
        <v>Chase</v>
      </c>
      <c r="G36">
        <v>000000105</v>
      </c>
      <c r="H36">
        <v>999900206</v>
      </c>
      <c r="I36" t="str">
        <v>Direct Deposit Form</v>
      </c>
      <c r="J36" t="str">
        <v>VALID</v>
      </c>
      <c r="K36" t="str">
        <v>OH0000126</v>
      </c>
      <c r="L36">
        <v>46577</v>
      </c>
      <c r="M36">
        <v>46496</v>
      </c>
      <c r="N36">
        <v>46478</v>
      </c>
      <c r="P36" t="str">
        <v>Black</v>
      </c>
      <c r="Q36" t="str">
        <v>Green</v>
      </c>
      <c r="R36" t="str">
        <v>5'-10"</v>
      </c>
      <c r="S36">
        <v>193</v>
      </c>
      <c r="T36" t="str">
        <v>M</v>
      </c>
      <c r="U36">
        <v>24108</v>
      </c>
      <c r="V36" t="str">
        <v>DRV-005.png</v>
      </c>
      <c r="W36" t="str">
        <v>Asian</v>
      </c>
      <c r="X36" t="str">
        <v>ktanaka@example.com</v>
      </c>
      <c r="Y36" t="str">
        <v>150 Demo Street</v>
      </c>
      <c r="Z36" t="str">
        <v>Columbus</v>
      </c>
      <c r="AA36" t="str">
        <v>OH</v>
      </c>
      <c r="AB36">
        <v>43215</v>
      </c>
      <c r="AC36" t="str">
        <v>OH</v>
      </c>
      <c r="AD36" t="str">
        <v>Class A</v>
      </c>
      <c r="AE36">
        <v>44755</v>
      </c>
      <c r="AF36" t="str">
        <v>T</v>
      </c>
      <c r="AG36" t="str">
        <v>Corrective lenses</v>
      </c>
      <c r="AH36">
        <v>45766</v>
      </c>
      <c r="AI36" t="str">
        <v>MC-0051018</v>
      </c>
      <c r="AJ36" t="str">
        <v>Dr. Helen Price</v>
      </c>
      <c r="AK36" t="str">
        <v>ME100005</v>
      </c>
      <c r="AL36" t="str">
        <v>Corrective lenses</v>
      </c>
      <c r="AM36" t="str">
        <v>Qualified</v>
      </c>
      <c r="AN36">
        <v>46448</v>
      </c>
      <c r="AO36">
        <v>1</v>
      </c>
      <c r="AP36">
        <v>0</v>
      </c>
      <c r="AQ36" t="str">
        <v>Corrective lenses</v>
      </c>
      <c r="AR36" t="str">
        <v>Clear</v>
      </c>
      <c r="AS36">
        <v>45509</v>
      </c>
      <c r="AT36" t="str">
        <v>Authorized to Work</v>
      </c>
      <c r="AU36" t="str">
        <v>U.S. Passport</v>
      </c>
      <c r="AX36">
        <v>45509</v>
      </c>
      <c r="AY36" t="str">
        <v>BOF Onboarding Team</v>
      </c>
      <c r="AZ36" t="str">
        <v>Complete</v>
      </c>
      <c r="BB36" t="str">
        <v>Individual/Sole Proprietor</v>
      </c>
      <c r="BC36" t="str">
        <v>SSN</v>
      </c>
      <c r="BD36" t="str">
        <v>***-**-0102</v>
      </c>
      <c r="BF36">
        <v>45509</v>
      </c>
      <c r="BG36" t="str">
        <v>Received</v>
      </c>
      <c r="BH36" t="str">
        <v>Checking</v>
      </c>
      <c r="BI36" t="str">
        <v>Direct Deposit</v>
      </c>
      <c r="BJ36">
        <v>45509</v>
      </c>
      <c r="BK36" t="str">
        <v>Verified</v>
      </c>
      <c r="BL36">
        <v>45502</v>
      </c>
      <c r="BM36" t="str">
        <v>T. Warren</v>
      </c>
      <c r="BN36" t="str">
        <v>Day cab tractor</v>
      </c>
      <c r="BO36" t="str">
        <v>53 ft dry van</v>
      </c>
      <c r="BP36" t="str">
        <v>Columbus, OH</v>
      </c>
      <c r="BQ36">
        <v>5</v>
      </c>
      <c r="BR36">
        <v>4</v>
      </c>
      <c r="BS36">
        <v>4</v>
      </c>
      <c r="BT36">
        <v>4</v>
      </c>
      <c r="BU36">
        <v>4</v>
      </c>
      <c r="BV36">
        <v>5</v>
      </c>
      <c r="BW36">
        <v>4</v>
      </c>
      <c r="BX36">
        <v>4</v>
      </c>
      <c r="BY36">
        <v>4</v>
      </c>
      <c r="BZ36" t="str">
        <v>Pass</v>
      </c>
      <c r="CA36" t="str">
        <v>Corrective lenses</v>
      </c>
      <c r="CB36" t="str">
        <v>Passed</v>
      </c>
      <c r="CC36" t="str">
        <v>Enrolled</v>
      </c>
      <c r="CD36" t="str">
        <v>Query Completed</v>
      </c>
      <c r="CE36">
        <v>46037</v>
      </c>
      <c r="CF36">
        <v>46218</v>
      </c>
      <c r="CH36" t="str">
        <v>Compliant</v>
      </c>
      <c r="CJ36" t="str">
        <v>Kenji</v>
      </c>
      <c r="CK36" t="str">
        <v>Tanaka</v>
      </c>
      <c r="CL36" t="str">
        <v>OH0000090</v>
      </c>
      <c r="CM36" t="str">
        <v>OH</v>
      </c>
      <c r="CN36" t="str">
        <v>CDL Holder</v>
      </c>
      <c r="CO36" t="str">
        <v>Kenji Tanaka</v>
      </c>
      <c r="CP36">
        <v>45766</v>
      </c>
      <c r="CQ36">
        <v>46496</v>
      </c>
      <c r="CR36" t="str">
        <v>(614) 555-0106</v>
      </c>
      <c r="CS36" t="str">
        <v>Dr. Helen Price</v>
      </c>
      <c r="CT36">
        <v>45766</v>
      </c>
      <c r="CU36" t="str">
        <v>OH-ME-401933</v>
      </c>
      <c r="CV36" t="str">
        <v>ME100005</v>
      </c>
      <c r="CW36" t="str">
        <v>Advanced Practice Nurse</v>
      </c>
      <c r="CX36" t="str">
        <v>OH</v>
      </c>
      <c r="CY36" t="str">
        <v>Federal Motor Carrier Safety Regulations</v>
      </c>
      <c r="DA36" t="str">
        <v>Yes</v>
      </c>
      <c r="DB36" t="str">
        <v>No</v>
      </c>
      <c r="DC36" t="str">
        <v>No</v>
      </c>
      <c r="DD36" t="str">
        <v>No</v>
      </c>
      <c r="DE36" t="str">
        <v>Yes</v>
      </c>
      <c r="DF36" t="str">
        <v>No</v>
      </c>
      <c r="DG36" t="str">
        <v>Jane Doe</v>
      </c>
      <c r="DH36" t="str">
        <v>Sister</v>
      </c>
      <c r="DI36" t="str">
        <v>555-555-5555</v>
      </c>
      <c r="DJ36" t="str">
        <v>No</v>
      </c>
      <c r="DK36" t="str">
        <v>No</v>
      </c>
      <c r="DL36" t="str">
        <v>No</v>
      </c>
      <c r="DM36" t="str">
        <v>No</v>
      </c>
      <c r="DN36" t="str">
        <v>Yes - Appendectomy (2005)</v>
      </c>
      <c r="DO36" t="str">
        <v>20/20</v>
      </c>
      <c r="DP36" t="str">
        <v>20/20</v>
      </c>
      <c r="DQ36" t="str">
        <v>Pass</v>
      </c>
      <c r="DR36" t="str">
        <v>118</v>
      </c>
      <c r="DS36" t="str">
        <v>78</v>
      </c>
      <c r="DT36" t="str">
        <v>72</v>
      </c>
      <c r="DU36" t="str">
        <v>Normal</v>
      </c>
      <c r="DV36">
        <v>45392</v>
      </c>
      <c r="DW36">
        <v>45394</v>
      </c>
      <c r="DX36" t="str">
        <v>Negative</v>
      </c>
      <c r="DY36">
        <v>45397</v>
      </c>
      <c r="DZ36" t="str">
        <v>BOF Fleet Safety &amp; Compliance Policy 2024</v>
      </c>
      <c r="EA36" t="str">
        <v>Complete</v>
      </c>
      <c r="EB36">
        <v>45413</v>
      </c>
    </row>
    <row r="37">
      <c r="A37" t="str">
        <v>DRV-006</v>
      </c>
      <c r="B37" t="str">
        <v>Marcus Chen</v>
      </c>
      <c r="C37" t="str">
        <v>810 Demo Street, Dallas, TX 75202</v>
      </c>
      <c r="D37" t="str">
        <v>283-555-0100</v>
      </c>
      <c r="E37" t="str">
        <v>***-**-0101</v>
      </c>
      <c r="F37" t="str">
        <v>Chase</v>
      </c>
      <c r="G37">
        <v>000000112</v>
      </c>
      <c r="H37">
        <v>999900207</v>
      </c>
      <c r="I37" t="str">
        <v>CDL Summary</v>
      </c>
      <c r="J37" t="str">
        <v>VALID</v>
      </c>
      <c r="K37" t="str">
        <v>TX0000158</v>
      </c>
      <c r="L37">
        <v>45826</v>
      </c>
      <c r="M37">
        <v>46394</v>
      </c>
      <c r="N37">
        <v>46455</v>
      </c>
      <c r="P37" t="str">
        <v>Bald</v>
      </c>
      <c r="Q37" t="str">
        <v>Brown</v>
      </c>
      <c r="R37" t="str">
        <v>6'-1"</v>
      </c>
      <c r="S37">
        <v>238</v>
      </c>
      <c r="T37" t="str">
        <v>M</v>
      </c>
      <c r="U37">
        <v>25569</v>
      </c>
      <c r="V37" t="str">
        <v>DRV-006.png</v>
      </c>
      <c r="W37" t="str">
        <v>Asian</v>
      </c>
      <c r="X37" t="str">
        <v>mchen@example.com</v>
      </c>
      <c r="Y37" t="str">
        <v>810 Demo Street</v>
      </c>
      <c r="Z37" t="str">
        <v>Dallas</v>
      </c>
      <c r="AA37" t="str">
        <v>TX</v>
      </c>
      <c r="AB37">
        <v>75202</v>
      </c>
      <c r="AC37" t="str">
        <v>TX</v>
      </c>
      <c r="AD37" t="str">
        <v>Class A</v>
      </c>
      <c r="AE37">
        <v>44004</v>
      </c>
      <c r="AF37" t="str">
        <v>H,N,T</v>
      </c>
      <c r="AH37">
        <v>45664</v>
      </c>
      <c r="AI37" t="str">
        <v>MC-0060208</v>
      </c>
      <c r="AJ37" t="str">
        <v>Dr. Monica Steele</v>
      </c>
      <c r="AK37" t="str">
        <v>ME100006</v>
      </c>
      <c r="AM37" t="str">
        <v>Qualified</v>
      </c>
      <c r="AN37">
        <v>46425</v>
      </c>
      <c r="AO37">
        <v>2</v>
      </c>
      <c r="AP37">
        <v>1</v>
      </c>
      <c r="AR37" t="str">
        <v>Reviewed - Clear to Drive</v>
      </c>
      <c r="AS37">
        <v>45544</v>
      </c>
      <c r="AT37" t="str">
        <v>Authorized to Work</v>
      </c>
      <c r="AU37" t="str">
        <v>U.S. Passport</v>
      </c>
      <c r="AX37">
        <v>45544</v>
      </c>
      <c r="AY37" t="str">
        <v>BOF Onboarding Team</v>
      </c>
      <c r="AZ37" t="str">
        <v>Complete</v>
      </c>
      <c r="BB37" t="str">
        <v>Individual/Sole Proprietor</v>
      </c>
      <c r="BC37" t="str">
        <v>SSN</v>
      </c>
      <c r="BD37" t="str">
        <v>***-**-0101</v>
      </c>
      <c r="BF37">
        <v>45544</v>
      </c>
      <c r="BG37" t="str">
        <v>Received</v>
      </c>
      <c r="BH37" t="str">
        <v>Checking</v>
      </c>
      <c r="BI37" t="str">
        <v>Direct Deposit</v>
      </c>
      <c r="BJ37">
        <v>45544</v>
      </c>
      <c r="BK37" t="str">
        <v>Verified</v>
      </c>
      <c r="BL37">
        <v>45537</v>
      </c>
      <c r="BM37" t="str">
        <v>R. Delgado</v>
      </c>
      <c r="BN37" t="str">
        <v>Sleeper tractor</v>
      </c>
      <c r="BO37" t="str">
        <v>53 ft reefer</v>
      </c>
      <c r="BP37" t="str">
        <v>Dallas, TX</v>
      </c>
      <c r="BQ37">
        <v>4</v>
      </c>
      <c r="BR37">
        <v>4</v>
      </c>
      <c r="BS37">
        <v>3</v>
      </c>
      <c r="BT37">
        <v>4</v>
      </c>
      <c r="BU37">
        <v>4</v>
      </c>
      <c r="BV37">
        <v>4</v>
      </c>
      <c r="BW37">
        <v>4</v>
      </c>
      <c r="BX37">
        <v>4</v>
      </c>
      <c r="BY37">
        <v>4</v>
      </c>
      <c r="BZ37" t="str">
        <v>Pass</v>
      </c>
      <c r="CA37" t="str">
        <v>Maintain following distance</v>
      </c>
      <c r="CB37" t="str">
        <v>Passed</v>
      </c>
      <c r="CC37" t="str">
        <v>Enrolled</v>
      </c>
      <c r="CD37" t="str">
        <v>Query Completed</v>
      </c>
      <c r="CE37">
        <v>46037</v>
      </c>
      <c r="CF37">
        <v>46218</v>
      </c>
      <c r="CH37" t="str">
        <v>Compliant</v>
      </c>
      <c r="CJ37" t="str">
        <v>Marcus</v>
      </c>
      <c r="CK37" t="str">
        <v>Chen</v>
      </c>
      <c r="CL37" t="str">
        <v>TX0000158</v>
      </c>
      <c r="CM37" t="str">
        <v>TX</v>
      </c>
      <c r="CN37" t="str">
        <v>CDL Holder</v>
      </c>
      <c r="CO37" t="str">
        <v>Marcus Chen</v>
      </c>
      <c r="CP37">
        <v>45664</v>
      </c>
      <c r="CQ37">
        <v>46394</v>
      </c>
      <c r="CR37" t="str">
        <v>(512) 555-0100</v>
      </c>
      <c r="CS37" t="str">
        <v>Dr. Monica Steele</v>
      </c>
      <c r="CT37">
        <v>45664</v>
      </c>
      <c r="CU37" t="str">
        <v>TX-ME-991196</v>
      </c>
      <c r="CV37" t="str">
        <v>ME100006</v>
      </c>
      <c r="CW37" t="str">
        <v>Physician Assistant</v>
      </c>
      <c r="CX37" t="str">
        <v>TX</v>
      </c>
      <c r="CY37" t="str">
        <v>Federal Motor Carrier Safety Regulations</v>
      </c>
      <c r="DA37" t="str">
        <v>No</v>
      </c>
      <c r="DB37" t="str">
        <v>No</v>
      </c>
      <c r="DC37" t="str">
        <v>No</v>
      </c>
      <c r="DD37" t="str">
        <v>No</v>
      </c>
      <c r="DE37" t="str">
        <v>No</v>
      </c>
      <c r="DF37" t="str">
        <v>No</v>
      </c>
      <c r="DG37" t="str">
        <v>Jane Doe</v>
      </c>
      <c r="DH37" t="str">
        <v>Sister</v>
      </c>
      <c r="DI37" t="str">
        <v>555-555-5555</v>
      </c>
      <c r="DJ37" t="str">
        <v>No</v>
      </c>
      <c r="DK37" t="str">
        <v>No</v>
      </c>
      <c r="DL37" t="str">
        <v>No</v>
      </c>
      <c r="DM37" t="str">
        <v>No</v>
      </c>
      <c r="DN37" t="str">
        <v>Yes - Appendectomy (2005)</v>
      </c>
      <c r="DO37" t="str">
        <v>20/20</v>
      </c>
      <c r="DP37" t="str">
        <v>20/20</v>
      </c>
      <c r="DQ37" t="str">
        <v>Pass</v>
      </c>
      <c r="DR37" t="str">
        <v>118</v>
      </c>
      <c r="DS37" t="str">
        <v>78</v>
      </c>
      <c r="DT37" t="str">
        <v>72</v>
      </c>
      <c r="DU37" t="str">
        <v>Normal</v>
      </c>
      <c r="DV37">
        <v>45392</v>
      </c>
      <c r="DW37">
        <v>45394</v>
      </c>
      <c r="DX37" t="str">
        <v>Negative</v>
      </c>
      <c r="DY37">
        <v>45397</v>
      </c>
      <c r="DZ37" t="str">
        <v>BOF Fleet Safety &amp; Compliance Policy 2024</v>
      </c>
      <c r="EA37" t="str">
        <v>Complete</v>
      </c>
      <c r="EB37">
        <v>45413</v>
      </c>
    </row>
    <row r="38">
      <c r="A38" t="str">
        <v>DRV-006</v>
      </c>
      <c r="B38" t="str">
        <v>Marcus Chen</v>
      </c>
      <c r="C38" t="str">
        <v>810 Demo Street, Dallas, TX 75202</v>
      </c>
      <c r="D38" t="str">
        <v>283-555-0100</v>
      </c>
      <c r="E38" t="str">
        <v>***-**-0101</v>
      </c>
      <c r="F38" t="str">
        <v>Chase</v>
      </c>
      <c r="G38">
        <v>000000112</v>
      </c>
      <c r="H38">
        <v>999900207</v>
      </c>
      <c r="I38" t="str">
        <v>Medical Certification</v>
      </c>
      <c r="J38" t="str">
        <v>VALID</v>
      </c>
      <c r="K38" t="str">
        <v>TX0000165</v>
      </c>
      <c r="L38">
        <v>45826</v>
      </c>
      <c r="M38">
        <v>46394</v>
      </c>
      <c r="N38">
        <v>46455</v>
      </c>
      <c r="P38" t="str">
        <v>Bald</v>
      </c>
      <c r="Q38" t="str">
        <v>Brown</v>
      </c>
      <c r="R38" t="str">
        <v>6'-1"</v>
      </c>
      <c r="S38">
        <v>238</v>
      </c>
      <c r="T38" t="str">
        <v>M</v>
      </c>
      <c r="U38">
        <v>25569</v>
      </c>
      <c r="V38" t="str">
        <v>DRV-006.png</v>
      </c>
      <c r="W38" t="str">
        <v>Asian</v>
      </c>
      <c r="X38" t="str">
        <v>mchen@example.com</v>
      </c>
      <c r="Y38" t="str">
        <v>810 Demo Street</v>
      </c>
      <c r="Z38" t="str">
        <v>Dallas</v>
      </c>
      <c r="AA38" t="str">
        <v>TX</v>
      </c>
      <c r="AB38">
        <v>75202</v>
      </c>
      <c r="AC38" t="str">
        <v>TX</v>
      </c>
      <c r="AD38" t="str">
        <v>Class A</v>
      </c>
      <c r="AE38">
        <v>44004</v>
      </c>
      <c r="AF38" t="str">
        <v>H,N,T</v>
      </c>
      <c r="AH38">
        <v>45664</v>
      </c>
      <c r="AI38" t="str">
        <v>MC-0060208</v>
      </c>
      <c r="AJ38" t="str">
        <v>Dr. Monica Steele</v>
      </c>
      <c r="AK38" t="str">
        <v>ME100006</v>
      </c>
      <c r="AM38" t="str">
        <v>Qualified</v>
      </c>
      <c r="AN38">
        <v>46425</v>
      </c>
      <c r="AO38">
        <v>2</v>
      </c>
      <c r="AP38">
        <v>1</v>
      </c>
      <c r="AR38" t="str">
        <v>Reviewed - Clear to Drive</v>
      </c>
      <c r="AS38">
        <v>45544</v>
      </c>
      <c r="AT38" t="str">
        <v>Authorized to Work</v>
      </c>
      <c r="AU38" t="str">
        <v>U.S. Passport</v>
      </c>
      <c r="AX38">
        <v>45544</v>
      </c>
      <c r="AY38" t="str">
        <v>BOF Onboarding Team</v>
      </c>
      <c r="AZ38" t="str">
        <v>Complete</v>
      </c>
      <c r="BB38" t="str">
        <v>Individual/Sole Proprietor</v>
      </c>
      <c r="BC38" t="str">
        <v>SSN</v>
      </c>
      <c r="BD38" t="str">
        <v>***-**-0101</v>
      </c>
      <c r="BF38">
        <v>45544</v>
      </c>
      <c r="BG38" t="str">
        <v>Received</v>
      </c>
      <c r="BH38" t="str">
        <v>Checking</v>
      </c>
      <c r="BI38" t="str">
        <v>Direct Deposit</v>
      </c>
      <c r="BJ38">
        <v>45544</v>
      </c>
      <c r="BK38" t="str">
        <v>Verified</v>
      </c>
      <c r="BL38">
        <v>45537</v>
      </c>
      <c r="BM38" t="str">
        <v>R. Delgado</v>
      </c>
      <c r="BN38" t="str">
        <v>Sleeper tractor</v>
      </c>
      <c r="BO38" t="str">
        <v>53 ft reefer</v>
      </c>
      <c r="BP38" t="str">
        <v>Dallas, TX</v>
      </c>
      <c r="BQ38">
        <v>4</v>
      </c>
      <c r="BR38">
        <v>4</v>
      </c>
      <c r="BS38">
        <v>3</v>
      </c>
      <c r="BT38">
        <v>4</v>
      </c>
      <c r="BU38">
        <v>4</v>
      </c>
      <c r="BV38">
        <v>4</v>
      </c>
      <c r="BW38">
        <v>4</v>
      </c>
      <c r="BX38">
        <v>4</v>
      </c>
      <c r="BY38">
        <v>4</v>
      </c>
      <c r="BZ38" t="str">
        <v>Pass</v>
      </c>
      <c r="CA38" t="str">
        <v>Maintain following distance</v>
      </c>
      <c r="CB38" t="str">
        <v>Passed</v>
      </c>
      <c r="CC38" t="str">
        <v>Enrolled</v>
      </c>
      <c r="CD38" t="str">
        <v>Query Completed</v>
      </c>
      <c r="CE38">
        <v>46037</v>
      </c>
      <c r="CF38">
        <v>46218</v>
      </c>
      <c r="CH38" t="str">
        <v>Compliant</v>
      </c>
      <c r="CJ38" t="str">
        <v>Marcus</v>
      </c>
      <c r="CK38" t="str">
        <v>Chen</v>
      </c>
      <c r="CL38" t="str">
        <v>TX0000159</v>
      </c>
      <c r="CM38" t="str">
        <v>TX</v>
      </c>
      <c r="CN38" t="str">
        <v>CDL Holder</v>
      </c>
      <c r="CO38" t="str">
        <v>Marcus Chen</v>
      </c>
      <c r="CP38">
        <v>45664</v>
      </c>
      <c r="CQ38">
        <v>46394</v>
      </c>
      <c r="CR38" t="str">
        <v>(512) 555-0100</v>
      </c>
      <c r="CS38" t="str">
        <v>Dr. Monica Steele</v>
      </c>
      <c r="CT38">
        <v>45664</v>
      </c>
      <c r="CU38" t="str">
        <v>TX-ME-991196</v>
      </c>
      <c r="CV38" t="str">
        <v>ME100006</v>
      </c>
      <c r="CW38" t="str">
        <v>Physician Assistant</v>
      </c>
      <c r="CX38" t="str">
        <v>TX</v>
      </c>
      <c r="CY38" t="str">
        <v>Federal Motor Carrier Safety Regulations</v>
      </c>
      <c r="DA38" t="str">
        <v>No</v>
      </c>
      <c r="DB38" t="str">
        <v>No</v>
      </c>
      <c r="DC38" t="str">
        <v>No</v>
      </c>
      <c r="DD38" t="str">
        <v>No</v>
      </c>
      <c r="DE38" t="str">
        <v>No</v>
      </c>
      <c r="DF38" t="str">
        <v>No</v>
      </c>
      <c r="DG38" t="str">
        <v>Jane Doe</v>
      </c>
      <c r="DH38" t="str">
        <v>Sister</v>
      </c>
      <c r="DI38" t="str">
        <v>555-555-5555</v>
      </c>
      <c r="DJ38" t="str">
        <v>No</v>
      </c>
      <c r="DK38" t="str">
        <v>No</v>
      </c>
      <c r="DL38" t="str">
        <v>No</v>
      </c>
      <c r="DM38" t="str">
        <v>No</v>
      </c>
      <c r="DN38" t="str">
        <v>Yes - Appendectomy (2005)</v>
      </c>
      <c r="DO38" t="str">
        <v>20/20</v>
      </c>
      <c r="DP38" t="str">
        <v>20/20</v>
      </c>
      <c r="DQ38" t="str">
        <v>Pass</v>
      </c>
      <c r="DR38" t="str">
        <v>118</v>
      </c>
      <c r="DS38" t="str">
        <v>78</v>
      </c>
      <c r="DT38" t="str">
        <v>72</v>
      </c>
      <c r="DU38" t="str">
        <v>Normal</v>
      </c>
      <c r="DV38">
        <v>45392</v>
      </c>
      <c r="DW38">
        <v>45394</v>
      </c>
      <c r="DX38" t="str">
        <v>Negative</v>
      </c>
      <c r="DY38">
        <v>45397</v>
      </c>
      <c r="DZ38" t="str">
        <v>BOF Fleet Safety &amp; Compliance Policy 2024</v>
      </c>
      <c r="EA38" t="str">
        <v>Complete</v>
      </c>
      <c r="EB38">
        <v>45413</v>
      </c>
    </row>
    <row r="39">
      <c r="A39" t="str">
        <v>DRV-006</v>
      </c>
      <c r="B39" t="str">
        <v>Marcus Chen</v>
      </c>
      <c r="C39" t="str">
        <v>810 Demo Street, Dallas, TX 75202</v>
      </c>
      <c r="D39" t="str">
        <v>283-555-0100</v>
      </c>
      <c r="E39" t="str">
        <v>***-**-0101</v>
      </c>
      <c r="F39" t="str">
        <v>Chase</v>
      </c>
      <c r="G39">
        <v>000000112</v>
      </c>
      <c r="H39">
        <v>999900207</v>
      </c>
      <c r="I39" t="str">
        <v>MVR Background Report</v>
      </c>
      <c r="J39" t="str">
        <v>VALID</v>
      </c>
      <c r="K39" t="str">
        <v>TX0000155</v>
      </c>
      <c r="L39">
        <v>45826</v>
      </c>
      <c r="M39">
        <v>46394</v>
      </c>
      <c r="N39">
        <v>46455</v>
      </c>
      <c r="P39" t="str">
        <v>Bald</v>
      </c>
      <c r="Q39" t="str">
        <v>Brown</v>
      </c>
      <c r="R39" t="str">
        <v>6'-1"</v>
      </c>
      <c r="S39">
        <v>238</v>
      </c>
      <c r="T39" t="str">
        <v>M</v>
      </c>
      <c r="U39">
        <v>25569</v>
      </c>
      <c r="V39" t="str">
        <v>DRV-006.png</v>
      </c>
      <c r="W39" t="str">
        <v>Asian</v>
      </c>
      <c r="X39" t="str">
        <v>mchen@example.com</v>
      </c>
      <c r="Y39" t="str">
        <v>810 Demo Street</v>
      </c>
      <c r="Z39" t="str">
        <v>Dallas</v>
      </c>
      <c r="AA39" t="str">
        <v>TX</v>
      </c>
      <c r="AB39">
        <v>75202</v>
      </c>
      <c r="AC39" t="str">
        <v>TX</v>
      </c>
      <c r="AD39" t="str">
        <v>Class A</v>
      </c>
      <c r="AE39">
        <v>44004</v>
      </c>
      <c r="AF39" t="str">
        <v>H,N,T</v>
      </c>
      <c r="AH39">
        <v>45664</v>
      </c>
      <c r="AI39" t="str">
        <v>MC-0060208</v>
      </c>
      <c r="AJ39" t="str">
        <v>Dr. Monica Steele</v>
      </c>
      <c r="AK39" t="str">
        <v>ME100006</v>
      </c>
      <c r="AM39" t="str">
        <v>Qualified</v>
      </c>
      <c r="AN39">
        <v>46425</v>
      </c>
      <c r="AO39">
        <v>2</v>
      </c>
      <c r="AP39">
        <v>1</v>
      </c>
      <c r="AR39" t="str">
        <v>Reviewed - Clear to Drive</v>
      </c>
      <c r="AS39">
        <v>45544</v>
      </c>
      <c r="AT39" t="str">
        <v>Authorized to Work</v>
      </c>
      <c r="AU39" t="str">
        <v>U.S. Passport</v>
      </c>
      <c r="AX39">
        <v>45544</v>
      </c>
      <c r="AY39" t="str">
        <v>BOF Onboarding Team</v>
      </c>
      <c r="AZ39" t="str">
        <v>Complete</v>
      </c>
      <c r="BB39" t="str">
        <v>Individual/Sole Proprietor</v>
      </c>
      <c r="BC39" t="str">
        <v>SSN</v>
      </c>
      <c r="BD39" t="str">
        <v>***-**-0101</v>
      </c>
      <c r="BF39">
        <v>45544</v>
      </c>
      <c r="BG39" t="str">
        <v>Received</v>
      </c>
      <c r="BH39" t="str">
        <v>Checking</v>
      </c>
      <c r="BI39" t="str">
        <v>Direct Deposit</v>
      </c>
      <c r="BJ39">
        <v>45544</v>
      </c>
      <c r="BK39" t="str">
        <v>Verified</v>
      </c>
      <c r="BL39">
        <v>45537</v>
      </c>
      <c r="BM39" t="str">
        <v>R. Delgado</v>
      </c>
      <c r="BN39" t="str">
        <v>Sleeper tractor</v>
      </c>
      <c r="BO39" t="str">
        <v>53 ft reefer</v>
      </c>
      <c r="BP39" t="str">
        <v>Dallas, TX</v>
      </c>
      <c r="BQ39">
        <v>4</v>
      </c>
      <c r="BR39">
        <v>4</v>
      </c>
      <c r="BS39">
        <v>3</v>
      </c>
      <c r="BT39">
        <v>4</v>
      </c>
      <c r="BU39">
        <v>4</v>
      </c>
      <c r="BV39">
        <v>4</v>
      </c>
      <c r="BW39">
        <v>4</v>
      </c>
      <c r="BX39">
        <v>4</v>
      </c>
      <c r="BY39">
        <v>4</v>
      </c>
      <c r="BZ39" t="str">
        <v>Pass</v>
      </c>
      <c r="CA39" t="str">
        <v>Maintain following distance</v>
      </c>
      <c r="CB39" t="str">
        <v>Passed</v>
      </c>
      <c r="CC39" t="str">
        <v>Enrolled</v>
      </c>
      <c r="CD39" t="str">
        <v>Query Completed</v>
      </c>
      <c r="CE39">
        <v>46037</v>
      </c>
      <c r="CF39">
        <v>46218</v>
      </c>
      <c r="CH39" t="str">
        <v>Compliant</v>
      </c>
      <c r="CJ39" t="str">
        <v>Marcus</v>
      </c>
      <c r="CK39" t="str">
        <v>Chen</v>
      </c>
      <c r="CL39" t="str">
        <v>TX0000160</v>
      </c>
      <c r="CM39" t="str">
        <v>TX</v>
      </c>
      <c r="CN39" t="str">
        <v>CDL Holder</v>
      </c>
      <c r="CO39" t="str">
        <v>Marcus Chen</v>
      </c>
      <c r="CP39">
        <v>45664</v>
      </c>
      <c r="CQ39">
        <v>46394</v>
      </c>
      <c r="CR39" t="str">
        <v>(512) 555-0100</v>
      </c>
      <c r="CS39" t="str">
        <v>Dr. Monica Steele</v>
      </c>
      <c r="CT39">
        <v>45664</v>
      </c>
      <c r="CU39" t="str">
        <v>TX-ME-991196</v>
      </c>
      <c r="CV39" t="str">
        <v>ME100006</v>
      </c>
      <c r="CW39" t="str">
        <v>Physician Assistant</v>
      </c>
      <c r="CX39" t="str">
        <v>TX</v>
      </c>
      <c r="CY39" t="str">
        <v>Federal Motor Carrier Safety Regulations</v>
      </c>
      <c r="DA39" t="str">
        <v>No</v>
      </c>
      <c r="DB39" t="str">
        <v>No</v>
      </c>
      <c r="DC39" t="str">
        <v>No</v>
      </c>
      <c r="DD39" t="str">
        <v>No</v>
      </c>
      <c r="DE39" t="str">
        <v>No</v>
      </c>
      <c r="DF39" t="str">
        <v>No</v>
      </c>
      <c r="DG39" t="str">
        <v>Jane Doe</v>
      </c>
      <c r="DH39" t="str">
        <v>Sister</v>
      </c>
      <c r="DI39" t="str">
        <v>555-555-5555</v>
      </c>
      <c r="DJ39" t="str">
        <v>No</v>
      </c>
      <c r="DK39" t="str">
        <v>No</v>
      </c>
      <c r="DL39" t="str">
        <v>No</v>
      </c>
      <c r="DM39" t="str">
        <v>No</v>
      </c>
      <c r="DN39" t="str">
        <v>Yes - Appendectomy (2005)</v>
      </c>
      <c r="DO39" t="str">
        <v>20/20</v>
      </c>
      <c r="DP39" t="str">
        <v>20/20</v>
      </c>
      <c r="DQ39" t="str">
        <v>Pass</v>
      </c>
      <c r="DR39" t="str">
        <v>118</v>
      </c>
      <c r="DS39" t="str">
        <v>78</v>
      </c>
      <c r="DT39" t="str">
        <v>72</v>
      </c>
      <c r="DU39" t="str">
        <v>Normal</v>
      </c>
      <c r="DV39">
        <v>45392</v>
      </c>
      <c r="DW39">
        <v>45394</v>
      </c>
      <c r="DX39" t="str">
        <v>Negative</v>
      </c>
      <c r="DY39">
        <v>45397</v>
      </c>
      <c r="DZ39" t="str">
        <v>BOF Fleet Safety &amp; Compliance Policy 2024</v>
      </c>
      <c r="EA39" t="str">
        <v>Complete</v>
      </c>
      <c r="EB39">
        <v>45413</v>
      </c>
    </row>
    <row r="40">
      <c r="A40" t="str">
        <v>DRV-006</v>
      </c>
      <c r="B40" t="str">
        <v>Marcus Chen</v>
      </c>
      <c r="C40" t="str">
        <v>810 Demo Street, Dallas, TX 75202</v>
      </c>
      <c r="D40" t="str">
        <v>283-555-0100</v>
      </c>
      <c r="E40" t="str">
        <v>***-**-0101</v>
      </c>
      <c r="F40" t="str">
        <v>Chase</v>
      </c>
      <c r="G40">
        <v>000000112</v>
      </c>
      <c r="H40">
        <v>999900207</v>
      </c>
      <c r="I40" t="str">
        <v>Driver Application</v>
      </c>
      <c r="J40" t="str">
        <v>VALID</v>
      </c>
      <c r="K40" t="str">
        <v>TX0000166</v>
      </c>
      <c r="L40">
        <v>45826</v>
      </c>
      <c r="M40">
        <v>46394</v>
      </c>
      <c r="N40">
        <v>46455</v>
      </c>
      <c r="P40" t="str">
        <v>Bald</v>
      </c>
      <c r="Q40" t="str">
        <v>Brown</v>
      </c>
      <c r="R40" t="str">
        <v>6'-1"</v>
      </c>
      <c r="S40">
        <v>238</v>
      </c>
      <c r="T40" t="str">
        <v>M</v>
      </c>
      <c r="U40">
        <v>25569</v>
      </c>
      <c r="V40" t="str">
        <v>DRV-006.png</v>
      </c>
      <c r="W40" t="str">
        <v>Asian</v>
      </c>
      <c r="X40" t="str">
        <v>mchen@example.com</v>
      </c>
      <c r="Y40" t="str">
        <v>810 Demo Street</v>
      </c>
      <c r="Z40" t="str">
        <v>Dallas</v>
      </c>
      <c r="AA40" t="str">
        <v>TX</v>
      </c>
      <c r="AB40">
        <v>75202</v>
      </c>
      <c r="AC40" t="str">
        <v>TX</v>
      </c>
      <c r="AD40" t="str">
        <v>Class A</v>
      </c>
      <c r="AE40">
        <v>44004</v>
      </c>
      <c r="AF40" t="str">
        <v>H,N,T</v>
      </c>
      <c r="AH40">
        <v>45664</v>
      </c>
      <c r="AI40" t="str">
        <v>MC-0060208</v>
      </c>
      <c r="AJ40" t="str">
        <v>Dr. Monica Steele</v>
      </c>
      <c r="AK40" t="str">
        <v>ME100006</v>
      </c>
      <c r="AM40" t="str">
        <v>Qualified</v>
      </c>
      <c r="AN40">
        <v>46425</v>
      </c>
      <c r="AO40">
        <v>2</v>
      </c>
      <c r="AP40">
        <v>1</v>
      </c>
      <c r="AR40" t="str">
        <v>Reviewed - Clear to Drive</v>
      </c>
      <c r="AS40">
        <v>45544</v>
      </c>
      <c r="AT40" t="str">
        <v>Authorized to Work</v>
      </c>
      <c r="AU40" t="str">
        <v>U.S. Passport</v>
      </c>
      <c r="AX40">
        <v>45544</v>
      </c>
      <c r="AY40" t="str">
        <v>BOF Onboarding Team</v>
      </c>
      <c r="AZ40" t="str">
        <v>Complete</v>
      </c>
      <c r="BB40" t="str">
        <v>Individual/Sole Proprietor</v>
      </c>
      <c r="BC40" t="str">
        <v>SSN</v>
      </c>
      <c r="BD40" t="str">
        <v>***-**-0101</v>
      </c>
      <c r="BF40">
        <v>45544</v>
      </c>
      <c r="BG40" t="str">
        <v>Received</v>
      </c>
      <c r="BH40" t="str">
        <v>Checking</v>
      </c>
      <c r="BI40" t="str">
        <v>Direct Deposit</v>
      </c>
      <c r="BJ40">
        <v>45544</v>
      </c>
      <c r="BK40" t="str">
        <v>Verified</v>
      </c>
      <c r="BL40">
        <v>45537</v>
      </c>
      <c r="BM40" t="str">
        <v>R. Delgado</v>
      </c>
      <c r="BN40" t="str">
        <v>Sleeper tractor</v>
      </c>
      <c r="BO40" t="str">
        <v>53 ft reefer</v>
      </c>
      <c r="BP40" t="str">
        <v>Dallas, TX</v>
      </c>
      <c r="BQ40">
        <v>4</v>
      </c>
      <c r="BR40">
        <v>4</v>
      </c>
      <c r="BS40">
        <v>3</v>
      </c>
      <c r="BT40">
        <v>4</v>
      </c>
      <c r="BU40">
        <v>4</v>
      </c>
      <c r="BV40">
        <v>4</v>
      </c>
      <c r="BW40">
        <v>4</v>
      </c>
      <c r="BX40">
        <v>4</v>
      </c>
      <c r="BY40">
        <v>4</v>
      </c>
      <c r="BZ40" t="str">
        <v>Pass</v>
      </c>
      <c r="CA40" t="str">
        <v>Maintain following distance</v>
      </c>
      <c r="CB40" t="str">
        <v>Passed</v>
      </c>
      <c r="CC40" t="str">
        <v>Enrolled</v>
      </c>
      <c r="CD40" t="str">
        <v>Query Completed</v>
      </c>
      <c r="CE40">
        <v>46037</v>
      </c>
      <c r="CF40">
        <v>46218</v>
      </c>
      <c r="CH40" t="str">
        <v>Compliant</v>
      </c>
      <c r="CJ40" t="str">
        <v>Marcus</v>
      </c>
      <c r="CK40" t="str">
        <v>Chen</v>
      </c>
      <c r="CL40" t="str">
        <v>TX0000161</v>
      </c>
      <c r="CM40" t="str">
        <v>TX</v>
      </c>
      <c r="CN40" t="str">
        <v>CDL Holder</v>
      </c>
      <c r="CO40" t="str">
        <v>Marcus Chen</v>
      </c>
      <c r="CP40">
        <v>45664</v>
      </c>
      <c r="CQ40">
        <v>46394</v>
      </c>
      <c r="CR40" t="str">
        <v>(512) 555-0100</v>
      </c>
      <c r="CS40" t="str">
        <v>Dr. Monica Steele</v>
      </c>
      <c r="CT40">
        <v>45664</v>
      </c>
      <c r="CU40" t="str">
        <v>TX-ME-991196</v>
      </c>
      <c r="CV40" t="str">
        <v>ME100006</v>
      </c>
      <c r="CW40" t="str">
        <v>Physician Assistant</v>
      </c>
      <c r="CX40" t="str">
        <v>TX</v>
      </c>
      <c r="CY40" t="str">
        <v>Federal Motor Carrier Safety Regulations</v>
      </c>
      <c r="DA40" t="str">
        <v>No</v>
      </c>
      <c r="DB40" t="str">
        <v>No</v>
      </c>
      <c r="DC40" t="str">
        <v>No</v>
      </c>
      <c r="DD40" t="str">
        <v>No</v>
      </c>
      <c r="DE40" t="str">
        <v>No</v>
      </c>
      <c r="DF40" t="str">
        <v>No</v>
      </c>
      <c r="DG40" t="str">
        <v>Jane Doe</v>
      </c>
      <c r="DH40" t="str">
        <v>Sister</v>
      </c>
      <c r="DI40" t="str">
        <v>555-555-5555</v>
      </c>
      <c r="DJ40" t="str">
        <v>No</v>
      </c>
      <c r="DK40" t="str">
        <v>No</v>
      </c>
      <c r="DL40" t="str">
        <v>No</v>
      </c>
      <c r="DM40" t="str">
        <v>No</v>
      </c>
      <c r="DN40" t="str">
        <v>Yes - Appendectomy (2005)</v>
      </c>
      <c r="DO40" t="str">
        <v>20/20</v>
      </c>
      <c r="DP40" t="str">
        <v>20/20</v>
      </c>
      <c r="DQ40" t="str">
        <v>Pass</v>
      </c>
      <c r="DR40" t="str">
        <v>118</v>
      </c>
      <c r="DS40" t="str">
        <v>78</v>
      </c>
      <c r="DT40" t="str">
        <v>72</v>
      </c>
      <c r="DU40" t="str">
        <v>Normal</v>
      </c>
      <c r="DV40">
        <v>45392</v>
      </c>
      <c r="DW40">
        <v>45394</v>
      </c>
      <c r="DX40" t="str">
        <v>Negative</v>
      </c>
      <c r="DY40">
        <v>45397</v>
      </c>
      <c r="DZ40" t="str">
        <v>BOF Fleet Safety &amp; Compliance Policy 2024</v>
      </c>
      <c r="EA40" t="str">
        <v>Complete</v>
      </c>
      <c r="EB40">
        <v>45413</v>
      </c>
    </row>
    <row r="41">
      <c r="A41" t="str">
        <v>DRV-006</v>
      </c>
      <c r="B41" t="str">
        <v>Marcus Chen</v>
      </c>
      <c r="C41" t="str">
        <v>810 Demo Street, Dallas, TX 75202</v>
      </c>
      <c r="D41" t="str">
        <v>283-555-0100</v>
      </c>
      <c r="E41" t="str">
        <v>***-**-0101</v>
      </c>
      <c r="F41" t="str">
        <v>Chase</v>
      </c>
      <c r="G41">
        <v>000000112</v>
      </c>
      <c r="H41">
        <v>999900207</v>
      </c>
      <c r="I41" t="str">
        <v>Road Test Certificate</v>
      </c>
      <c r="J41" t="str">
        <v>VALID</v>
      </c>
      <c r="K41" t="str">
        <v>TX0000156</v>
      </c>
      <c r="L41">
        <v>45826</v>
      </c>
      <c r="M41">
        <v>46394</v>
      </c>
      <c r="N41">
        <v>46455</v>
      </c>
      <c r="P41" t="str">
        <v>Bald</v>
      </c>
      <c r="Q41" t="str">
        <v>Brown</v>
      </c>
      <c r="R41" t="str">
        <v>6'-1"</v>
      </c>
      <c r="S41">
        <v>238</v>
      </c>
      <c r="T41" t="str">
        <v>M</v>
      </c>
      <c r="U41">
        <v>25569</v>
      </c>
      <c r="V41" t="str">
        <v>DRV-006.png</v>
      </c>
      <c r="W41" t="str">
        <v>Asian</v>
      </c>
      <c r="X41" t="str">
        <v>mchen@example.com</v>
      </c>
      <c r="Y41" t="str">
        <v>810 Demo Street</v>
      </c>
      <c r="Z41" t="str">
        <v>Dallas</v>
      </c>
      <c r="AA41" t="str">
        <v>TX</v>
      </c>
      <c r="AB41">
        <v>75202</v>
      </c>
      <c r="AC41" t="str">
        <v>TX</v>
      </c>
      <c r="AD41" t="str">
        <v>Class A</v>
      </c>
      <c r="AE41">
        <v>44004</v>
      </c>
      <c r="AF41" t="str">
        <v>H,N,T</v>
      </c>
      <c r="AH41">
        <v>45664</v>
      </c>
      <c r="AI41" t="str">
        <v>MC-0060208</v>
      </c>
      <c r="AJ41" t="str">
        <v>Dr. Monica Steele</v>
      </c>
      <c r="AK41" t="str">
        <v>ME100006</v>
      </c>
      <c r="AM41" t="str">
        <v>Qualified</v>
      </c>
      <c r="AN41">
        <v>46425</v>
      </c>
      <c r="AO41">
        <v>2</v>
      </c>
      <c r="AP41">
        <v>1</v>
      </c>
      <c r="AR41" t="str">
        <v>Reviewed - Clear to Drive</v>
      </c>
      <c r="AS41">
        <v>45544</v>
      </c>
      <c r="AT41" t="str">
        <v>Authorized to Work</v>
      </c>
      <c r="AU41" t="str">
        <v>U.S. Passport</v>
      </c>
      <c r="AX41">
        <v>45544</v>
      </c>
      <c r="AY41" t="str">
        <v>BOF Onboarding Team</v>
      </c>
      <c r="AZ41" t="str">
        <v>Complete</v>
      </c>
      <c r="BB41" t="str">
        <v>Individual/Sole Proprietor</v>
      </c>
      <c r="BC41" t="str">
        <v>SSN</v>
      </c>
      <c r="BD41" t="str">
        <v>***-**-0101</v>
      </c>
      <c r="BF41">
        <v>45544</v>
      </c>
      <c r="BG41" t="str">
        <v>Received</v>
      </c>
      <c r="BH41" t="str">
        <v>Checking</v>
      </c>
      <c r="BI41" t="str">
        <v>Direct Deposit</v>
      </c>
      <c r="BJ41">
        <v>45544</v>
      </c>
      <c r="BK41" t="str">
        <v>Verified</v>
      </c>
      <c r="BL41">
        <v>45537</v>
      </c>
      <c r="BM41" t="str">
        <v>R. Delgado</v>
      </c>
      <c r="BN41" t="str">
        <v>Sleeper tractor</v>
      </c>
      <c r="BO41" t="str">
        <v>53 ft reefer</v>
      </c>
      <c r="BP41" t="str">
        <v>Dallas, TX</v>
      </c>
      <c r="BQ41">
        <v>4</v>
      </c>
      <c r="BR41">
        <v>4</v>
      </c>
      <c r="BS41">
        <v>3</v>
      </c>
      <c r="BT41">
        <v>4</v>
      </c>
      <c r="BU41">
        <v>4</v>
      </c>
      <c r="BV41">
        <v>4</v>
      </c>
      <c r="BW41">
        <v>4</v>
      </c>
      <c r="BX41">
        <v>4</v>
      </c>
      <c r="BY41">
        <v>4</v>
      </c>
      <c r="BZ41" t="str">
        <v>Pass</v>
      </c>
      <c r="CA41" t="str">
        <v>Maintain following distance</v>
      </c>
      <c r="CB41" t="str">
        <v>Passed</v>
      </c>
      <c r="CC41" t="str">
        <v>Enrolled</v>
      </c>
      <c r="CD41" t="str">
        <v>Query Completed</v>
      </c>
      <c r="CE41">
        <v>46037</v>
      </c>
      <c r="CF41">
        <v>46218</v>
      </c>
      <c r="CH41" t="str">
        <v>Compliant</v>
      </c>
      <c r="CJ41" t="str">
        <v>Marcus</v>
      </c>
      <c r="CK41" t="str">
        <v>Chen</v>
      </c>
      <c r="CL41" t="str">
        <v>TX0000162</v>
      </c>
      <c r="CM41" t="str">
        <v>TX</v>
      </c>
      <c r="CN41" t="str">
        <v>CDL Holder</v>
      </c>
      <c r="CO41" t="str">
        <v>Marcus Chen</v>
      </c>
      <c r="CP41">
        <v>45664</v>
      </c>
      <c r="CQ41">
        <v>46394</v>
      </c>
      <c r="CR41" t="str">
        <v>(512) 555-0100</v>
      </c>
      <c r="CS41" t="str">
        <v>Dr. Monica Steele</v>
      </c>
      <c r="CT41">
        <v>45664</v>
      </c>
      <c r="CU41" t="str">
        <v>TX-ME-991196</v>
      </c>
      <c r="CV41" t="str">
        <v>ME100006</v>
      </c>
      <c r="CW41" t="str">
        <v>Physician Assistant</v>
      </c>
      <c r="CX41" t="str">
        <v>TX</v>
      </c>
      <c r="CY41" t="str">
        <v>Federal Motor Carrier Safety Regulations</v>
      </c>
      <c r="DA41" t="str">
        <v>No</v>
      </c>
      <c r="DB41" t="str">
        <v>No</v>
      </c>
      <c r="DC41" t="str">
        <v>No</v>
      </c>
      <c r="DD41" t="str">
        <v>No</v>
      </c>
      <c r="DE41" t="str">
        <v>No</v>
      </c>
      <c r="DF41" t="str">
        <v>No</v>
      </c>
      <c r="DG41" t="str">
        <v>Jane Doe</v>
      </c>
      <c r="DH41" t="str">
        <v>Sister</v>
      </c>
      <c r="DI41" t="str">
        <v>555-555-5555</v>
      </c>
      <c r="DJ41" t="str">
        <v>No</v>
      </c>
      <c r="DK41" t="str">
        <v>No</v>
      </c>
      <c r="DL41" t="str">
        <v>No</v>
      </c>
      <c r="DM41" t="str">
        <v>No</v>
      </c>
      <c r="DN41" t="str">
        <v>Yes - Appendectomy (2005)</v>
      </c>
      <c r="DO41" t="str">
        <v>20/20</v>
      </c>
      <c r="DP41" t="str">
        <v>20/20</v>
      </c>
      <c r="DQ41" t="str">
        <v>Pass</v>
      </c>
      <c r="DR41" t="str">
        <v>118</v>
      </c>
      <c r="DS41" t="str">
        <v>78</v>
      </c>
      <c r="DT41" t="str">
        <v>72</v>
      </c>
      <c r="DU41" t="str">
        <v>Normal</v>
      </c>
      <c r="DV41">
        <v>45392</v>
      </c>
      <c r="DW41">
        <v>45394</v>
      </c>
      <c r="DX41" t="str">
        <v>Negative</v>
      </c>
      <c r="DY41">
        <v>45397</v>
      </c>
      <c r="DZ41" t="str">
        <v>BOF Fleet Safety &amp; Compliance Policy 2024</v>
      </c>
      <c r="EA41" t="str">
        <v>Complete</v>
      </c>
      <c r="EB41">
        <v>45413</v>
      </c>
    </row>
    <row r="42">
      <c r="A42" t="str">
        <v>DRV-006</v>
      </c>
      <c r="B42" t="str">
        <v>Marcus Chen</v>
      </c>
      <c r="C42" t="str">
        <v>810 Demo Street, Dallas, TX 75202</v>
      </c>
      <c r="D42" t="str">
        <v>283-555-0100</v>
      </c>
      <c r="E42" t="str">
        <v>***-**-0101</v>
      </c>
      <c r="F42" t="str">
        <v>Chase</v>
      </c>
      <c r="G42">
        <v>000000112</v>
      </c>
      <c r="H42">
        <v>999900207</v>
      </c>
      <c r="I42" t="str">
        <v>Incident/Accident Report</v>
      </c>
      <c r="J42" t="str">
        <v>VALID</v>
      </c>
      <c r="K42" t="str">
        <v>TX0000167</v>
      </c>
      <c r="L42">
        <v>45826</v>
      </c>
      <c r="M42">
        <v>46394</v>
      </c>
      <c r="N42">
        <v>46455</v>
      </c>
      <c r="O42" t="str">
        <v>No major incidents recorded in last 90 days.</v>
      </c>
      <c r="P42" t="str">
        <v>Bald</v>
      </c>
      <c r="Q42" t="str">
        <v>Brown</v>
      </c>
      <c r="R42" t="str">
        <v>6'-1"</v>
      </c>
      <c r="S42">
        <v>238</v>
      </c>
      <c r="T42" t="str">
        <v>M</v>
      </c>
      <c r="U42">
        <v>25569</v>
      </c>
      <c r="V42" t="str">
        <v>DRV-006.png</v>
      </c>
      <c r="W42" t="str">
        <v>Asian</v>
      </c>
      <c r="X42" t="str">
        <v>mchen@example.com</v>
      </c>
      <c r="Y42" t="str">
        <v>810 Demo Street</v>
      </c>
      <c r="Z42" t="str">
        <v>Dallas</v>
      </c>
      <c r="AA42" t="str">
        <v>TX</v>
      </c>
      <c r="AB42">
        <v>75202</v>
      </c>
      <c r="AC42" t="str">
        <v>TX</v>
      </c>
      <c r="AD42" t="str">
        <v>Class A</v>
      </c>
      <c r="AE42">
        <v>44004</v>
      </c>
      <c r="AF42" t="str">
        <v>H,N,T</v>
      </c>
      <c r="AH42">
        <v>45664</v>
      </c>
      <c r="AI42" t="str">
        <v>MC-0060208</v>
      </c>
      <c r="AJ42" t="str">
        <v>Dr. Monica Steele</v>
      </c>
      <c r="AK42" t="str">
        <v>ME100006</v>
      </c>
      <c r="AM42" t="str">
        <v>Qualified</v>
      </c>
      <c r="AN42">
        <v>46425</v>
      </c>
      <c r="AO42">
        <v>2</v>
      </c>
      <c r="AP42">
        <v>1</v>
      </c>
      <c r="AR42" t="str">
        <v>Reviewed - Clear to Drive</v>
      </c>
      <c r="AS42">
        <v>45544</v>
      </c>
      <c r="AT42" t="str">
        <v>Authorized to Work</v>
      </c>
      <c r="AU42" t="str">
        <v>U.S. Passport</v>
      </c>
      <c r="AX42">
        <v>45544</v>
      </c>
      <c r="AY42" t="str">
        <v>BOF Onboarding Team</v>
      </c>
      <c r="AZ42" t="str">
        <v>Complete</v>
      </c>
      <c r="BB42" t="str">
        <v>Individual/Sole Proprietor</v>
      </c>
      <c r="BC42" t="str">
        <v>SSN</v>
      </c>
      <c r="BD42" t="str">
        <v>***-**-0101</v>
      </c>
      <c r="BF42">
        <v>45544</v>
      </c>
      <c r="BG42" t="str">
        <v>Received</v>
      </c>
      <c r="BH42" t="str">
        <v>Checking</v>
      </c>
      <c r="BI42" t="str">
        <v>Direct Deposit</v>
      </c>
      <c r="BJ42">
        <v>45544</v>
      </c>
      <c r="BK42" t="str">
        <v>Verified</v>
      </c>
      <c r="BL42">
        <v>45537</v>
      </c>
      <c r="BM42" t="str">
        <v>R. Delgado</v>
      </c>
      <c r="BN42" t="str">
        <v>Sleeper tractor</v>
      </c>
      <c r="BO42" t="str">
        <v>53 ft reefer</v>
      </c>
      <c r="BP42" t="str">
        <v>Dallas, TX</v>
      </c>
      <c r="BQ42">
        <v>4</v>
      </c>
      <c r="BR42">
        <v>4</v>
      </c>
      <c r="BS42">
        <v>3</v>
      </c>
      <c r="BT42">
        <v>4</v>
      </c>
      <c r="BU42">
        <v>4</v>
      </c>
      <c r="BV42">
        <v>4</v>
      </c>
      <c r="BW42">
        <v>4</v>
      </c>
      <c r="BX42">
        <v>4</v>
      </c>
      <c r="BY42">
        <v>4</v>
      </c>
      <c r="BZ42" t="str">
        <v>Pass</v>
      </c>
      <c r="CA42" t="str">
        <v>Maintain following distance</v>
      </c>
      <c r="CB42" t="str">
        <v>Passed</v>
      </c>
      <c r="CC42" t="str">
        <v>Enrolled</v>
      </c>
      <c r="CD42" t="str">
        <v>Query Completed</v>
      </c>
      <c r="CE42">
        <v>46037</v>
      </c>
      <c r="CF42">
        <v>46218</v>
      </c>
      <c r="CH42" t="str">
        <v>Compliant</v>
      </c>
      <c r="CJ42" t="str">
        <v>Marcus</v>
      </c>
      <c r="CK42" t="str">
        <v>Chen</v>
      </c>
      <c r="CL42" t="str">
        <v>TX0000163</v>
      </c>
      <c r="CM42" t="str">
        <v>TX</v>
      </c>
      <c r="CN42" t="str">
        <v>CDL Holder</v>
      </c>
      <c r="CO42" t="str">
        <v>Marcus Chen</v>
      </c>
      <c r="CP42">
        <v>45664</v>
      </c>
      <c r="CQ42">
        <v>46394</v>
      </c>
      <c r="CR42" t="str">
        <v>(512) 555-0100</v>
      </c>
      <c r="CS42" t="str">
        <v>Dr. Monica Steele</v>
      </c>
      <c r="CT42">
        <v>45664</v>
      </c>
      <c r="CU42" t="str">
        <v>TX-ME-991196</v>
      </c>
      <c r="CV42" t="str">
        <v>ME100006</v>
      </c>
      <c r="CW42" t="str">
        <v>Physician Assistant</v>
      </c>
      <c r="CX42" t="str">
        <v>TX</v>
      </c>
      <c r="CY42" t="str">
        <v>Federal Motor Carrier Safety Regulations</v>
      </c>
      <c r="DA42" t="str">
        <v>No</v>
      </c>
      <c r="DB42" t="str">
        <v>No</v>
      </c>
      <c r="DC42" t="str">
        <v>No</v>
      </c>
      <c r="DD42" t="str">
        <v>No</v>
      </c>
      <c r="DE42" t="str">
        <v>No</v>
      </c>
      <c r="DF42" t="str">
        <v>No</v>
      </c>
      <c r="DG42" t="str">
        <v>Jane Doe</v>
      </c>
      <c r="DH42" t="str">
        <v>Sister</v>
      </c>
      <c r="DI42" t="str">
        <v>555-555-5555</v>
      </c>
      <c r="DJ42" t="str">
        <v>No</v>
      </c>
      <c r="DK42" t="str">
        <v>No</v>
      </c>
      <c r="DL42" t="str">
        <v>No</v>
      </c>
      <c r="DM42" t="str">
        <v>No</v>
      </c>
      <c r="DN42" t="str">
        <v>Yes - Appendectomy (2005)</v>
      </c>
      <c r="DO42" t="str">
        <v>20/20</v>
      </c>
      <c r="DP42" t="str">
        <v>20/20</v>
      </c>
      <c r="DQ42" t="str">
        <v>Pass</v>
      </c>
      <c r="DR42" t="str">
        <v>118</v>
      </c>
      <c r="DS42" t="str">
        <v>78</v>
      </c>
      <c r="DT42" t="str">
        <v>72</v>
      </c>
      <c r="DU42" t="str">
        <v>Normal</v>
      </c>
      <c r="DV42">
        <v>45392</v>
      </c>
      <c r="DW42">
        <v>45394</v>
      </c>
      <c r="DX42" t="str">
        <v>Negative</v>
      </c>
      <c r="DY42">
        <v>45397</v>
      </c>
      <c r="DZ42" t="str">
        <v>BOF Fleet Safety &amp; Compliance Policy 2024</v>
      </c>
      <c r="EA42" t="str">
        <v>Complete</v>
      </c>
      <c r="EB42">
        <v>45413</v>
      </c>
    </row>
    <row r="43">
      <c r="A43" t="str">
        <v>DRV-006</v>
      </c>
      <c r="B43" t="str">
        <v>Marcus Chen</v>
      </c>
      <c r="C43" t="str">
        <v>810 Demo Street, Dallas, TX 75202</v>
      </c>
      <c r="D43" t="str">
        <v>283-555-0100</v>
      </c>
      <c r="E43" t="str">
        <v>***-**-0101</v>
      </c>
      <c r="F43" t="str">
        <v>Chase</v>
      </c>
      <c r="G43">
        <v>000000112</v>
      </c>
      <c r="H43">
        <v>999900207</v>
      </c>
      <c r="I43" t="str">
        <v>Direct Deposit Form</v>
      </c>
      <c r="J43" t="str">
        <v>VALID</v>
      </c>
      <c r="K43" t="str">
        <v>TX0000157</v>
      </c>
      <c r="L43">
        <v>45826</v>
      </c>
      <c r="M43">
        <v>46394</v>
      </c>
      <c r="N43">
        <v>46455</v>
      </c>
      <c r="P43" t="str">
        <v>Bald</v>
      </c>
      <c r="Q43" t="str">
        <v>Brown</v>
      </c>
      <c r="R43" t="str">
        <v>6'-1"</v>
      </c>
      <c r="S43">
        <v>238</v>
      </c>
      <c r="T43" t="str">
        <v>M</v>
      </c>
      <c r="U43">
        <v>25569</v>
      </c>
      <c r="V43" t="str">
        <v>DRV-006.png</v>
      </c>
      <c r="W43" t="str">
        <v>Asian</v>
      </c>
      <c r="X43" t="str">
        <v>mchen@example.com</v>
      </c>
      <c r="Y43" t="str">
        <v>810 Demo Street</v>
      </c>
      <c r="Z43" t="str">
        <v>Dallas</v>
      </c>
      <c r="AA43" t="str">
        <v>TX</v>
      </c>
      <c r="AB43">
        <v>75202</v>
      </c>
      <c r="AC43" t="str">
        <v>TX</v>
      </c>
      <c r="AD43" t="str">
        <v>Class A</v>
      </c>
      <c r="AE43">
        <v>44004</v>
      </c>
      <c r="AF43" t="str">
        <v>H,N,T</v>
      </c>
      <c r="AH43">
        <v>45664</v>
      </c>
      <c r="AI43" t="str">
        <v>MC-0060208</v>
      </c>
      <c r="AJ43" t="str">
        <v>Dr. Monica Steele</v>
      </c>
      <c r="AK43" t="str">
        <v>ME100006</v>
      </c>
      <c r="AM43" t="str">
        <v>Qualified</v>
      </c>
      <c r="AN43">
        <v>46425</v>
      </c>
      <c r="AO43">
        <v>2</v>
      </c>
      <c r="AP43">
        <v>1</v>
      </c>
      <c r="AR43" t="str">
        <v>Reviewed - Clear to Drive</v>
      </c>
      <c r="AS43">
        <v>45544</v>
      </c>
      <c r="AT43" t="str">
        <v>Authorized to Work</v>
      </c>
      <c r="AU43" t="str">
        <v>U.S. Passport</v>
      </c>
      <c r="AX43">
        <v>45544</v>
      </c>
      <c r="AY43" t="str">
        <v>BOF Onboarding Team</v>
      </c>
      <c r="AZ43" t="str">
        <v>Complete</v>
      </c>
      <c r="BB43" t="str">
        <v>Individual/Sole Proprietor</v>
      </c>
      <c r="BC43" t="str">
        <v>SSN</v>
      </c>
      <c r="BD43" t="str">
        <v>***-**-0101</v>
      </c>
      <c r="BF43">
        <v>45544</v>
      </c>
      <c r="BG43" t="str">
        <v>Received</v>
      </c>
      <c r="BH43" t="str">
        <v>Checking</v>
      </c>
      <c r="BI43" t="str">
        <v>Direct Deposit</v>
      </c>
      <c r="BJ43">
        <v>45544</v>
      </c>
      <c r="BK43" t="str">
        <v>Verified</v>
      </c>
      <c r="BL43">
        <v>45537</v>
      </c>
      <c r="BM43" t="str">
        <v>R. Delgado</v>
      </c>
      <c r="BN43" t="str">
        <v>Sleeper tractor</v>
      </c>
      <c r="BO43" t="str">
        <v>53 ft reefer</v>
      </c>
      <c r="BP43" t="str">
        <v>Dallas, TX</v>
      </c>
      <c r="BQ43">
        <v>4</v>
      </c>
      <c r="BR43">
        <v>4</v>
      </c>
      <c r="BS43">
        <v>3</v>
      </c>
      <c r="BT43">
        <v>4</v>
      </c>
      <c r="BU43">
        <v>4</v>
      </c>
      <c r="BV43">
        <v>4</v>
      </c>
      <c r="BW43">
        <v>4</v>
      </c>
      <c r="BX43">
        <v>4</v>
      </c>
      <c r="BY43">
        <v>4</v>
      </c>
      <c r="BZ43" t="str">
        <v>Pass</v>
      </c>
      <c r="CA43" t="str">
        <v>Maintain following distance</v>
      </c>
      <c r="CB43" t="str">
        <v>Passed</v>
      </c>
      <c r="CC43" t="str">
        <v>Enrolled</v>
      </c>
      <c r="CD43" t="str">
        <v>Query Completed</v>
      </c>
      <c r="CE43">
        <v>46037</v>
      </c>
      <c r="CF43">
        <v>46218</v>
      </c>
      <c r="CH43" t="str">
        <v>Compliant</v>
      </c>
      <c r="CJ43" t="str">
        <v>Marcus</v>
      </c>
      <c r="CK43" t="str">
        <v>Chen</v>
      </c>
      <c r="CL43" t="str">
        <v>TX0000164</v>
      </c>
      <c r="CM43" t="str">
        <v>TX</v>
      </c>
      <c r="CN43" t="str">
        <v>CDL Holder</v>
      </c>
      <c r="CO43" t="str">
        <v>Marcus Chen</v>
      </c>
      <c r="CP43">
        <v>45664</v>
      </c>
      <c r="CQ43">
        <v>46394</v>
      </c>
      <c r="CR43" t="str">
        <v>(512) 555-0100</v>
      </c>
      <c r="CS43" t="str">
        <v>Dr. Monica Steele</v>
      </c>
      <c r="CT43">
        <v>45664</v>
      </c>
      <c r="CU43" t="str">
        <v>TX-ME-991196</v>
      </c>
      <c r="CV43" t="str">
        <v>ME100006</v>
      </c>
      <c r="CW43" t="str">
        <v>Physician Assistant</v>
      </c>
      <c r="CX43" t="str">
        <v>TX</v>
      </c>
      <c r="CY43" t="str">
        <v>Federal Motor Carrier Safety Regulations</v>
      </c>
      <c r="DA43" t="str">
        <v>No</v>
      </c>
      <c r="DB43" t="str">
        <v>No</v>
      </c>
      <c r="DC43" t="str">
        <v>No</v>
      </c>
      <c r="DD43" t="str">
        <v>No</v>
      </c>
      <c r="DE43" t="str">
        <v>No</v>
      </c>
      <c r="DF43" t="str">
        <v>No</v>
      </c>
      <c r="DG43" t="str">
        <v>Jane Doe</v>
      </c>
      <c r="DH43" t="str">
        <v>Sister</v>
      </c>
      <c r="DI43" t="str">
        <v>555-555-5555</v>
      </c>
      <c r="DJ43" t="str">
        <v>No</v>
      </c>
      <c r="DK43" t="str">
        <v>No</v>
      </c>
      <c r="DL43" t="str">
        <v>No</v>
      </c>
      <c r="DM43" t="str">
        <v>No</v>
      </c>
      <c r="DN43" t="str">
        <v>Yes - Appendectomy (2005)</v>
      </c>
      <c r="DO43" t="str">
        <v>20/20</v>
      </c>
      <c r="DP43" t="str">
        <v>20/20</v>
      </c>
      <c r="DQ43" t="str">
        <v>Pass</v>
      </c>
      <c r="DR43" t="str">
        <v>118</v>
      </c>
      <c r="DS43" t="str">
        <v>78</v>
      </c>
      <c r="DT43" t="str">
        <v>72</v>
      </c>
      <c r="DU43" t="str">
        <v>Normal</v>
      </c>
      <c r="DV43">
        <v>45392</v>
      </c>
      <c r="DW43">
        <v>45394</v>
      </c>
      <c r="DX43" t="str">
        <v>Negative</v>
      </c>
      <c r="DY43">
        <v>45397</v>
      </c>
      <c r="DZ43" t="str">
        <v>BOF Fleet Safety &amp; Compliance Policy 2024</v>
      </c>
      <c r="EA43" t="str">
        <v>Complete</v>
      </c>
      <c r="EB43">
        <v>45413</v>
      </c>
    </row>
    <row r="44">
      <c r="A44" t="str">
        <v>DRV-007</v>
      </c>
      <c r="B44" t="str">
        <v>Sofia Gomez</v>
      </c>
      <c r="C44" t="str">
        <v>1020 Demo Street, Cleveland, OH 44115</v>
      </c>
      <c r="D44" t="str">
        <v>896-555-0100</v>
      </c>
      <c r="E44" t="str">
        <v>***-**-0109</v>
      </c>
      <c r="F44" t="str">
        <v>Bank of America</v>
      </c>
      <c r="G44">
        <v>000000110</v>
      </c>
      <c r="H44">
        <v>999900212</v>
      </c>
      <c r="I44" t="str">
        <v>CDL Summary</v>
      </c>
      <c r="J44" t="str">
        <v>VALID</v>
      </c>
      <c r="K44" t="str">
        <v>OH0000112</v>
      </c>
      <c r="L44">
        <v>46530</v>
      </c>
      <c r="M44">
        <v>45739</v>
      </c>
      <c r="N44">
        <v>46456</v>
      </c>
      <c r="P44" t="str">
        <v>Blonde</v>
      </c>
      <c r="Q44" t="str">
        <v>Blue</v>
      </c>
      <c r="R44" t="str">
        <v>5'-4"</v>
      </c>
      <c r="S44">
        <v>122</v>
      </c>
      <c r="T44" t="str">
        <v>F</v>
      </c>
      <c r="U44">
        <v>36161</v>
      </c>
      <c r="V44" t="str">
        <v>DRV-007.png</v>
      </c>
      <c r="W44" t="str">
        <v>Hispanic</v>
      </c>
      <c r="X44" t="str">
        <v>sofiagomez@example.com</v>
      </c>
      <c r="Y44" t="str">
        <v>1020 Demo Street</v>
      </c>
      <c r="Z44" t="str">
        <v>Cleveland</v>
      </c>
      <c r="AA44" t="str">
        <v>OH</v>
      </c>
      <c r="AB44">
        <v>44115</v>
      </c>
      <c r="AC44" t="str">
        <v>OH</v>
      </c>
      <c r="AD44" t="str">
        <v>Class A</v>
      </c>
      <c r="AE44">
        <v>44708</v>
      </c>
      <c r="AF44" t="str">
        <v>N</v>
      </c>
      <c r="AH44">
        <v>45009</v>
      </c>
      <c r="AI44" t="str">
        <v>MC-0071214</v>
      </c>
      <c r="AJ44" t="str">
        <v>Dr. James Carter</v>
      </c>
      <c r="AK44" t="str">
        <v>ME100007</v>
      </c>
      <c r="AM44" t="str">
        <v>Qualified</v>
      </c>
      <c r="AN44">
        <v>46426</v>
      </c>
      <c r="AO44">
        <v>0</v>
      </c>
      <c r="AP44">
        <v>0</v>
      </c>
      <c r="AR44" t="str">
        <v>Clear</v>
      </c>
      <c r="AS44">
        <v>45566</v>
      </c>
      <c r="AT44" t="str">
        <v>Authorized to Work</v>
      </c>
      <c r="AU44" t="str">
        <v>U.S. Passport</v>
      </c>
      <c r="AX44">
        <v>45566</v>
      </c>
      <c r="AY44" t="str">
        <v>BOF Onboarding Team</v>
      </c>
      <c r="AZ44" t="str">
        <v>Complete</v>
      </c>
      <c r="BB44" t="str">
        <v>Individual/Sole Proprietor</v>
      </c>
      <c r="BC44" t="str">
        <v>SSN</v>
      </c>
      <c r="BD44" t="str">
        <v>***-**-0109</v>
      </c>
      <c r="BF44">
        <v>45566</v>
      </c>
      <c r="BG44" t="str">
        <v>Received</v>
      </c>
      <c r="BH44" t="str">
        <v>Checking</v>
      </c>
      <c r="BI44" t="str">
        <v>Direct Deposit</v>
      </c>
      <c r="BJ44">
        <v>45566</v>
      </c>
      <c r="BK44" t="str">
        <v>Verified</v>
      </c>
      <c r="BL44">
        <v>45559</v>
      </c>
      <c r="BM44" t="str">
        <v>N. Brooks</v>
      </c>
      <c r="BN44" t="str">
        <v>Box truck</v>
      </c>
      <c r="BO44" t="str">
        <v>26 ft box</v>
      </c>
      <c r="BP44" t="str">
        <v>Cleveland, OH</v>
      </c>
      <c r="BQ44">
        <v>5</v>
      </c>
      <c r="BR44">
        <v>5</v>
      </c>
      <c r="BS44">
        <v>4</v>
      </c>
      <c r="BT44">
        <v>5</v>
      </c>
      <c r="BU44">
        <v>5</v>
      </c>
      <c r="BV44">
        <v>5</v>
      </c>
      <c r="BX44">
        <v>5</v>
      </c>
      <c r="BY44">
        <v>5</v>
      </c>
      <c r="BZ44" t="str">
        <v>Pass</v>
      </c>
      <c r="CB44" t="str">
        <v>Passed</v>
      </c>
      <c r="CC44" t="str">
        <v>Enrolled</v>
      </c>
      <c r="CD44" t="str">
        <v>Query Completed</v>
      </c>
      <c r="CE44">
        <v>46037</v>
      </c>
      <c r="CF44">
        <v>46218</v>
      </c>
      <c r="CH44" t="str">
        <v>Compliant</v>
      </c>
      <c r="CJ44" t="str">
        <v>Sofia</v>
      </c>
      <c r="CK44" t="str">
        <v>Gomez</v>
      </c>
      <c r="CL44" t="str">
        <v>OH0000112</v>
      </c>
      <c r="CM44" t="str">
        <v>OH</v>
      </c>
      <c r="CN44" t="str">
        <v>CDL Holder</v>
      </c>
      <c r="CO44" t="str">
        <v>Sofia Gomez</v>
      </c>
      <c r="CP44">
        <v>45009</v>
      </c>
      <c r="CQ44">
        <v>45739</v>
      </c>
      <c r="CR44" t="str">
        <v>(614) 555-0105</v>
      </c>
      <c r="CS44" t="str">
        <v>Dr. James Carter</v>
      </c>
      <c r="CT44">
        <v>45009</v>
      </c>
      <c r="CU44" t="str">
        <v>OH-ME-801071</v>
      </c>
      <c r="CV44" t="str">
        <v>ME100007</v>
      </c>
      <c r="CW44" t="str">
        <v>DO</v>
      </c>
      <c r="CX44" t="str">
        <v>OH</v>
      </c>
      <c r="CY44" t="str">
        <v>Federal Motor Carrier Safety Regulations</v>
      </c>
      <c r="DA44" t="str">
        <v>No</v>
      </c>
      <c r="DB44" t="str">
        <v>No</v>
      </c>
      <c r="DC44" t="str">
        <v>No</v>
      </c>
      <c r="DD44" t="str">
        <v>No</v>
      </c>
      <c r="DE44" t="str">
        <v>No</v>
      </c>
      <c r="DF44" t="str">
        <v>No</v>
      </c>
      <c r="DG44" t="str">
        <v>Jane Doe</v>
      </c>
      <c r="DH44" t="str">
        <v>Sister</v>
      </c>
      <c r="DI44" t="str">
        <v>555-555-5555</v>
      </c>
      <c r="DJ44" t="str">
        <v>No</v>
      </c>
      <c r="DK44" t="str">
        <v>No</v>
      </c>
      <c r="DL44" t="str">
        <v>No</v>
      </c>
      <c r="DM44" t="str">
        <v>No</v>
      </c>
      <c r="DN44" t="str">
        <v>Yes - Appendectomy (2005)</v>
      </c>
      <c r="DO44" t="str">
        <v>20/20</v>
      </c>
      <c r="DP44" t="str">
        <v>20/20</v>
      </c>
      <c r="DQ44" t="str">
        <v>Pass</v>
      </c>
      <c r="DR44" t="str">
        <v>118</v>
      </c>
      <c r="DS44" t="str">
        <v>78</v>
      </c>
      <c r="DT44" t="str">
        <v>72</v>
      </c>
      <c r="DU44" t="str">
        <v>Normal</v>
      </c>
      <c r="DV44">
        <v>45392</v>
      </c>
      <c r="DW44">
        <v>45394</v>
      </c>
      <c r="DX44" t="str">
        <v>Negative</v>
      </c>
      <c r="DY44">
        <v>45397</v>
      </c>
      <c r="DZ44" t="str">
        <v>BOF Fleet Safety &amp; Compliance Policy 2024</v>
      </c>
      <c r="EA44" t="str">
        <v>Complete</v>
      </c>
      <c r="EB44">
        <v>45413</v>
      </c>
    </row>
    <row r="45">
      <c r="A45" t="str">
        <v>DRV-007</v>
      </c>
      <c r="B45" t="str">
        <v>Sofia Gomez</v>
      </c>
      <c r="C45" t="str">
        <v>1020 Demo Street, Cleveland, OH 44115</v>
      </c>
      <c r="D45" t="str">
        <v>896-555-0100</v>
      </c>
      <c r="E45" t="str">
        <v>***-**-0109</v>
      </c>
      <c r="F45" t="str">
        <v>Bank of America</v>
      </c>
      <c r="G45">
        <v>000000110</v>
      </c>
      <c r="H45">
        <v>999900212</v>
      </c>
      <c r="I45" t="str">
        <v>Medical Certification</v>
      </c>
      <c r="J45" t="str">
        <v>VALID</v>
      </c>
      <c r="K45" t="str">
        <v>OH0000103</v>
      </c>
      <c r="L45">
        <v>46530</v>
      </c>
      <c r="M45">
        <v>45739</v>
      </c>
      <c r="N45">
        <v>46456</v>
      </c>
      <c r="P45" t="str">
        <v>Blonde</v>
      </c>
      <c r="Q45" t="str">
        <v>Blue</v>
      </c>
      <c r="R45" t="str">
        <v>5'-4"</v>
      </c>
      <c r="S45">
        <v>122</v>
      </c>
      <c r="T45" t="str">
        <v>F</v>
      </c>
      <c r="U45">
        <v>36161</v>
      </c>
      <c r="V45" t="str">
        <v>DRV-007.png</v>
      </c>
      <c r="W45" t="str">
        <v>Hispanic</v>
      </c>
      <c r="X45" t="str">
        <v>sofiagomez@example.com</v>
      </c>
      <c r="Y45" t="str">
        <v>1020 Demo Street</v>
      </c>
      <c r="Z45" t="str">
        <v>Cleveland</v>
      </c>
      <c r="AA45" t="str">
        <v>OH</v>
      </c>
      <c r="AB45">
        <v>44115</v>
      </c>
      <c r="AC45" t="str">
        <v>OH</v>
      </c>
      <c r="AD45" t="str">
        <v>Class A</v>
      </c>
      <c r="AE45">
        <v>44708</v>
      </c>
      <c r="AF45" t="str">
        <v>N</v>
      </c>
      <c r="AH45">
        <v>45009</v>
      </c>
      <c r="AI45" t="str">
        <v>MC-0071214</v>
      </c>
      <c r="AJ45" t="str">
        <v>Dr. James Carter</v>
      </c>
      <c r="AK45" t="str">
        <v>ME100007</v>
      </c>
      <c r="AM45" t="str">
        <v>Qualified</v>
      </c>
      <c r="AN45">
        <v>46426</v>
      </c>
      <c r="AO45">
        <v>0</v>
      </c>
      <c r="AP45">
        <v>0</v>
      </c>
      <c r="AR45" t="str">
        <v>Clear</v>
      </c>
      <c r="AS45">
        <v>45566</v>
      </c>
      <c r="AT45" t="str">
        <v>Authorized to Work</v>
      </c>
      <c r="AU45" t="str">
        <v>U.S. Passport</v>
      </c>
      <c r="AX45">
        <v>45566</v>
      </c>
      <c r="AY45" t="str">
        <v>BOF Onboarding Team</v>
      </c>
      <c r="AZ45" t="str">
        <v>Complete</v>
      </c>
      <c r="BB45" t="str">
        <v>Individual/Sole Proprietor</v>
      </c>
      <c r="BC45" t="str">
        <v>SSN</v>
      </c>
      <c r="BD45" t="str">
        <v>***-**-0109</v>
      </c>
      <c r="BF45">
        <v>45566</v>
      </c>
      <c r="BG45" t="str">
        <v>Received</v>
      </c>
      <c r="BH45" t="str">
        <v>Checking</v>
      </c>
      <c r="BI45" t="str">
        <v>Direct Deposit</v>
      </c>
      <c r="BJ45">
        <v>45566</v>
      </c>
      <c r="BK45" t="str">
        <v>Verified</v>
      </c>
      <c r="BL45">
        <v>45559</v>
      </c>
      <c r="BM45" t="str">
        <v>N. Brooks</v>
      </c>
      <c r="BN45" t="str">
        <v>Box truck</v>
      </c>
      <c r="BO45" t="str">
        <v>26 ft box</v>
      </c>
      <c r="BP45" t="str">
        <v>Cleveland, OH</v>
      </c>
      <c r="BQ45">
        <v>5</v>
      </c>
      <c r="BR45">
        <v>5</v>
      </c>
      <c r="BS45">
        <v>4</v>
      </c>
      <c r="BT45">
        <v>5</v>
      </c>
      <c r="BU45">
        <v>5</v>
      </c>
      <c r="BV45">
        <v>5</v>
      </c>
      <c r="BX45">
        <v>5</v>
      </c>
      <c r="BY45">
        <v>5</v>
      </c>
      <c r="BZ45" t="str">
        <v>Pass</v>
      </c>
      <c r="CB45" t="str">
        <v>Passed</v>
      </c>
      <c r="CC45" t="str">
        <v>Enrolled</v>
      </c>
      <c r="CD45" t="str">
        <v>Query Completed</v>
      </c>
      <c r="CE45">
        <v>46037</v>
      </c>
      <c r="CF45">
        <v>46218</v>
      </c>
      <c r="CH45" t="str">
        <v>Compliant</v>
      </c>
      <c r="CJ45" t="str">
        <v>Sofia</v>
      </c>
      <c r="CK45" t="str">
        <v>Gomez</v>
      </c>
      <c r="CL45" t="str">
        <v>OH0000113</v>
      </c>
      <c r="CM45" t="str">
        <v>OH</v>
      </c>
      <c r="CN45" t="str">
        <v>CDL Holder</v>
      </c>
      <c r="CO45" t="str">
        <v>Sofia Gomez</v>
      </c>
      <c r="CP45">
        <v>45009</v>
      </c>
      <c r="CQ45">
        <v>45739</v>
      </c>
      <c r="CR45" t="str">
        <v>(614) 555-0105</v>
      </c>
      <c r="CS45" t="str">
        <v>Dr. James Carter</v>
      </c>
      <c r="CT45">
        <v>45009</v>
      </c>
      <c r="CU45" t="str">
        <v>OH-ME-801071</v>
      </c>
      <c r="CV45" t="str">
        <v>ME100007</v>
      </c>
      <c r="CW45" t="str">
        <v>DO</v>
      </c>
      <c r="CX45" t="str">
        <v>OH</v>
      </c>
      <c r="CY45" t="str">
        <v>Federal Motor Carrier Safety Regulations</v>
      </c>
      <c r="DA45" t="str">
        <v>No</v>
      </c>
      <c r="DB45" t="str">
        <v>No</v>
      </c>
      <c r="DC45" t="str">
        <v>No</v>
      </c>
      <c r="DD45" t="str">
        <v>No</v>
      </c>
      <c r="DE45" t="str">
        <v>No</v>
      </c>
      <c r="DF45" t="str">
        <v>No</v>
      </c>
      <c r="DG45" t="str">
        <v>Jane Doe</v>
      </c>
      <c r="DH45" t="str">
        <v>Sister</v>
      </c>
      <c r="DI45" t="str">
        <v>555-555-5555</v>
      </c>
      <c r="DJ45" t="str">
        <v>No</v>
      </c>
      <c r="DK45" t="str">
        <v>No</v>
      </c>
      <c r="DL45" t="str">
        <v>No</v>
      </c>
      <c r="DM45" t="str">
        <v>No</v>
      </c>
      <c r="DN45" t="str">
        <v>Yes - Appendectomy (2005)</v>
      </c>
      <c r="DO45" t="str">
        <v>20/20</v>
      </c>
      <c r="DP45" t="str">
        <v>20/20</v>
      </c>
      <c r="DQ45" t="str">
        <v>Pass</v>
      </c>
      <c r="DR45" t="str">
        <v>118</v>
      </c>
      <c r="DS45" t="str">
        <v>78</v>
      </c>
      <c r="DT45" t="str">
        <v>72</v>
      </c>
      <c r="DU45" t="str">
        <v>Normal</v>
      </c>
      <c r="DV45">
        <v>45392</v>
      </c>
      <c r="DW45">
        <v>45394</v>
      </c>
      <c r="DX45" t="str">
        <v>Negative</v>
      </c>
      <c r="DY45">
        <v>45397</v>
      </c>
      <c r="DZ45" t="str">
        <v>BOF Fleet Safety &amp; Compliance Policy 2024</v>
      </c>
      <c r="EA45" t="str">
        <v>Complete</v>
      </c>
      <c r="EB45">
        <v>45413</v>
      </c>
    </row>
    <row r="46">
      <c r="A46" t="str">
        <v>DRV-007</v>
      </c>
      <c r="B46" t="str">
        <v>Sofia Gomez</v>
      </c>
      <c r="C46" t="str">
        <v>1020 Demo Street, Cleveland, OH 44115</v>
      </c>
      <c r="D46" t="str">
        <v>896-555-0100</v>
      </c>
      <c r="E46" t="str">
        <v>***-**-0109</v>
      </c>
      <c r="F46" t="str">
        <v>Bank of America</v>
      </c>
      <c r="G46">
        <v>000000110</v>
      </c>
      <c r="H46">
        <v>999900212</v>
      </c>
      <c r="I46" t="str">
        <v>MVR Background Report</v>
      </c>
      <c r="J46" t="str">
        <v>VALID</v>
      </c>
      <c r="K46" t="str">
        <v>OH0000101</v>
      </c>
      <c r="L46">
        <v>46530</v>
      </c>
      <c r="M46">
        <v>45739</v>
      </c>
      <c r="N46">
        <v>46456</v>
      </c>
      <c r="P46" t="str">
        <v>Blonde</v>
      </c>
      <c r="Q46" t="str">
        <v>Blue</v>
      </c>
      <c r="R46" t="str">
        <v>5'-4"</v>
      </c>
      <c r="S46">
        <v>122</v>
      </c>
      <c r="T46" t="str">
        <v>F</v>
      </c>
      <c r="U46">
        <v>36161</v>
      </c>
      <c r="V46" t="str">
        <v>DRV-007.png</v>
      </c>
      <c r="W46" t="str">
        <v>Hispanic</v>
      </c>
      <c r="X46" t="str">
        <v>sofiagomez@example.com</v>
      </c>
      <c r="Y46" t="str">
        <v>1020 Demo Street</v>
      </c>
      <c r="Z46" t="str">
        <v>Cleveland</v>
      </c>
      <c r="AA46" t="str">
        <v>OH</v>
      </c>
      <c r="AB46">
        <v>44115</v>
      </c>
      <c r="AC46" t="str">
        <v>OH</v>
      </c>
      <c r="AD46" t="str">
        <v>Class A</v>
      </c>
      <c r="AE46">
        <v>44708</v>
      </c>
      <c r="AF46" t="str">
        <v>N</v>
      </c>
      <c r="AH46">
        <v>45009</v>
      </c>
      <c r="AI46" t="str">
        <v>MC-0071214</v>
      </c>
      <c r="AJ46" t="str">
        <v>Dr. James Carter</v>
      </c>
      <c r="AK46" t="str">
        <v>ME100007</v>
      </c>
      <c r="AM46" t="str">
        <v>Qualified</v>
      </c>
      <c r="AN46">
        <v>46426</v>
      </c>
      <c r="AO46">
        <v>0</v>
      </c>
      <c r="AP46">
        <v>0</v>
      </c>
      <c r="AR46" t="str">
        <v>Clear</v>
      </c>
      <c r="AS46">
        <v>45566</v>
      </c>
      <c r="AT46" t="str">
        <v>Authorized to Work</v>
      </c>
      <c r="AU46" t="str">
        <v>U.S. Passport</v>
      </c>
      <c r="AX46">
        <v>45566</v>
      </c>
      <c r="AY46" t="str">
        <v>BOF Onboarding Team</v>
      </c>
      <c r="AZ46" t="str">
        <v>Complete</v>
      </c>
      <c r="BB46" t="str">
        <v>Individual/Sole Proprietor</v>
      </c>
      <c r="BC46" t="str">
        <v>SSN</v>
      </c>
      <c r="BD46" t="str">
        <v>***-**-0109</v>
      </c>
      <c r="BF46">
        <v>45566</v>
      </c>
      <c r="BG46" t="str">
        <v>Received</v>
      </c>
      <c r="BH46" t="str">
        <v>Checking</v>
      </c>
      <c r="BI46" t="str">
        <v>Direct Deposit</v>
      </c>
      <c r="BJ46">
        <v>45566</v>
      </c>
      <c r="BK46" t="str">
        <v>Verified</v>
      </c>
      <c r="BL46">
        <v>45559</v>
      </c>
      <c r="BM46" t="str">
        <v>N. Brooks</v>
      </c>
      <c r="BN46" t="str">
        <v>Box truck</v>
      </c>
      <c r="BO46" t="str">
        <v>26 ft box</v>
      </c>
      <c r="BP46" t="str">
        <v>Cleveland, OH</v>
      </c>
      <c r="BQ46">
        <v>5</v>
      </c>
      <c r="BR46">
        <v>5</v>
      </c>
      <c r="BS46">
        <v>4</v>
      </c>
      <c r="BT46">
        <v>5</v>
      </c>
      <c r="BU46">
        <v>5</v>
      </c>
      <c r="BV46">
        <v>5</v>
      </c>
      <c r="BX46">
        <v>5</v>
      </c>
      <c r="BY46">
        <v>5</v>
      </c>
      <c r="BZ46" t="str">
        <v>Pass</v>
      </c>
      <c r="CB46" t="str">
        <v>Passed</v>
      </c>
      <c r="CC46" t="str">
        <v>Enrolled</v>
      </c>
      <c r="CD46" t="str">
        <v>Query Completed</v>
      </c>
      <c r="CE46">
        <v>46037</v>
      </c>
      <c r="CF46">
        <v>46218</v>
      </c>
      <c r="CH46" t="str">
        <v>Compliant</v>
      </c>
      <c r="CJ46" t="str">
        <v>Sofia</v>
      </c>
      <c r="CK46" t="str">
        <v>Gomez</v>
      </c>
      <c r="CL46" t="str">
        <v>OH0000114</v>
      </c>
      <c r="CM46" t="str">
        <v>OH</v>
      </c>
      <c r="CN46" t="str">
        <v>CDL Holder</v>
      </c>
      <c r="CO46" t="str">
        <v>Sofia Gomez</v>
      </c>
      <c r="CP46">
        <v>45009</v>
      </c>
      <c r="CQ46">
        <v>45739</v>
      </c>
      <c r="CR46" t="str">
        <v>(614) 555-0105</v>
      </c>
      <c r="CS46" t="str">
        <v>Dr. James Carter</v>
      </c>
      <c r="CT46">
        <v>45009</v>
      </c>
      <c r="CU46" t="str">
        <v>OH-ME-801071</v>
      </c>
      <c r="CV46" t="str">
        <v>ME100007</v>
      </c>
      <c r="CW46" t="str">
        <v>DO</v>
      </c>
      <c r="CX46" t="str">
        <v>OH</v>
      </c>
      <c r="CY46" t="str">
        <v>Federal Motor Carrier Safety Regulations</v>
      </c>
      <c r="DA46" t="str">
        <v>No</v>
      </c>
      <c r="DB46" t="str">
        <v>No</v>
      </c>
      <c r="DC46" t="str">
        <v>No</v>
      </c>
      <c r="DD46" t="str">
        <v>No</v>
      </c>
      <c r="DE46" t="str">
        <v>No</v>
      </c>
      <c r="DF46" t="str">
        <v>No</v>
      </c>
      <c r="DG46" t="str">
        <v>Jane Doe</v>
      </c>
      <c r="DH46" t="str">
        <v>Sister</v>
      </c>
      <c r="DI46" t="str">
        <v>555-555-5555</v>
      </c>
      <c r="DJ46" t="str">
        <v>No</v>
      </c>
      <c r="DK46" t="str">
        <v>No</v>
      </c>
      <c r="DL46" t="str">
        <v>No</v>
      </c>
      <c r="DM46" t="str">
        <v>No</v>
      </c>
      <c r="DN46" t="str">
        <v>Yes - Appendectomy (2005)</v>
      </c>
      <c r="DO46" t="str">
        <v>20/20</v>
      </c>
      <c r="DP46" t="str">
        <v>20/20</v>
      </c>
      <c r="DQ46" t="str">
        <v>Pass</v>
      </c>
      <c r="DR46" t="str">
        <v>118</v>
      </c>
      <c r="DS46" t="str">
        <v>78</v>
      </c>
      <c r="DT46" t="str">
        <v>72</v>
      </c>
      <c r="DU46" t="str">
        <v>Normal</v>
      </c>
      <c r="DV46">
        <v>45392</v>
      </c>
      <c r="DW46">
        <v>45394</v>
      </c>
      <c r="DX46" t="str">
        <v>Negative</v>
      </c>
      <c r="DY46">
        <v>45397</v>
      </c>
      <c r="DZ46" t="str">
        <v>BOF Fleet Safety &amp; Compliance Policy 2024</v>
      </c>
      <c r="EA46" t="str">
        <v>Complete</v>
      </c>
      <c r="EB46">
        <v>45413</v>
      </c>
    </row>
    <row r="47">
      <c r="A47" t="str">
        <v>DRV-007</v>
      </c>
      <c r="B47" t="str">
        <v>Sofia Gomez</v>
      </c>
      <c r="C47" t="str">
        <v>1020 Demo Street, Cleveland, OH 44115</v>
      </c>
      <c r="D47" t="str">
        <v>896-555-0100</v>
      </c>
      <c r="E47" t="str">
        <v>***-**-0109</v>
      </c>
      <c r="F47" t="str">
        <v>Bank of America</v>
      </c>
      <c r="G47">
        <v>000000110</v>
      </c>
      <c r="H47">
        <v>999900212</v>
      </c>
      <c r="I47" t="str">
        <v>Driver Application</v>
      </c>
      <c r="J47" t="str">
        <v>VALID</v>
      </c>
      <c r="K47" t="str">
        <v>OH0000129</v>
      </c>
      <c r="L47">
        <v>46530</v>
      </c>
      <c r="M47">
        <v>45739</v>
      </c>
      <c r="N47">
        <v>46456</v>
      </c>
      <c r="P47" t="str">
        <v>Blonde</v>
      </c>
      <c r="Q47" t="str">
        <v>Blue</v>
      </c>
      <c r="R47" t="str">
        <v>5'-4"</v>
      </c>
      <c r="S47">
        <v>122</v>
      </c>
      <c r="T47" t="str">
        <v>F</v>
      </c>
      <c r="U47">
        <v>36161</v>
      </c>
      <c r="V47" t="str">
        <v>DRV-007.png</v>
      </c>
      <c r="W47" t="str">
        <v>Hispanic</v>
      </c>
      <c r="X47" t="str">
        <v>sofiagomez@example.com</v>
      </c>
      <c r="Y47" t="str">
        <v>1020 Demo Street</v>
      </c>
      <c r="Z47" t="str">
        <v>Cleveland</v>
      </c>
      <c r="AA47" t="str">
        <v>OH</v>
      </c>
      <c r="AB47">
        <v>44115</v>
      </c>
      <c r="AC47" t="str">
        <v>OH</v>
      </c>
      <c r="AD47" t="str">
        <v>Class A</v>
      </c>
      <c r="AE47">
        <v>44708</v>
      </c>
      <c r="AF47" t="str">
        <v>N</v>
      </c>
      <c r="AH47">
        <v>45009</v>
      </c>
      <c r="AI47" t="str">
        <v>MC-0071214</v>
      </c>
      <c r="AJ47" t="str">
        <v>Dr. James Carter</v>
      </c>
      <c r="AK47" t="str">
        <v>ME100007</v>
      </c>
      <c r="AM47" t="str">
        <v>Qualified</v>
      </c>
      <c r="AN47">
        <v>46426</v>
      </c>
      <c r="AO47">
        <v>0</v>
      </c>
      <c r="AP47">
        <v>0</v>
      </c>
      <c r="AR47" t="str">
        <v>Clear</v>
      </c>
      <c r="AS47">
        <v>45566</v>
      </c>
      <c r="AT47" t="str">
        <v>Authorized to Work</v>
      </c>
      <c r="AU47" t="str">
        <v>U.S. Passport</v>
      </c>
      <c r="AX47">
        <v>45566</v>
      </c>
      <c r="AY47" t="str">
        <v>BOF Onboarding Team</v>
      </c>
      <c r="AZ47" t="str">
        <v>Complete</v>
      </c>
      <c r="BB47" t="str">
        <v>Individual/Sole Proprietor</v>
      </c>
      <c r="BC47" t="str">
        <v>SSN</v>
      </c>
      <c r="BD47" t="str">
        <v>***-**-0109</v>
      </c>
      <c r="BF47">
        <v>45566</v>
      </c>
      <c r="BG47" t="str">
        <v>Received</v>
      </c>
      <c r="BH47" t="str">
        <v>Checking</v>
      </c>
      <c r="BI47" t="str">
        <v>Direct Deposit</v>
      </c>
      <c r="BJ47">
        <v>45566</v>
      </c>
      <c r="BK47" t="str">
        <v>Verified</v>
      </c>
      <c r="BL47">
        <v>45559</v>
      </c>
      <c r="BM47" t="str">
        <v>N. Brooks</v>
      </c>
      <c r="BN47" t="str">
        <v>Box truck</v>
      </c>
      <c r="BO47" t="str">
        <v>26 ft box</v>
      </c>
      <c r="BP47" t="str">
        <v>Cleveland, OH</v>
      </c>
      <c r="BQ47">
        <v>5</v>
      </c>
      <c r="BR47">
        <v>5</v>
      </c>
      <c r="BS47">
        <v>4</v>
      </c>
      <c r="BT47">
        <v>5</v>
      </c>
      <c r="BU47">
        <v>5</v>
      </c>
      <c r="BV47">
        <v>5</v>
      </c>
      <c r="BX47">
        <v>5</v>
      </c>
      <c r="BY47">
        <v>5</v>
      </c>
      <c r="BZ47" t="str">
        <v>Pass</v>
      </c>
      <c r="CB47" t="str">
        <v>Passed</v>
      </c>
      <c r="CC47" t="str">
        <v>Enrolled</v>
      </c>
      <c r="CD47" t="str">
        <v>Query Completed</v>
      </c>
      <c r="CE47">
        <v>46037</v>
      </c>
      <c r="CF47">
        <v>46218</v>
      </c>
      <c r="CH47" t="str">
        <v>Compliant</v>
      </c>
      <c r="CJ47" t="str">
        <v>Sofia</v>
      </c>
      <c r="CK47" t="str">
        <v>Gomez</v>
      </c>
      <c r="CL47" t="str">
        <v>OH0000115</v>
      </c>
      <c r="CM47" t="str">
        <v>OH</v>
      </c>
      <c r="CN47" t="str">
        <v>CDL Holder</v>
      </c>
      <c r="CO47" t="str">
        <v>Sofia Gomez</v>
      </c>
      <c r="CP47">
        <v>45009</v>
      </c>
      <c r="CQ47">
        <v>45739</v>
      </c>
      <c r="CR47" t="str">
        <v>(614) 555-0105</v>
      </c>
      <c r="CS47" t="str">
        <v>Dr. James Carter</v>
      </c>
      <c r="CT47">
        <v>45009</v>
      </c>
      <c r="CU47" t="str">
        <v>OH-ME-801071</v>
      </c>
      <c r="CV47" t="str">
        <v>ME100007</v>
      </c>
      <c r="CW47" t="str">
        <v>DO</v>
      </c>
      <c r="CX47" t="str">
        <v>OH</v>
      </c>
      <c r="CY47" t="str">
        <v>Federal Motor Carrier Safety Regulations</v>
      </c>
      <c r="DA47" t="str">
        <v>No</v>
      </c>
      <c r="DB47" t="str">
        <v>No</v>
      </c>
      <c r="DC47" t="str">
        <v>No</v>
      </c>
      <c r="DD47" t="str">
        <v>No</v>
      </c>
      <c r="DE47" t="str">
        <v>No</v>
      </c>
      <c r="DF47" t="str">
        <v>No</v>
      </c>
      <c r="DG47" t="str">
        <v>Jane Doe</v>
      </c>
      <c r="DH47" t="str">
        <v>Sister</v>
      </c>
      <c r="DI47" t="str">
        <v>555-555-5555</v>
      </c>
      <c r="DJ47" t="str">
        <v>No</v>
      </c>
      <c r="DK47" t="str">
        <v>No</v>
      </c>
      <c r="DL47" t="str">
        <v>No</v>
      </c>
      <c r="DM47" t="str">
        <v>No</v>
      </c>
      <c r="DN47" t="str">
        <v>Yes - Appendectomy (2005)</v>
      </c>
      <c r="DO47" t="str">
        <v>20/20</v>
      </c>
      <c r="DP47" t="str">
        <v>20/20</v>
      </c>
      <c r="DQ47" t="str">
        <v>Pass</v>
      </c>
      <c r="DR47" t="str">
        <v>118</v>
      </c>
      <c r="DS47" t="str">
        <v>78</v>
      </c>
      <c r="DT47" t="str">
        <v>72</v>
      </c>
      <c r="DU47" t="str">
        <v>Normal</v>
      </c>
      <c r="DV47">
        <v>45392</v>
      </c>
      <c r="DW47">
        <v>45394</v>
      </c>
      <c r="DX47" t="str">
        <v>Negative</v>
      </c>
      <c r="DY47">
        <v>45397</v>
      </c>
      <c r="DZ47" t="str">
        <v>BOF Fleet Safety &amp; Compliance Policy 2024</v>
      </c>
      <c r="EA47" t="str">
        <v>Complete</v>
      </c>
      <c r="EB47">
        <v>45413</v>
      </c>
    </row>
    <row r="48">
      <c r="A48" t="str">
        <v>DRV-007</v>
      </c>
      <c r="B48" t="str">
        <v>Sofia Gomez</v>
      </c>
      <c r="C48" t="str">
        <v>1020 Demo Street, Cleveland, OH 44115</v>
      </c>
      <c r="D48" t="str">
        <v>896-555-0100</v>
      </c>
      <c r="E48" t="str">
        <v>***-**-0109</v>
      </c>
      <c r="F48" t="str">
        <v>Bank of America</v>
      </c>
      <c r="G48">
        <v>000000110</v>
      </c>
      <c r="H48">
        <v>999900212</v>
      </c>
      <c r="I48" t="str">
        <v>Road Test Certificate</v>
      </c>
      <c r="J48" t="str">
        <v>VALID</v>
      </c>
      <c r="K48" t="str">
        <v>OH0000120</v>
      </c>
      <c r="L48">
        <v>46530</v>
      </c>
      <c r="M48">
        <v>45739</v>
      </c>
      <c r="N48">
        <v>46456</v>
      </c>
      <c r="P48" t="str">
        <v>Blonde</v>
      </c>
      <c r="Q48" t="str">
        <v>Blue</v>
      </c>
      <c r="R48" t="str">
        <v>5'-4"</v>
      </c>
      <c r="S48">
        <v>122</v>
      </c>
      <c r="T48" t="str">
        <v>F</v>
      </c>
      <c r="U48">
        <v>36161</v>
      </c>
      <c r="V48" t="str">
        <v>DRV-007.png</v>
      </c>
      <c r="W48" t="str">
        <v>Hispanic</v>
      </c>
      <c r="X48" t="str">
        <v>sofiagomez@example.com</v>
      </c>
      <c r="Y48" t="str">
        <v>1020 Demo Street</v>
      </c>
      <c r="Z48" t="str">
        <v>Cleveland</v>
      </c>
      <c r="AA48" t="str">
        <v>OH</v>
      </c>
      <c r="AB48">
        <v>44115</v>
      </c>
      <c r="AC48" t="str">
        <v>OH</v>
      </c>
      <c r="AD48" t="str">
        <v>Class A</v>
      </c>
      <c r="AE48">
        <v>44708</v>
      </c>
      <c r="AF48" t="str">
        <v>N</v>
      </c>
      <c r="AH48">
        <v>45009</v>
      </c>
      <c r="AI48" t="str">
        <v>MC-0071214</v>
      </c>
      <c r="AJ48" t="str">
        <v>Dr. James Carter</v>
      </c>
      <c r="AK48" t="str">
        <v>ME100007</v>
      </c>
      <c r="AM48" t="str">
        <v>Qualified</v>
      </c>
      <c r="AN48">
        <v>46426</v>
      </c>
      <c r="AO48">
        <v>0</v>
      </c>
      <c r="AP48">
        <v>0</v>
      </c>
      <c r="AR48" t="str">
        <v>Clear</v>
      </c>
      <c r="AS48">
        <v>45566</v>
      </c>
      <c r="AT48" t="str">
        <v>Authorized to Work</v>
      </c>
      <c r="AU48" t="str">
        <v>U.S. Passport</v>
      </c>
      <c r="AX48">
        <v>45566</v>
      </c>
      <c r="AY48" t="str">
        <v>BOF Onboarding Team</v>
      </c>
      <c r="AZ48" t="str">
        <v>Complete</v>
      </c>
      <c r="BB48" t="str">
        <v>Individual/Sole Proprietor</v>
      </c>
      <c r="BC48" t="str">
        <v>SSN</v>
      </c>
      <c r="BD48" t="str">
        <v>***-**-0109</v>
      </c>
      <c r="BF48">
        <v>45566</v>
      </c>
      <c r="BG48" t="str">
        <v>Received</v>
      </c>
      <c r="BH48" t="str">
        <v>Checking</v>
      </c>
      <c r="BI48" t="str">
        <v>Direct Deposit</v>
      </c>
      <c r="BJ48">
        <v>45566</v>
      </c>
      <c r="BK48" t="str">
        <v>Verified</v>
      </c>
      <c r="BL48">
        <v>45559</v>
      </c>
      <c r="BM48" t="str">
        <v>N. Brooks</v>
      </c>
      <c r="BN48" t="str">
        <v>Box truck</v>
      </c>
      <c r="BO48" t="str">
        <v>26 ft box</v>
      </c>
      <c r="BP48" t="str">
        <v>Cleveland, OH</v>
      </c>
      <c r="BQ48">
        <v>5</v>
      </c>
      <c r="BR48">
        <v>5</v>
      </c>
      <c r="BS48">
        <v>4</v>
      </c>
      <c r="BT48">
        <v>5</v>
      </c>
      <c r="BU48">
        <v>5</v>
      </c>
      <c r="BV48">
        <v>5</v>
      </c>
      <c r="BX48">
        <v>5</v>
      </c>
      <c r="BY48">
        <v>5</v>
      </c>
      <c r="BZ48" t="str">
        <v>Pass</v>
      </c>
      <c r="CB48" t="str">
        <v>Passed</v>
      </c>
      <c r="CC48" t="str">
        <v>Enrolled</v>
      </c>
      <c r="CD48" t="str">
        <v>Query Completed</v>
      </c>
      <c r="CE48">
        <v>46037</v>
      </c>
      <c r="CF48">
        <v>46218</v>
      </c>
      <c r="CH48" t="str">
        <v>Compliant</v>
      </c>
      <c r="CJ48" t="str">
        <v>Sofia</v>
      </c>
      <c r="CK48" t="str">
        <v>Gomez</v>
      </c>
      <c r="CL48" t="str">
        <v>OH0000116</v>
      </c>
      <c r="CM48" t="str">
        <v>OH</v>
      </c>
      <c r="CN48" t="str">
        <v>CDL Holder</v>
      </c>
      <c r="CO48" t="str">
        <v>Sofia Gomez</v>
      </c>
      <c r="CP48">
        <v>45009</v>
      </c>
      <c r="CQ48">
        <v>45739</v>
      </c>
      <c r="CR48" t="str">
        <v>(614) 555-0105</v>
      </c>
      <c r="CS48" t="str">
        <v>Dr. James Carter</v>
      </c>
      <c r="CT48">
        <v>45009</v>
      </c>
      <c r="CU48" t="str">
        <v>OH-ME-801071</v>
      </c>
      <c r="CV48" t="str">
        <v>ME100007</v>
      </c>
      <c r="CW48" t="str">
        <v>DO</v>
      </c>
      <c r="CX48" t="str">
        <v>OH</v>
      </c>
      <c r="CY48" t="str">
        <v>Federal Motor Carrier Safety Regulations</v>
      </c>
      <c r="DA48" t="str">
        <v>No</v>
      </c>
      <c r="DB48" t="str">
        <v>No</v>
      </c>
      <c r="DC48" t="str">
        <v>No</v>
      </c>
      <c r="DD48" t="str">
        <v>No</v>
      </c>
      <c r="DE48" t="str">
        <v>No</v>
      </c>
      <c r="DF48" t="str">
        <v>No</v>
      </c>
      <c r="DG48" t="str">
        <v>Jane Doe</v>
      </c>
      <c r="DH48" t="str">
        <v>Sister</v>
      </c>
      <c r="DI48" t="str">
        <v>555-555-5555</v>
      </c>
      <c r="DJ48" t="str">
        <v>No</v>
      </c>
      <c r="DK48" t="str">
        <v>No</v>
      </c>
      <c r="DL48" t="str">
        <v>No</v>
      </c>
      <c r="DM48" t="str">
        <v>No</v>
      </c>
      <c r="DN48" t="str">
        <v>Yes - Appendectomy (2005)</v>
      </c>
      <c r="DO48" t="str">
        <v>20/20</v>
      </c>
      <c r="DP48" t="str">
        <v>20/20</v>
      </c>
      <c r="DQ48" t="str">
        <v>Pass</v>
      </c>
      <c r="DR48" t="str">
        <v>118</v>
      </c>
      <c r="DS48" t="str">
        <v>78</v>
      </c>
      <c r="DT48" t="str">
        <v>72</v>
      </c>
      <c r="DU48" t="str">
        <v>Normal</v>
      </c>
      <c r="DV48">
        <v>45392</v>
      </c>
      <c r="DW48">
        <v>45394</v>
      </c>
      <c r="DX48" t="str">
        <v>Negative</v>
      </c>
      <c r="DY48">
        <v>45397</v>
      </c>
      <c r="DZ48" t="str">
        <v>BOF Fleet Safety &amp; Compliance Policy 2024</v>
      </c>
      <c r="EA48" t="str">
        <v>Complete</v>
      </c>
      <c r="EB48">
        <v>45413</v>
      </c>
    </row>
    <row r="49">
      <c r="A49" t="str">
        <v>DRV-007</v>
      </c>
      <c r="B49" t="str">
        <v>Sofia Gomez</v>
      </c>
      <c r="C49" t="str">
        <v>1020 Demo Street, Cleveland, OH 44115</v>
      </c>
      <c r="D49" t="str">
        <v>896-555-0100</v>
      </c>
      <c r="E49" t="str">
        <v>***-**-0109</v>
      </c>
      <c r="F49" t="str">
        <v>Bank of America</v>
      </c>
      <c r="G49">
        <v>000000110</v>
      </c>
      <c r="H49">
        <v>999900212</v>
      </c>
      <c r="I49" t="str">
        <v>Incident/Accident Report</v>
      </c>
      <c r="J49" t="str">
        <v>VALID</v>
      </c>
      <c r="K49" t="str">
        <v>OH0000121</v>
      </c>
      <c r="L49">
        <v>46530</v>
      </c>
      <c r="M49">
        <v>45739</v>
      </c>
      <c r="N49">
        <v>46456</v>
      </c>
      <c r="O49" t="str">
        <v>Load L-507: Seal mismatch detected. Pickup: SEAL-73005 Delivery: SEAL-73099.</v>
      </c>
      <c r="P49" t="str">
        <v>Blonde</v>
      </c>
      <c r="Q49" t="str">
        <v>Blue</v>
      </c>
      <c r="R49" t="str">
        <v>5'-4"</v>
      </c>
      <c r="S49">
        <v>122</v>
      </c>
      <c r="T49" t="str">
        <v>F</v>
      </c>
      <c r="U49">
        <v>36161</v>
      </c>
      <c r="V49" t="str">
        <v>DRV-007.png</v>
      </c>
      <c r="W49" t="str">
        <v>Hispanic</v>
      </c>
      <c r="X49" t="str">
        <v>sofiagomez@example.com</v>
      </c>
      <c r="Y49" t="str">
        <v>1020 Demo Street</v>
      </c>
      <c r="Z49" t="str">
        <v>Cleveland</v>
      </c>
      <c r="AA49" t="str">
        <v>OH</v>
      </c>
      <c r="AB49">
        <v>44115</v>
      </c>
      <c r="AC49" t="str">
        <v>OH</v>
      </c>
      <c r="AD49" t="str">
        <v>Class A</v>
      </c>
      <c r="AE49">
        <v>44708</v>
      </c>
      <c r="AF49" t="str">
        <v>N</v>
      </c>
      <c r="AH49">
        <v>45009</v>
      </c>
      <c r="AI49" t="str">
        <v>MC-0071214</v>
      </c>
      <c r="AJ49" t="str">
        <v>Dr. James Carter</v>
      </c>
      <c r="AK49" t="str">
        <v>ME100007</v>
      </c>
      <c r="AM49" t="str">
        <v>Qualified</v>
      </c>
      <c r="AN49">
        <v>46426</v>
      </c>
      <c r="AO49">
        <v>0</v>
      </c>
      <c r="AP49">
        <v>0</v>
      </c>
      <c r="AR49" t="str">
        <v>Clear</v>
      </c>
      <c r="AS49">
        <v>45566</v>
      </c>
      <c r="AT49" t="str">
        <v>Authorized to Work</v>
      </c>
      <c r="AU49" t="str">
        <v>U.S. Passport</v>
      </c>
      <c r="AX49">
        <v>45566</v>
      </c>
      <c r="AY49" t="str">
        <v>BOF Onboarding Team</v>
      </c>
      <c r="AZ49" t="str">
        <v>Complete</v>
      </c>
      <c r="BB49" t="str">
        <v>Individual/Sole Proprietor</v>
      </c>
      <c r="BC49" t="str">
        <v>SSN</v>
      </c>
      <c r="BD49" t="str">
        <v>***-**-0109</v>
      </c>
      <c r="BF49">
        <v>45566</v>
      </c>
      <c r="BG49" t="str">
        <v>Received</v>
      </c>
      <c r="BH49" t="str">
        <v>Checking</v>
      </c>
      <c r="BI49" t="str">
        <v>Direct Deposit</v>
      </c>
      <c r="BJ49">
        <v>45566</v>
      </c>
      <c r="BK49" t="str">
        <v>Verified</v>
      </c>
      <c r="BL49">
        <v>45559</v>
      </c>
      <c r="BM49" t="str">
        <v>N. Brooks</v>
      </c>
      <c r="BN49" t="str">
        <v>Box truck</v>
      </c>
      <c r="BO49" t="str">
        <v>26 ft box</v>
      </c>
      <c r="BP49" t="str">
        <v>Cleveland, OH</v>
      </c>
      <c r="BQ49">
        <v>5</v>
      </c>
      <c r="BR49">
        <v>5</v>
      </c>
      <c r="BS49">
        <v>4</v>
      </c>
      <c r="BT49">
        <v>5</v>
      </c>
      <c r="BU49">
        <v>5</v>
      </c>
      <c r="BV49">
        <v>5</v>
      </c>
      <c r="BX49">
        <v>5</v>
      </c>
      <c r="BY49">
        <v>5</v>
      </c>
      <c r="BZ49" t="str">
        <v>Pass</v>
      </c>
      <c r="CB49" t="str">
        <v>Passed</v>
      </c>
      <c r="CC49" t="str">
        <v>Enrolled</v>
      </c>
      <c r="CD49" t="str">
        <v>Query Completed</v>
      </c>
      <c r="CE49">
        <v>46037</v>
      </c>
      <c r="CF49">
        <v>46218</v>
      </c>
      <c r="CH49" t="str">
        <v>Compliant</v>
      </c>
      <c r="CJ49" t="str">
        <v>Sofia</v>
      </c>
      <c r="CK49" t="str">
        <v>Gomez</v>
      </c>
      <c r="CL49" t="str">
        <v>OH0000117</v>
      </c>
      <c r="CM49" t="str">
        <v>OH</v>
      </c>
      <c r="CN49" t="str">
        <v>CDL Holder</v>
      </c>
      <c r="CO49" t="str">
        <v>Sofia Gomez</v>
      </c>
      <c r="CP49">
        <v>45009</v>
      </c>
      <c r="CQ49">
        <v>45739</v>
      </c>
      <c r="CR49" t="str">
        <v>(614) 555-0105</v>
      </c>
      <c r="CS49" t="str">
        <v>Dr. James Carter</v>
      </c>
      <c r="CT49">
        <v>45009</v>
      </c>
      <c r="CU49" t="str">
        <v>OH-ME-801071</v>
      </c>
      <c r="CV49" t="str">
        <v>ME100007</v>
      </c>
      <c r="CW49" t="str">
        <v>DO</v>
      </c>
      <c r="CX49" t="str">
        <v>OH</v>
      </c>
      <c r="CY49" t="str">
        <v>Federal Motor Carrier Safety Regulations</v>
      </c>
      <c r="DA49" t="str">
        <v>No</v>
      </c>
      <c r="DB49" t="str">
        <v>No</v>
      </c>
      <c r="DC49" t="str">
        <v>No</v>
      </c>
      <c r="DD49" t="str">
        <v>No</v>
      </c>
      <c r="DE49" t="str">
        <v>No</v>
      </c>
      <c r="DF49" t="str">
        <v>No</v>
      </c>
      <c r="DG49" t="str">
        <v>Jane Doe</v>
      </c>
      <c r="DH49" t="str">
        <v>Sister</v>
      </c>
      <c r="DI49" t="str">
        <v>555-555-5555</v>
      </c>
      <c r="DJ49" t="str">
        <v>No</v>
      </c>
      <c r="DK49" t="str">
        <v>No</v>
      </c>
      <c r="DL49" t="str">
        <v>No</v>
      </c>
      <c r="DM49" t="str">
        <v>No</v>
      </c>
      <c r="DN49" t="str">
        <v>Yes - Appendectomy (2005)</v>
      </c>
      <c r="DO49" t="str">
        <v>20/20</v>
      </c>
      <c r="DP49" t="str">
        <v>20/20</v>
      </c>
      <c r="DQ49" t="str">
        <v>Pass</v>
      </c>
      <c r="DR49" t="str">
        <v>118</v>
      </c>
      <c r="DS49" t="str">
        <v>78</v>
      </c>
      <c r="DT49" t="str">
        <v>72</v>
      </c>
      <c r="DU49" t="str">
        <v>Normal</v>
      </c>
      <c r="DV49">
        <v>45392</v>
      </c>
      <c r="DW49">
        <v>45394</v>
      </c>
      <c r="DX49" t="str">
        <v>Negative</v>
      </c>
      <c r="DY49">
        <v>45397</v>
      </c>
      <c r="DZ49" t="str">
        <v>BOF Fleet Safety &amp; Compliance Policy 2024</v>
      </c>
      <c r="EA49" t="str">
        <v>Complete</v>
      </c>
      <c r="EB49">
        <v>45413</v>
      </c>
    </row>
    <row r="50">
      <c r="A50" t="str">
        <v>DRV-007</v>
      </c>
      <c r="B50" t="str">
        <v>Sofia Gomez</v>
      </c>
      <c r="C50" t="str">
        <v>1020 Demo Street, Cleveland, OH 44115</v>
      </c>
      <c r="D50" t="str">
        <v>896-555-0100</v>
      </c>
      <c r="E50" t="str">
        <v>***-**-0109</v>
      </c>
      <c r="F50" t="str">
        <v>Bank of America</v>
      </c>
      <c r="G50">
        <v>000000110</v>
      </c>
      <c r="H50">
        <v>999900212</v>
      </c>
      <c r="I50" t="str">
        <v>Direct Deposit Form</v>
      </c>
      <c r="J50" t="str">
        <v>VALID</v>
      </c>
      <c r="K50" t="str">
        <v>OH0000073</v>
      </c>
      <c r="L50">
        <v>46530</v>
      </c>
      <c r="M50">
        <v>45739</v>
      </c>
      <c r="N50">
        <v>46456</v>
      </c>
      <c r="P50" t="str">
        <v>Blonde</v>
      </c>
      <c r="Q50" t="str">
        <v>Blue</v>
      </c>
      <c r="R50" t="str">
        <v>5'-4"</v>
      </c>
      <c r="S50">
        <v>122</v>
      </c>
      <c r="T50" t="str">
        <v>F</v>
      </c>
      <c r="U50">
        <v>36161</v>
      </c>
      <c r="V50" t="str">
        <v>DRV-007.png</v>
      </c>
      <c r="W50" t="str">
        <v>Hispanic</v>
      </c>
      <c r="X50" t="str">
        <v>sofiagomez@example.com</v>
      </c>
      <c r="Y50" t="str">
        <v>1020 Demo Street</v>
      </c>
      <c r="Z50" t="str">
        <v>Cleveland</v>
      </c>
      <c r="AA50" t="str">
        <v>OH</v>
      </c>
      <c r="AB50">
        <v>44115</v>
      </c>
      <c r="AC50" t="str">
        <v>OH</v>
      </c>
      <c r="AD50" t="str">
        <v>Class A</v>
      </c>
      <c r="AE50">
        <v>44708</v>
      </c>
      <c r="AF50" t="str">
        <v>N</v>
      </c>
      <c r="AH50">
        <v>45009</v>
      </c>
      <c r="AI50" t="str">
        <v>MC-0071214</v>
      </c>
      <c r="AJ50" t="str">
        <v>Dr. James Carter</v>
      </c>
      <c r="AK50" t="str">
        <v>ME100007</v>
      </c>
      <c r="AM50" t="str">
        <v>Qualified</v>
      </c>
      <c r="AN50">
        <v>46426</v>
      </c>
      <c r="AO50">
        <v>0</v>
      </c>
      <c r="AP50">
        <v>0</v>
      </c>
      <c r="AR50" t="str">
        <v>Clear</v>
      </c>
      <c r="AS50">
        <v>45566</v>
      </c>
      <c r="AT50" t="str">
        <v>Authorized to Work</v>
      </c>
      <c r="AU50" t="str">
        <v>U.S. Passport</v>
      </c>
      <c r="AX50">
        <v>45566</v>
      </c>
      <c r="AY50" t="str">
        <v>BOF Onboarding Team</v>
      </c>
      <c r="AZ50" t="str">
        <v>Complete</v>
      </c>
      <c r="BB50" t="str">
        <v>Individual/Sole Proprietor</v>
      </c>
      <c r="BC50" t="str">
        <v>SSN</v>
      </c>
      <c r="BD50" t="str">
        <v>***-**-0109</v>
      </c>
      <c r="BF50">
        <v>45566</v>
      </c>
      <c r="BG50" t="str">
        <v>Received</v>
      </c>
      <c r="BH50" t="str">
        <v>Checking</v>
      </c>
      <c r="BI50" t="str">
        <v>Direct Deposit</v>
      </c>
      <c r="BJ50">
        <v>45566</v>
      </c>
      <c r="BK50" t="str">
        <v>Verified</v>
      </c>
      <c r="BL50">
        <v>45559</v>
      </c>
      <c r="BM50" t="str">
        <v>N. Brooks</v>
      </c>
      <c r="BN50" t="str">
        <v>Box truck</v>
      </c>
      <c r="BO50" t="str">
        <v>26 ft box</v>
      </c>
      <c r="BP50" t="str">
        <v>Cleveland, OH</v>
      </c>
      <c r="BQ50">
        <v>5</v>
      </c>
      <c r="BR50">
        <v>5</v>
      </c>
      <c r="BS50">
        <v>4</v>
      </c>
      <c r="BT50">
        <v>5</v>
      </c>
      <c r="BU50">
        <v>5</v>
      </c>
      <c r="BV50">
        <v>5</v>
      </c>
      <c r="BX50">
        <v>5</v>
      </c>
      <c r="BY50">
        <v>5</v>
      </c>
      <c r="BZ50" t="str">
        <v>Pass</v>
      </c>
      <c r="CB50" t="str">
        <v>Passed</v>
      </c>
      <c r="CC50" t="str">
        <v>Enrolled</v>
      </c>
      <c r="CD50" t="str">
        <v>Query Completed</v>
      </c>
      <c r="CE50">
        <v>46037</v>
      </c>
      <c r="CF50">
        <v>46218</v>
      </c>
      <c r="CH50" t="str">
        <v>Compliant</v>
      </c>
      <c r="CJ50" t="str">
        <v>Sofia</v>
      </c>
      <c r="CK50" t="str">
        <v>Gomez</v>
      </c>
      <c r="CL50" t="str">
        <v>OH0000118</v>
      </c>
      <c r="CM50" t="str">
        <v>OH</v>
      </c>
      <c r="CN50" t="str">
        <v>CDL Holder</v>
      </c>
      <c r="CO50" t="str">
        <v>Sofia Gomez</v>
      </c>
      <c r="CP50">
        <v>45009</v>
      </c>
      <c r="CQ50">
        <v>45739</v>
      </c>
      <c r="CR50" t="str">
        <v>(614) 555-0105</v>
      </c>
      <c r="CS50" t="str">
        <v>Dr. James Carter</v>
      </c>
      <c r="CT50">
        <v>45009</v>
      </c>
      <c r="CU50" t="str">
        <v>OH-ME-801071</v>
      </c>
      <c r="CV50" t="str">
        <v>ME100007</v>
      </c>
      <c r="CW50" t="str">
        <v>DO</v>
      </c>
      <c r="CX50" t="str">
        <v>OH</v>
      </c>
      <c r="CY50" t="str">
        <v>Federal Motor Carrier Safety Regulations</v>
      </c>
      <c r="DA50" t="str">
        <v>No</v>
      </c>
      <c r="DB50" t="str">
        <v>No</v>
      </c>
      <c r="DC50" t="str">
        <v>No</v>
      </c>
      <c r="DD50" t="str">
        <v>No</v>
      </c>
      <c r="DE50" t="str">
        <v>No</v>
      </c>
      <c r="DF50" t="str">
        <v>No</v>
      </c>
      <c r="DG50" t="str">
        <v>Jane Doe</v>
      </c>
      <c r="DH50" t="str">
        <v>Sister</v>
      </c>
      <c r="DI50" t="str">
        <v>555-555-5555</v>
      </c>
      <c r="DJ50" t="str">
        <v>No</v>
      </c>
      <c r="DK50" t="str">
        <v>No</v>
      </c>
      <c r="DL50" t="str">
        <v>No</v>
      </c>
      <c r="DM50" t="str">
        <v>No</v>
      </c>
      <c r="DN50" t="str">
        <v>Yes - Appendectomy (2005)</v>
      </c>
      <c r="DO50" t="str">
        <v>20/20</v>
      </c>
      <c r="DP50" t="str">
        <v>20/20</v>
      </c>
      <c r="DQ50" t="str">
        <v>Pass</v>
      </c>
      <c r="DR50" t="str">
        <v>118</v>
      </c>
      <c r="DS50" t="str">
        <v>78</v>
      </c>
      <c r="DT50" t="str">
        <v>72</v>
      </c>
      <c r="DU50" t="str">
        <v>Normal</v>
      </c>
      <c r="DV50">
        <v>45392</v>
      </c>
      <c r="DW50">
        <v>45394</v>
      </c>
      <c r="DX50" t="str">
        <v>Negative</v>
      </c>
      <c r="DY50">
        <v>45397</v>
      </c>
      <c r="DZ50" t="str">
        <v>BOF Fleet Safety &amp; Compliance Policy 2024</v>
      </c>
      <c r="EA50" t="str">
        <v>Complete</v>
      </c>
      <c r="EB50">
        <v>45413</v>
      </c>
    </row>
    <row r="51">
      <c r="A51" t="str">
        <v>DRV-008</v>
      </c>
      <c r="B51" t="str">
        <v>Liam Smith</v>
      </c>
      <c r="C51" t="str">
        <v>530 Demo Street, Toledo, OH 43604</v>
      </c>
      <c r="D51" t="str">
        <v>820-555-0100</v>
      </c>
      <c r="E51" t="str">
        <v>***-**-0108</v>
      </c>
      <c r="F51" t="str">
        <v>PNC</v>
      </c>
      <c r="G51">
        <v>000000108</v>
      </c>
      <c r="H51">
        <v>999900204</v>
      </c>
      <c r="I51" t="str">
        <v>CDL Summary</v>
      </c>
      <c r="J51" t="str">
        <v>VALID</v>
      </c>
      <c r="K51" t="str">
        <v>OH0000141</v>
      </c>
      <c r="L51">
        <v>46620</v>
      </c>
      <c r="M51">
        <v>46670</v>
      </c>
      <c r="N51">
        <v>46452</v>
      </c>
      <c r="P51" t="str">
        <v>Blonde</v>
      </c>
      <c r="Q51" t="str">
        <v>Blue</v>
      </c>
      <c r="R51" t="str">
        <v>6'-2"</v>
      </c>
      <c r="S51">
        <v>194</v>
      </c>
      <c r="T51" t="str">
        <v>M</v>
      </c>
      <c r="U51">
        <v>23377</v>
      </c>
      <c r="V51" t="str">
        <v>DRV-008.png</v>
      </c>
      <c r="W51" t="str">
        <v>Caucasian</v>
      </c>
      <c r="X51" t="str">
        <v>liamsmith@example.com</v>
      </c>
      <c r="Y51" t="str">
        <v>530 Demo Street</v>
      </c>
      <c r="Z51" t="str">
        <v>Toledo</v>
      </c>
      <c r="AA51" t="str">
        <v>OH</v>
      </c>
      <c r="AB51">
        <v>43604</v>
      </c>
      <c r="AC51" t="str">
        <v>OH</v>
      </c>
      <c r="AD51" t="str">
        <v>Class A</v>
      </c>
      <c r="AE51">
        <v>44798</v>
      </c>
      <c r="AF51" t="str">
        <v>T</v>
      </c>
      <c r="AG51" t="str">
        <v>Air brake restriction</v>
      </c>
      <c r="AH51">
        <v>45940</v>
      </c>
      <c r="AI51" t="str">
        <v>MC-0080823</v>
      </c>
      <c r="AJ51" t="str">
        <v>Dr. Alicia Brooks</v>
      </c>
      <c r="AK51" t="str">
        <v>ME100008</v>
      </c>
      <c r="AL51" t="str">
        <v>Air brake restriction</v>
      </c>
      <c r="AM51" t="str">
        <v>Qualified</v>
      </c>
      <c r="AN51">
        <v>46422</v>
      </c>
      <c r="AO51">
        <v>1</v>
      </c>
      <c r="AP51">
        <v>0</v>
      </c>
      <c r="AQ51" t="str">
        <v>Air brake restriction</v>
      </c>
      <c r="AR51" t="str">
        <v>Clear</v>
      </c>
      <c r="AS51">
        <v>45467</v>
      </c>
      <c r="AT51" t="str">
        <v>Authorized to Work</v>
      </c>
      <c r="AU51" t="str">
        <v>U.S. Passport</v>
      </c>
      <c r="AX51">
        <v>45467</v>
      </c>
      <c r="AY51" t="str">
        <v>BOF Onboarding Team</v>
      </c>
      <c r="AZ51" t="str">
        <v>Complete</v>
      </c>
      <c r="BB51" t="str">
        <v>Individual/Sole Proprietor</v>
      </c>
      <c r="BC51" t="str">
        <v>SSN</v>
      </c>
      <c r="BD51" t="str">
        <v>***-**-0108</v>
      </c>
      <c r="BF51">
        <v>45467</v>
      </c>
      <c r="BG51" t="str">
        <v>Received</v>
      </c>
      <c r="BH51" t="str">
        <v>Checking</v>
      </c>
      <c r="BI51" t="str">
        <v>Direct Deposit</v>
      </c>
      <c r="BJ51">
        <v>45467</v>
      </c>
      <c r="BK51" t="str">
        <v>Verified</v>
      </c>
      <c r="BL51">
        <v>45460</v>
      </c>
      <c r="BM51" t="str">
        <v>L. Harper</v>
      </c>
      <c r="BN51" t="str">
        <v>Day cab tractor</v>
      </c>
      <c r="BO51" t="str">
        <v>Flatbed</v>
      </c>
      <c r="BP51" t="str">
        <v>Toledo, OH</v>
      </c>
      <c r="BQ51">
        <v>4</v>
      </c>
      <c r="BR51">
        <v>5</v>
      </c>
      <c r="BS51">
        <v>4</v>
      </c>
      <c r="BT51">
        <v>4</v>
      </c>
      <c r="BU51">
        <v>4</v>
      </c>
      <c r="BV51">
        <v>5</v>
      </c>
      <c r="BW51">
        <v>4</v>
      </c>
      <c r="BX51">
        <v>4</v>
      </c>
      <c r="BY51">
        <v>4</v>
      </c>
      <c r="BZ51" t="str">
        <v>Pass</v>
      </c>
      <c r="CA51" t="str">
        <v>Air brake restriction applies</v>
      </c>
      <c r="CB51" t="str">
        <v>Passed</v>
      </c>
      <c r="CC51" t="str">
        <v>Enrolled</v>
      </c>
      <c r="CD51" t="str">
        <v>Query Completed</v>
      </c>
      <c r="CE51">
        <v>46037</v>
      </c>
      <c r="CF51">
        <v>46218</v>
      </c>
      <c r="CH51" t="str">
        <v>Compliant</v>
      </c>
      <c r="CJ51" t="str">
        <v>Liam</v>
      </c>
      <c r="CK51" t="str">
        <v>Smith</v>
      </c>
      <c r="CL51" t="str">
        <v>OH0000141</v>
      </c>
      <c r="CM51" t="str">
        <v>OH</v>
      </c>
      <c r="CN51" t="str">
        <v>CDL Holder</v>
      </c>
      <c r="CO51" t="str">
        <v>Liam Smith</v>
      </c>
      <c r="CP51">
        <v>45940</v>
      </c>
      <c r="CQ51">
        <v>46670</v>
      </c>
      <c r="CR51" t="str">
        <v>(614) 555-0114</v>
      </c>
      <c r="CS51" t="str">
        <v>Dr. Alicia Brooks</v>
      </c>
      <c r="CT51">
        <v>45940</v>
      </c>
      <c r="CU51" t="str">
        <v>OH-ME-134036</v>
      </c>
      <c r="CV51" t="str">
        <v>ME100008</v>
      </c>
      <c r="CW51" t="str">
        <v>Advanced Practice Nurse</v>
      </c>
      <c r="CX51" t="str">
        <v>OH</v>
      </c>
      <c r="CY51" t="str">
        <v>Federal Motor Carrier Safety Regulations with applicable State variances</v>
      </c>
      <c r="DA51" t="str">
        <v>No</v>
      </c>
      <c r="DB51" t="str">
        <v>No</v>
      </c>
      <c r="DC51" t="str">
        <v>No</v>
      </c>
      <c r="DD51" t="str">
        <v>Yes</v>
      </c>
      <c r="DE51" t="str">
        <v>No</v>
      </c>
      <c r="DF51" t="str">
        <v>No</v>
      </c>
      <c r="DG51" t="str">
        <v>Jane Doe</v>
      </c>
      <c r="DH51" t="str">
        <v>Sister</v>
      </c>
      <c r="DI51" t="str">
        <v>555-555-5555</v>
      </c>
      <c r="DJ51" t="str">
        <v>No</v>
      </c>
      <c r="DK51" t="str">
        <v>No</v>
      </c>
      <c r="DL51" t="str">
        <v>No</v>
      </c>
      <c r="DM51" t="str">
        <v>No</v>
      </c>
      <c r="DN51" t="str">
        <v>Yes - Appendectomy (2005)</v>
      </c>
      <c r="DO51" t="str">
        <v>20/20</v>
      </c>
      <c r="DP51" t="str">
        <v>20/20</v>
      </c>
      <c r="DQ51" t="str">
        <v>Pass</v>
      </c>
      <c r="DR51" t="str">
        <v>118</v>
      </c>
      <c r="DS51" t="str">
        <v>78</v>
      </c>
      <c r="DT51" t="str">
        <v>72</v>
      </c>
      <c r="DU51" t="str">
        <v>Normal</v>
      </c>
      <c r="DV51">
        <v>45392</v>
      </c>
      <c r="DW51">
        <v>45394</v>
      </c>
      <c r="DX51" t="str">
        <v>Negative</v>
      </c>
      <c r="DY51">
        <v>45397</v>
      </c>
      <c r="DZ51" t="str">
        <v>BOF Fleet Safety &amp; Compliance Policy 2024</v>
      </c>
      <c r="EA51" t="str">
        <v>Complete</v>
      </c>
      <c r="EB51">
        <v>45413</v>
      </c>
    </row>
    <row r="52">
      <c r="A52" t="str">
        <v>DRV-008</v>
      </c>
      <c r="B52" t="str">
        <v>Liam Smith</v>
      </c>
      <c r="C52" t="str">
        <v>530 Demo Street, Toledo, OH 43604</v>
      </c>
      <c r="D52" t="str">
        <v>820-555-0100</v>
      </c>
      <c r="E52" t="str">
        <v>***-**-0108</v>
      </c>
      <c r="F52" t="str">
        <v>PNC</v>
      </c>
      <c r="G52">
        <v>000000108</v>
      </c>
      <c r="H52">
        <v>999900204</v>
      </c>
      <c r="I52" t="str">
        <v>Medical Certification</v>
      </c>
      <c r="J52" t="str">
        <v>VALID</v>
      </c>
      <c r="K52" t="str">
        <v>OH0000139</v>
      </c>
      <c r="L52">
        <v>46620</v>
      </c>
      <c r="M52">
        <v>46670</v>
      </c>
      <c r="N52">
        <v>46452</v>
      </c>
      <c r="P52" t="str">
        <v>Blonde</v>
      </c>
      <c r="Q52" t="str">
        <v>Blue</v>
      </c>
      <c r="R52" t="str">
        <v>6'-2"</v>
      </c>
      <c r="S52">
        <v>194</v>
      </c>
      <c r="T52" t="str">
        <v>M</v>
      </c>
      <c r="U52">
        <v>23377</v>
      </c>
      <c r="V52" t="str">
        <v>DRV-008.png</v>
      </c>
      <c r="W52" t="str">
        <v>Caucasian</v>
      </c>
      <c r="X52" t="str">
        <v>liamsmith@example.com</v>
      </c>
      <c r="Y52" t="str">
        <v>530 Demo Street</v>
      </c>
      <c r="Z52" t="str">
        <v>Toledo</v>
      </c>
      <c r="AA52" t="str">
        <v>OH</v>
      </c>
      <c r="AB52">
        <v>43604</v>
      </c>
      <c r="AC52" t="str">
        <v>OH</v>
      </c>
      <c r="AD52" t="str">
        <v>Class A</v>
      </c>
      <c r="AE52">
        <v>44798</v>
      </c>
      <c r="AF52" t="str">
        <v>T</v>
      </c>
      <c r="AG52" t="str">
        <v>Air brake restriction</v>
      </c>
      <c r="AH52">
        <v>45940</v>
      </c>
      <c r="AI52" t="str">
        <v>MC-0080823</v>
      </c>
      <c r="AJ52" t="str">
        <v>Dr. Alicia Brooks</v>
      </c>
      <c r="AK52" t="str">
        <v>ME100008</v>
      </c>
      <c r="AL52" t="str">
        <v>Air brake restriction</v>
      </c>
      <c r="AM52" t="str">
        <v>Qualified</v>
      </c>
      <c r="AN52">
        <v>46422</v>
      </c>
      <c r="AO52">
        <v>1</v>
      </c>
      <c r="AP52">
        <v>0</v>
      </c>
      <c r="AQ52" t="str">
        <v>Air brake restriction</v>
      </c>
      <c r="AR52" t="str">
        <v>Clear</v>
      </c>
      <c r="AS52">
        <v>45467</v>
      </c>
      <c r="AT52" t="str">
        <v>Authorized to Work</v>
      </c>
      <c r="AU52" t="str">
        <v>U.S. Passport</v>
      </c>
      <c r="AX52">
        <v>45467</v>
      </c>
      <c r="AY52" t="str">
        <v>BOF Onboarding Team</v>
      </c>
      <c r="AZ52" t="str">
        <v>Complete</v>
      </c>
      <c r="BB52" t="str">
        <v>Individual/Sole Proprietor</v>
      </c>
      <c r="BC52" t="str">
        <v>SSN</v>
      </c>
      <c r="BD52" t="str">
        <v>***-**-0108</v>
      </c>
      <c r="BF52">
        <v>45467</v>
      </c>
      <c r="BG52" t="str">
        <v>Received</v>
      </c>
      <c r="BH52" t="str">
        <v>Checking</v>
      </c>
      <c r="BI52" t="str">
        <v>Direct Deposit</v>
      </c>
      <c r="BJ52">
        <v>45467</v>
      </c>
      <c r="BK52" t="str">
        <v>Verified</v>
      </c>
      <c r="BL52">
        <v>45460</v>
      </c>
      <c r="BM52" t="str">
        <v>L. Harper</v>
      </c>
      <c r="BN52" t="str">
        <v>Day cab tractor</v>
      </c>
      <c r="BO52" t="str">
        <v>Flatbed</v>
      </c>
      <c r="BP52" t="str">
        <v>Toledo, OH</v>
      </c>
      <c r="BQ52">
        <v>4</v>
      </c>
      <c r="BR52">
        <v>5</v>
      </c>
      <c r="BS52">
        <v>4</v>
      </c>
      <c r="BT52">
        <v>4</v>
      </c>
      <c r="BU52">
        <v>4</v>
      </c>
      <c r="BV52">
        <v>5</v>
      </c>
      <c r="BW52">
        <v>4</v>
      </c>
      <c r="BX52">
        <v>4</v>
      </c>
      <c r="BY52">
        <v>4</v>
      </c>
      <c r="BZ52" t="str">
        <v>Pass</v>
      </c>
      <c r="CA52" t="str">
        <v>Air brake restriction applies</v>
      </c>
      <c r="CB52" t="str">
        <v>Passed</v>
      </c>
      <c r="CC52" t="str">
        <v>Enrolled</v>
      </c>
      <c r="CD52" t="str">
        <v>Query Completed</v>
      </c>
      <c r="CE52">
        <v>46037</v>
      </c>
      <c r="CF52">
        <v>46218</v>
      </c>
      <c r="CH52" t="str">
        <v>Compliant</v>
      </c>
      <c r="CJ52" t="str">
        <v>Liam</v>
      </c>
      <c r="CK52" t="str">
        <v>Smith</v>
      </c>
      <c r="CL52" t="str">
        <v>OH0000142</v>
      </c>
      <c r="CM52" t="str">
        <v>OH</v>
      </c>
      <c r="CN52" t="str">
        <v>CDL Holder</v>
      </c>
      <c r="CO52" t="str">
        <v>Liam Smith</v>
      </c>
      <c r="CP52">
        <v>45940</v>
      </c>
      <c r="CQ52">
        <v>46670</v>
      </c>
      <c r="CR52" t="str">
        <v>(614) 555-0114</v>
      </c>
      <c r="CS52" t="str">
        <v>Dr. Alicia Brooks</v>
      </c>
      <c r="CT52">
        <v>45940</v>
      </c>
      <c r="CU52" t="str">
        <v>OH-ME-134036</v>
      </c>
      <c r="CV52" t="str">
        <v>ME100008</v>
      </c>
      <c r="CW52" t="str">
        <v>Advanced Practice Nurse</v>
      </c>
      <c r="CX52" t="str">
        <v>OH</v>
      </c>
      <c r="CY52" t="str">
        <v>Federal Motor Carrier Safety Regulations with applicable State variances</v>
      </c>
      <c r="DA52" t="str">
        <v>No</v>
      </c>
      <c r="DB52" t="str">
        <v>No</v>
      </c>
      <c r="DC52" t="str">
        <v>No</v>
      </c>
      <c r="DD52" t="str">
        <v>Yes</v>
      </c>
      <c r="DE52" t="str">
        <v>No</v>
      </c>
      <c r="DF52" t="str">
        <v>No</v>
      </c>
      <c r="DG52" t="str">
        <v>Jane Doe</v>
      </c>
      <c r="DH52" t="str">
        <v>Sister</v>
      </c>
      <c r="DI52" t="str">
        <v>555-555-5555</v>
      </c>
      <c r="DJ52" t="str">
        <v>No</v>
      </c>
      <c r="DK52" t="str">
        <v>No</v>
      </c>
      <c r="DL52" t="str">
        <v>No</v>
      </c>
      <c r="DM52" t="str">
        <v>No</v>
      </c>
      <c r="DN52" t="str">
        <v>Yes - Appendectomy (2005)</v>
      </c>
      <c r="DO52" t="str">
        <v>20/20</v>
      </c>
      <c r="DP52" t="str">
        <v>20/20</v>
      </c>
      <c r="DQ52" t="str">
        <v>Pass</v>
      </c>
      <c r="DR52" t="str">
        <v>118</v>
      </c>
      <c r="DS52" t="str">
        <v>78</v>
      </c>
      <c r="DT52" t="str">
        <v>72</v>
      </c>
      <c r="DU52" t="str">
        <v>Normal</v>
      </c>
      <c r="DV52">
        <v>45392</v>
      </c>
      <c r="DW52">
        <v>45394</v>
      </c>
      <c r="DX52" t="str">
        <v>Negative</v>
      </c>
      <c r="DY52">
        <v>45397</v>
      </c>
      <c r="DZ52" t="str">
        <v>BOF Fleet Safety &amp; Compliance Policy 2024</v>
      </c>
      <c r="EA52" t="str">
        <v>Complete</v>
      </c>
      <c r="EB52">
        <v>45413</v>
      </c>
    </row>
    <row r="53">
      <c r="A53" t="str">
        <v>DRV-008</v>
      </c>
      <c r="B53" t="str">
        <v>Liam Smith</v>
      </c>
      <c r="C53" t="str">
        <v>530 Demo Street, Toledo, OH 43604</v>
      </c>
      <c r="D53" t="str">
        <v>820-555-0100</v>
      </c>
      <c r="E53" t="str">
        <v>***-**-0108</v>
      </c>
      <c r="F53" t="str">
        <v>PNC</v>
      </c>
      <c r="G53">
        <v>000000108</v>
      </c>
      <c r="H53">
        <v>999900204</v>
      </c>
      <c r="I53" t="str">
        <v>MVR Background Report</v>
      </c>
      <c r="J53" t="str">
        <v>VALID</v>
      </c>
      <c r="K53" t="str">
        <v>OH0000091</v>
      </c>
      <c r="L53">
        <v>46620</v>
      </c>
      <c r="M53">
        <v>46670</v>
      </c>
      <c r="N53">
        <v>46452</v>
      </c>
      <c r="P53" t="str">
        <v>Blonde</v>
      </c>
      <c r="Q53" t="str">
        <v>Blue</v>
      </c>
      <c r="R53" t="str">
        <v>6'-2"</v>
      </c>
      <c r="S53">
        <v>194</v>
      </c>
      <c r="T53" t="str">
        <v>M</v>
      </c>
      <c r="U53">
        <v>23377</v>
      </c>
      <c r="V53" t="str">
        <v>DRV-008.png</v>
      </c>
      <c r="W53" t="str">
        <v>Caucasian</v>
      </c>
      <c r="X53" t="str">
        <v>liamsmith@example.com</v>
      </c>
      <c r="Y53" t="str">
        <v>530 Demo Street</v>
      </c>
      <c r="Z53" t="str">
        <v>Toledo</v>
      </c>
      <c r="AA53" t="str">
        <v>OH</v>
      </c>
      <c r="AB53">
        <v>43604</v>
      </c>
      <c r="AC53" t="str">
        <v>OH</v>
      </c>
      <c r="AD53" t="str">
        <v>Class A</v>
      </c>
      <c r="AE53">
        <v>44798</v>
      </c>
      <c r="AF53" t="str">
        <v>T</v>
      </c>
      <c r="AG53" t="str">
        <v>Air brake restriction</v>
      </c>
      <c r="AH53">
        <v>45940</v>
      </c>
      <c r="AI53" t="str">
        <v>MC-0080823</v>
      </c>
      <c r="AJ53" t="str">
        <v>Dr. Alicia Brooks</v>
      </c>
      <c r="AK53" t="str">
        <v>ME100008</v>
      </c>
      <c r="AL53" t="str">
        <v>Air brake restriction</v>
      </c>
      <c r="AM53" t="str">
        <v>Qualified</v>
      </c>
      <c r="AN53">
        <v>46422</v>
      </c>
      <c r="AO53">
        <v>1</v>
      </c>
      <c r="AP53">
        <v>0</v>
      </c>
      <c r="AQ53" t="str">
        <v>Air brake restriction</v>
      </c>
      <c r="AR53" t="str">
        <v>Clear</v>
      </c>
      <c r="AS53">
        <v>45467</v>
      </c>
      <c r="AT53" t="str">
        <v>Authorized to Work</v>
      </c>
      <c r="AU53" t="str">
        <v>U.S. Passport</v>
      </c>
      <c r="AX53">
        <v>45467</v>
      </c>
      <c r="AY53" t="str">
        <v>BOF Onboarding Team</v>
      </c>
      <c r="AZ53" t="str">
        <v>Complete</v>
      </c>
      <c r="BB53" t="str">
        <v>Individual/Sole Proprietor</v>
      </c>
      <c r="BC53" t="str">
        <v>SSN</v>
      </c>
      <c r="BD53" t="str">
        <v>***-**-0108</v>
      </c>
      <c r="BF53">
        <v>45467</v>
      </c>
      <c r="BG53" t="str">
        <v>Received</v>
      </c>
      <c r="BH53" t="str">
        <v>Checking</v>
      </c>
      <c r="BI53" t="str">
        <v>Direct Deposit</v>
      </c>
      <c r="BJ53">
        <v>45467</v>
      </c>
      <c r="BK53" t="str">
        <v>Verified</v>
      </c>
      <c r="BL53">
        <v>45460</v>
      </c>
      <c r="BM53" t="str">
        <v>L. Harper</v>
      </c>
      <c r="BN53" t="str">
        <v>Day cab tractor</v>
      </c>
      <c r="BO53" t="str">
        <v>Flatbed</v>
      </c>
      <c r="BP53" t="str">
        <v>Toledo, OH</v>
      </c>
      <c r="BQ53">
        <v>4</v>
      </c>
      <c r="BR53">
        <v>5</v>
      </c>
      <c r="BS53">
        <v>4</v>
      </c>
      <c r="BT53">
        <v>4</v>
      </c>
      <c r="BU53">
        <v>4</v>
      </c>
      <c r="BV53">
        <v>5</v>
      </c>
      <c r="BW53">
        <v>4</v>
      </c>
      <c r="BX53">
        <v>4</v>
      </c>
      <c r="BY53">
        <v>4</v>
      </c>
      <c r="BZ53" t="str">
        <v>Pass</v>
      </c>
      <c r="CA53" t="str">
        <v>Air brake restriction applies</v>
      </c>
      <c r="CB53" t="str">
        <v>Passed</v>
      </c>
      <c r="CC53" t="str">
        <v>Enrolled</v>
      </c>
      <c r="CD53" t="str">
        <v>Query Completed</v>
      </c>
      <c r="CE53">
        <v>46037</v>
      </c>
      <c r="CF53">
        <v>46218</v>
      </c>
      <c r="CH53" t="str">
        <v>Compliant</v>
      </c>
      <c r="CJ53" t="str">
        <v>Liam</v>
      </c>
      <c r="CK53" t="str">
        <v>Smith</v>
      </c>
      <c r="CL53" t="str">
        <v>OH0000143</v>
      </c>
      <c r="CM53" t="str">
        <v>OH</v>
      </c>
      <c r="CN53" t="str">
        <v>CDL Holder</v>
      </c>
      <c r="CO53" t="str">
        <v>Liam Smith</v>
      </c>
      <c r="CP53">
        <v>45940</v>
      </c>
      <c r="CQ53">
        <v>46670</v>
      </c>
      <c r="CR53" t="str">
        <v>(614) 555-0114</v>
      </c>
      <c r="CS53" t="str">
        <v>Dr. Alicia Brooks</v>
      </c>
      <c r="CT53">
        <v>45940</v>
      </c>
      <c r="CU53" t="str">
        <v>OH-ME-134036</v>
      </c>
      <c r="CV53" t="str">
        <v>ME100008</v>
      </c>
      <c r="CW53" t="str">
        <v>Advanced Practice Nurse</v>
      </c>
      <c r="CX53" t="str">
        <v>OH</v>
      </c>
      <c r="CY53" t="str">
        <v>Federal Motor Carrier Safety Regulations with applicable State variances</v>
      </c>
      <c r="DA53" t="str">
        <v>No</v>
      </c>
      <c r="DB53" t="str">
        <v>No</v>
      </c>
      <c r="DC53" t="str">
        <v>No</v>
      </c>
      <c r="DD53" t="str">
        <v>Yes</v>
      </c>
      <c r="DE53" t="str">
        <v>No</v>
      </c>
      <c r="DF53" t="str">
        <v>No</v>
      </c>
      <c r="DG53" t="str">
        <v>Jane Doe</v>
      </c>
      <c r="DH53" t="str">
        <v>Sister</v>
      </c>
      <c r="DI53" t="str">
        <v>555-555-5555</v>
      </c>
      <c r="DJ53" t="str">
        <v>No</v>
      </c>
      <c r="DK53" t="str">
        <v>No</v>
      </c>
      <c r="DL53" t="str">
        <v>No</v>
      </c>
      <c r="DM53" t="str">
        <v>No</v>
      </c>
      <c r="DN53" t="str">
        <v>Yes - Appendectomy (2005)</v>
      </c>
      <c r="DO53" t="str">
        <v>20/20</v>
      </c>
      <c r="DP53" t="str">
        <v>20/20</v>
      </c>
      <c r="DQ53" t="str">
        <v>Pass</v>
      </c>
      <c r="DR53" t="str">
        <v>118</v>
      </c>
      <c r="DS53" t="str">
        <v>78</v>
      </c>
      <c r="DT53" t="str">
        <v>72</v>
      </c>
      <c r="DU53" t="str">
        <v>Normal</v>
      </c>
      <c r="DV53">
        <v>45392</v>
      </c>
      <c r="DW53">
        <v>45394</v>
      </c>
      <c r="DX53" t="str">
        <v>Negative</v>
      </c>
      <c r="DY53">
        <v>45397</v>
      </c>
      <c r="DZ53" t="str">
        <v>BOF Fleet Safety &amp; Compliance Policy 2024</v>
      </c>
      <c r="EA53" t="str">
        <v>Complete</v>
      </c>
      <c r="EB53">
        <v>45413</v>
      </c>
    </row>
    <row r="54">
      <c r="A54" t="str">
        <v>DRV-008</v>
      </c>
      <c r="B54" t="str">
        <v>Liam Smith</v>
      </c>
      <c r="C54" t="str">
        <v>530 Demo Street, Toledo, OH 43604</v>
      </c>
      <c r="D54" t="str">
        <v>820-555-0100</v>
      </c>
      <c r="E54" t="str">
        <v>***-**-0108</v>
      </c>
      <c r="F54" t="str">
        <v>PNC</v>
      </c>
      <c r="G54">
        <v>000000108</v>
      </c>
      <c r="H54">
        <v>999900204</v>
      </c>
      <c r="I54" t="str">
        <v>Driver Application</v>
      </c>
      <c r="J54" t="str">
        <v>VALID</v>
      </c>
      <c r="K54" t="str">
        <v>OH0000128</v>
      </c>
      <c r="L54">
        <v>46620</v>
      </c>
      <c r="M54">
        <v>46670</v>
      </c>
      <c r="N54">
        <v>46452</v>
      </c>
      <c r="P54" t="str">
        <v>Blonde</v>
      </c>
      <c r="Q54" t="str">
        <v>Blue</v>
      </c>
      <c r="R54" t="str">
        <v>6'-2"</v>
      </c>
      <c r="S54">
        <v>194</v>
      </c>
      <c r="T54" t="str">
        <v>M</v>
      </c>
      <c r="U54">
        <v>23377</v>
      </c>
      <c r="V54" t="str">
        <v>DRV-008.png</v>
      </c>
      <c r="W54" t="str">
        <v>Caucasian</v>
      </c>
      <c r="X54" t="str">
        <v>liamsmith@example.com</v>
      </c>
      <c r="Y54" t="str">
        <v>530 Demo Street</v>
      </c>
      <c r="Z54" t="str">
        <v>Toledo</v>
      </c>
      <c r="AA54" t="str">
        <v>OH</v>
      </c>
      <c r="AB54">
        <v>43604</v>
      </c>
      <c r="AC54" t="str">
        <v>OH</v>
      </c>
      <c r="AD54" t="str">
        <v>Class A</v>
      </c>
      <c r="AE54">
        <v>44798</v>
      </c>
      <c r="AF54" t="str">
        <v>T</v>
      </c>
      <c r="AG54" t="str">
        <v>Air brake restriction</v>
      </c>
      <c r="AH54">
        <v>45940</v>
      </c>
      <c r="AI54" t="str">
        <v>MC-0080823</v>
      </c>
      <c r="AJ54" t="str">
        <v>Dr. Alicia Brooks</v>
      </c>
      <c r="AK54" t="str">
        <v>ME100008</v>
      </c>
      <c r="AL54" t="str">
        <v>Air brake restriction</v>
      </c>
      <c r="AM54" t="str">
        <v>Qualified</v>
      </c>
      <c r="AN54">
        <v>46422</v>
      </c>
      <c r="AO54">
        <v>1</v>
      </c>
      <c r="AP54">
        <v>0</v>
      </c>
      <c r="AQ54" t="str">
        <v>Air brake restriction</v>
      </c>
      <c r="AR54" t="str">
        <v>Clear</v>
      </c>
      <c r="AS54">
        <v>45467</v>
      </c>
      <c r="AT54" t="str">
        <v>Authorized to Work</v>
      </c>
      <c r="AU54" t="str">
        <v>U.S. Passport</v>
      </c>
      <c r="AX54">
        <v>45467</v>
      </c>
      <c r="AY54" t="str">
        <v>BOF Onboarding Team</v>
      </c>
      <c r="AZ54" t="str">
        <v>Complete</v>
      </c>
      <c r="BB54" t="str">
        <v>Individual/Sole Proprietor</v>
      </c>
      <c r="BC54" t="str">
        <v>SSN</v>
      </c>
      <c r="BD54" t="str">
        <v>***-**-0108</v>
      </c>
      <c r="BF54">
        <v>45467</v>
      </c>
      <c r="BG54" t="str">
        <v>Received</v>
      </c>
      <c r="BH54" t="str">
        <v>Checking</v>
      </c>
      <c r="BI54" t="str">
        <v>Direct Deposit</v>
      </c>
      <c r="BJ54">
        <v>45467</v>
      </c>
      <c r="BK54" t="str">
        <v>Verified</v>
      </c>
      <c r="BL54">
        <v>45460</v>
      </c>
      <c r="BM54" t="str">
        <v>L. Harper</v>
      </c>
      <c r="BN54" t="str">
        <v>Day cab tractor</v>
      </c>
      <c r="BO54" t="str">
        <v>Flatbed</v>
      </c>
      <c r="BP54" t="str">
        <v>Toledo, OH</v>
      </c>
      <c r="BQ54">
        <v>4</v>
      </c>
      <c r="BR54">
        <v>5</v>
      </c>
      <c r="BS54">
        <v>4</v>
      </c>
      <c r="BT54">
        <v>4</v>
      </c>
      <c r="BU54">
        <v>4</v>
      </c>
      <c r="BV54">
        <v>5</v>
      </c>
      <c r="BW54">
        <v>4</v>
      </c>
      <c r="BX54">
        <v>4</v>
      </c>
      <c r="BY54">
        <v>4</v>
      </c>
      <c r="BZ54" t="str">
        <v>Pass</v>
      </c>
      <c r="CA54" t="str">
        <v>Air brake restriction applies</v>
      </c>
      <c r="CB54" t="str">
        <v>Passed</v>
      </c>
      <c r="CC54" t="str">
        <v>Enrolled</v>
      </c>
      <c r="CD54" t="str">
        <v>Query Completed</v>
      </c>
      <c r="CE54">
        <v>46037</v>
      </c>
      <c r="CF54">
        <v>46218</v>
      </c>
      <c r="CH54" t="str">
        <v>Compliant</v>
      </c>
      <c r="CJ54" t="str">
        <v>Liam</v>
      </c>
      <c r="CK54" t="str">
        <v>Smith</v>
      </c>
      <c r="CL54" t="str">
        <v>OH0000144</v>
      </c>
      <c r="CM54" t="str">
        <v>OH</v>
      </c>
      <c r="CN54" t="str">
        <v>CDL Holder</v>
      </c>
      <c r="CO54" t="str">
        <v>Liam Smith</v>
      </c>
      <c r="CP54">
        <v>45940</v>
      </c>
      <c r="CQ54">
        <v>46670</v>
      </c>
      <c r="CR54" t="str">
        <v>(614) 555-0114</v>
      </c>
      <c r="CS54" t="str">
        <v>Dr. Alicia Brooks</v>
      </c>
      <c r="CT54">
        <v>45940</v>
      </c>
      <c r="CU54" t="str">
        <v>OH-ME-134036</v>
      </c>
      <c r="CV54" t="str">
        <v>ME100008</v>
      </c>
      <c r="CW54" t="str">
        <v>Advanced Practice Nurse</v>
      </c>
      <c r="CX54" t="str">
        <v>OH</v>
      </c>
      <c r="CY54" t="str">
        <v>Federal Motor Carrier Safety Regulations with applicable State variances</v>
      </c>
      <c r="DA54" t="str">
        <v>No</v>
      </c>
      <c r="DB54" t="str">
        <v>No</v>
      </c>
      <c r="DC54" t="str">
        <v>No</v>
      </c>
      <c r="DD54" t="str">
        <v>Yes</v>
      </c>
      <c r="DE54" t="str">
        <v>No</v>
      </c>
      <c r="DF54" t="str">
        <v>No</v>
      </c>
      <c r="DG54" t="str">
        <v>Jane Doe</v>
      </c>
      <c r="DH54" t="str">
        <v>Sister</v>
      </c>
      <c r="DI54" t="str">
        <v>555-555-5555</v>
      </c>
      <c r="DJ54" t="str">
        <v>No</v>
      </c>
      <c r="DK54" t="str">
        <v>No</v>
      </c>
      <c r="DL54" t="str">
        <v>No</v>
      </c>
      <c r="DM54" t="str">
        <v>No</v>
      </c>
      <c r="DN54" t="str">
        <v>Yes - Appendectomy (2005)</v>
      </c>
      <c r="DO54" t="str">
        <v>20/20</v>
      </c>
      <c r="DP54" t="str">
        <v>20/20</v>
      </c>
      <c r="DQ54" t="str">
        <v>Pass</v>
      </c>
      <c r="DR54" t="str">
        <v>118</v>
      </c>
      <c r="DS54" t="str">
        <v>78</v>
      </c>
      <c r="DT54" t="str">
        <v>72</v>
      </c>
      <c r="DU54" t="str">
        <v>Normal</v>
      </c>
      <c r="DV54">
        <v>45392</v>
      </c>
      <c r="DW54">
        <v>45394</v>
      </c>
      <c r="DX54" t="str">
        <v>Negative</v>
      </c>
      <c r="DY54">
        <v>45397</v>
      </c>
      <c r="DZ54" t="str">
        <v>BOF Fleet Safety &amp; Compliance Policy 2024</v>
      </c>
      <c r="EA54" t="str">
        <v>Complete</v>
      </c>
      <c r="EB54">
        <v>45413</v>
      </c>
    </row>
    <row r="55">
      <c r="A55" t="str">
        <v>DRV-008</v>
      </c>
      <c r="B55" t="str">
        <v>Liam Smith</v>
      </c>
      <c r="C55" t="str">
        <v>530 Demo Street, Toledo, OH 43604</v>
      </c>
      <c r="D55" t="str">
        <v>820-555-0100</v>
      </c>
      <c r="E55" t="str">
        <v>***-**-0108</v>
      </c>
      <c r="F55" t="str">
        <v>PNC</v>
      </c>
      <c r="G55">
        <v>000000108</v>
      </c>
      <c r="H55">
        <v>999900204</v>
      </c>
      <c r="I55" t="str">
        <v>Road Test Certificate</v>
      </c>
      <c r="J55" t="str">
        <v>VALID</v>
      </c>
      <c r="K55" t="str">
        <v>OH0000094</v>
      </c>
      <c r="L55">
        <v>46620</v>
      </c>
      <c r="M55">
        <v>46670</v>
      </c>
      <c r="N55">
        <v>46452</v>
      </c>
      <c r="P55" t="str">
        <v>Blonde</v>
      </c>
      <c r="Q55" t="str">
        <v>Blue</v>
      </c>
      <c r="R55" t="str">
        <v>6'-2"</v>
      </c>
      <c r="S55">
        <v>194</v>
      </c>
      <c r="T55" t="str">
        <v>M</v>
      </c>
      <c r="U55">
        <v>23377</v>
      </c>
      <c r="V55" t="str">
        <v>DRV-008.png</v>
      </c>
      <c r="W55" t="str">
        <v>Caucasian</v>
      </c>
      <c r="X55" t="str">
        <v>liamsmith@example.com</v>
      </c>
      <c r="Y55" t="str">
        <v>530 Demo Street</v>
      </c>
      <c r="Z55" t="str">
        <v>Toledo</v>
      </c>
      <c r="AA55" t="str">
        <v>OH</v>
      </c>
      <c r="AB55">
        <v>43604</v>
      </c>
      <c r="AC55" t="str">
        <v>OH</v>
      </c>
      <c r="AD55" t="str">
        <v>Class A</v>
      </c>
      <c r="AE55">
        <v>44798</v>
      </c>
      <c r="AF55" t="str">
        <v>T</v>
      </c>
      <c r="AG55" t="str">
        <v>Air brake restriction</v>
      </c>
      <c r="AH55">
        <v>45940</v>
      </c>
      <c r="AI55" t="str">
        <v>MC-0080823</v>
      </c>
      <c r="AJ55" t="str">
        <v>Dr. Alicia Brooks</v>
      </c>
      <c r="AK55" t="str">
        <v>ME100008</v>
      </c>
      <c r="AL55" t="str">
        <v>Air brake restriction</v>
      </c>
      <c r="AM55" t="str">
        <v>Qualified</v>
      </c>
      <c r="AN55">
        <v>46422</v>
      </c>
      <c r="AO55">
        <v>1</v>
      </c>
      <c r="AP55">
        <v>0</v>
      </c>
      <c r="AQ55" t="str">
        <v>Air brake restriction</v>
      </c>
      <c r="AR55" t="str">
        <v>Clear</v>
      </c>
      <c r="AS55">
        <v>45467</v>
      </c>
      <c r="AT55" t="str">
        <v>Authorized to Work</v>
      </c>
      <c r="AU55" t="str">
        <v>U.S. Passport</v>
      </c>
      <c r="AX55">
        <v>45467</v>
      </c>
      <c r="AY55" t="str">
        <v>BOF Onboarding Team</v>
      </c>
      <c r="AZ55" t="str">
        <v>Complete</v>
      </c>
      <c r="BB55" t="str">
        <v>Individual/Sole Proprietor</v>
      </c>
      <c r="BC55" t="str">
        <v>SSN</v>
      </c>
      <c r="BD55" t="str">
        <v>***-**-0108</v>
      </c>
      <c r="BF55">
        <v>45467</v>
      </c>
      <c r="BG55" t="str">
        <v>Received</v>
      </c>
      <c r="BH55" t="str">
        <v>Checking</v>
      </c>
      <c r="BI55" t="str">
        <v>Direct Deposit</v>
      </c>
      <c r="BJ55">
        <v>45467</v>
      </c>
      <c r="BK55" t="str">
        <v>Verified</v>
      </c>
      <c r="BL55">
        <v>45460</v>
      </c>
      <c r="BM55" t="str">
        <v>L. Harper</v>
      </c>
      <c r="BN55" t="str">
        <v>Day cab tractor</v>
      </c>
      <c r="BO55" t="str">
        <v>Flatbed</v>
      </c>
      <c r="BP55" t="str">
        <v>Toledo, OH</v>
      </c>
      <c r="BQ55">
        <v>4</v>
      </c>
      <c r="BR55">
        <v>5</v>
      </c>
      <c r="BS55">
        <v>4</v>
      </c>
      <c r="BT55">
        <v>4</v>
      </c>
      <c r="BU55">
        <v>4</v>
      </c>
      <c r="BV55">
        <v>5</v>
      </c>
      <c r="BW55">
        <v>4</v>
      </c>
      <c r="BX55">
        <v>4</v>
      </c>
      <c r="BY55">
        <v>4</v>
      </c>
      <c r="BZ55" t="str">
        <v>Pass</v>
      </c>
      <c r="CA55" t="str">
        <v>Air brake restriction applies</v>
      </c>
      <c r="CB55" t="str">
        <v>Passed</v>
      </c>
      <c r="CC55" t="str">
        <v>Enrolled</v>
      </c>
      <c r="CD55" t="str">
        <v>Query Completed</v>
      </c>
      <c r="CE55">
        <v>46037</v>
      </c>
      <c r="CF55">
        <v>46218</v>
      </c>
      <c r="CH55" t="str">
        <v>Compliant</v>
      </c>
      <c r="CJ55" t="str">
        <v>Liam</v>
      </c>
      <c r="CK55" t="str">
        <v>Smith</v>
      </c>
      <c r="CL55" t="str">
        <v>OH0000145</v>
      </c>
      <c r="CM55" t="str">
        <v>OH</v>
      </c>
      <c r="CN55" t="str">
        <v>CDL Holder</v>
      </c>
      <c r="CO55" t="str">
        <v>Liam Smith</v>
      </c>
      <c r="CP55">
        <v>45940</v>
      </c>
      <c r="CQ55">
        <v>46670</v>
      </c>
      <c r="CR55" t="str">
        <v>(614) 555-0114</v>
      </c>
      <c r="CS55" t="str">
        <v>Dr. Alicia Brooks</v>
      </c>
      <c r="CT55">
        <v>45940</v>
      </c>
      <c r="CU55" t="str">
        <v>OH-ME-134036</v>
      </c>
      <c r="CV55" t="str">
        <v>ME100008</v>
      </c>
      <c r="CW55" t="str">
        <v>Advanced Practice Nurse</v>
      </c>
      <c r="CX55" t="str">
        <v>OH</v>
      </c>
      <c r="CY55" t="str">
        <v>Federal Motor Carrier Safety Regulations with applicable State variances</v>
      </c>
      <c r="DA55" t="str">
        <v>No</v>
      </c>
      <c r="DB55" t="str">
        <v>No</v>
      </c>
      <c r="DC55" t="str">
        <v>No</v>
      </c>
      <c r="DD55" t="str">
        <v>Yes</v>
      </c>
      <c r="DE55" t="str">
        <v>No</v>
      </c>
      <c r="DF55" t="str">
        <v>No</v>
      </c>
      <c r="DG55" t="str">
        <v>Jane Doe</v>
      </c>
      <c r="DH55" t="str">
        <v>Sister</v>
      </c>
      <c r="DI55" t="str">
        <v>555-555-5555</v>
      </c>
      <c r="DJ55" t="str">
        <v>No</v>
      </c>
      <c r="DK55" t="str">
        <v>No</v>
      </c>
      <c r="DL55" t="str">
        <v>No</v>
      </c>
      <c r="DM55" t="str">
        <v>No</v>
      </c>
      <c r="DN55" t="str">
        <v>Yes - Appendectomy (2005)</v>
      </c>
      <c r="DO55" t="str">
        <v>20/20</v>
      </c>
      <c r="DP55" t="str">
        <v>20/20</v>
      </c>
      <c r="DQ55" t="str">
        <v>Pass</v>
      </c>
      <c r="DR55" t="str">
        <v>118</v>
      </c>
      <c r="DS55" t="str">
        <v>78</v>
      </c>
      <c r="DT55" t="str">
        <v>72</v>
      </c>
      <c r="DU55" t="str">
        <v>Normal</v>
      </c>
      <c r="DV55">
        <v>45392</v>
      </c>
      <c r="DW55">
        <v>45394</v>
      </c>
      <c r="DX55" t="str">
        <v>Negative</v>
      </c>
      <c r="DY55">
        <v>45397</v>
      </c>
      <c r="DZ55" t="str">
        <v>BOF Fleet Safety &amp; Compliance Policy 2024</v>
      </c>
      <c r="EA55" t="str">
        <v>Complete</v>
      </c>
      <c r="EB55">
        <v>45413</v>
      </c>
    </row>
    <row r="56">
      <c r="A56" t="str">
        <v>DRV-008</v>
      </c>
      <c r="B56" t="str">
        <v>Liam Smith</v>
      </c>
      <c r="C56" t="str">
        <v>530 Demo Street, Toledo, OH 43604</v>
      </c>
      <c r="D56" t="str">
        <v>820-555-0100</v>
      </c>
      <c r="E56" t="str">
        <v>***-**-0108</v>
      </c>
      <c r="F56" t="str">
        <v>PNC</v>
      </c>
      <c r="G56">
        <v>000000108</v>
      </c>
      <c r="H56">
        <v>999900204</v>
      </c>
      <c r="I56" t="str">
        <v>Incident/Accident Report</v>
      </c>
      <c r="J56" t="str">
        <v>VALID</v>
      </c>
      <c r="K56" t="str">
        <v>OH0000098</v>
      </c>
      <c r="L56">
        <v>46620</v>
      </c>
      <c r="M56">
        <v>46670</v>
      </c>
      <c r="N56">
        <v>46452</v>
      </c>
      <c r="O56" t="str">
        <v>No major incidents recorded in last 90 days.</v>
      </c>
      <c r="P56" t="str">
        <v>Blonde</v>
      </c>
      <c r="Q56" t="str">
        <v>Blue</v>
      </c>
      <c r="R56" t="str">
        <v>6'-2"</v>
      </c>
      <c r="S56">
        <v>194</v>
      </c>
      <c r="T56" t="str">
        <v>M</v>
      </c>
      <c r="U56">
        <v>23377</v>
      </c>
      <c r="V56" t="str">
        <v>DRV-008.png</v>
      </c>
      <c r="W56" t="str">
        <v>Caucasian</v>
      </c>
      <c r="X56" t="str">
        <v>liamsmith@example.com</v>
      </c>
      <c r="Y56" t="str">
        <v>530 Demo Street</v>
      </c>
      <c r="Z56" t="str">
        <v>Toledo</v>
      </c>
      <c r="AA56" t="str">
        <v>OH</v>
      </c>
      <c r="AB56">
        <v>43604</v>
      </c>
      <c r="AC56" t="str">
        <v>OH</v>
      </c>
      <c r="AD56" t="str">
        <v>Class A</v>
      </c>
      <c r="AE56">
        <v>44798</v>
      </c>
      <c r="AF56" t="str">
        <v>T</v>
      </c>
      <c r="AG56" t="str">
        <v>Air brake restriction</v>
      </c>
      <c r="AH56">
        <v>45940</v>
      </c>
      <c r="AI56" t="str">
        <v>MC-0080823</v>
      </c>
      <c r="AJ56" t="str">
        <v>Dr. Alicia Brooks</v>
      </c>
      <c r="AK56" t="str">
        <v>ME100008</v>
      </c>
      <c r="AL56" t="str">
        <v>Air brake restriction</v>
      </c>
      <c r="AM56" t="str">
        <v>Qualified</v>
      </c>
      <c r="AN56">
        <v>46422</v>
      </c>
      <c r="AO56">
        <v>1</v>
      </c>
      <c r="AP56">
        <v>0</v>
      </c>
      <c r="AQ56" t="str">
        <v>Air brake restriction</v>
      </c>
      <c r="AR56" t="str">
        <v>Clear</v>
      </c>
      <c r="AS56">
        <v>45467</v>
      </c>
      <c r="AT56" t="str">
        <v>Authorized to Work</v>
      </c>
      <c r="AU56" t="str">
        <v>U.S. Passport</v>
      </c>
      <c r="AX56">
        <v>45467</v>
      </c>
      <c r="AY56" t="str">
        <v>BOF Onboarding Team</v>
      </c>
      <c r="AZ56" t="str">
        <v>Complete</v>
      </c>
      <c r="BB56" t="str">
        <v>Individual/Sole Proprietor</v>
      </c>
      <c r="BC56" t="str">
        <v>SSN</v>
      </c>
      <c r="BD56" t="str">
        <v>***-**-0108</v>
      </c>
      <c r="BF56">
        <v>45467</v>
      </c>
      <c r="BG56" t="str">
        <v>Received</v>
      </c>
      <c r="BH56" t="str">
        <v>Checking</v>
      </c>
      <c r="BI56" t="str">
        <v>Direct Deposit</v>
      </c>
      <c r="BJ56">
        <v>45467</v>
      </c>
      <c r="BK56" t="str">
        <v>Verified</v>
      </c>
      <c r="BL56">
        <v>45460</v>
      </c>
      <c r="BM56" t="str">
        <v>L. Harper</v>
      </c>
      <c r="BN56" t="str">
        <v>Day cab tractor</v>
      </c>
      <c r="BO56" t="str">
        <v>Flatbed</v>
      </c>
      <c r="BP56" t="str">
        <v>Toledo, OH</v>
      </c>
      <c r="BQ56">
        <v>4</v>
      </c>
      <c r="BR56">
        <v>5</v>
      </c>
      <c r="BS56">
        <v>4</v>
      </c>
      <c r="BT56">
        <v>4</v>
      </c>
      <c r="BU56">
        <v>4</v>
      </c>
      <c r="BV56">
        <v>5</v>
      </c>
      <c r="BW56">
        <v>4</v>
      </c>
      <c r="BX56">
        <v>4</v>
      </c>
      <c r="BY56">
        <v>4</v>
      </c>
      <c r="BZ56" t="str">
        <v>Pass</v>
      </c>
      <c r="CA56" t="str">
        <v>Air brake restriction applies</v>
      </c>
      <c r="CB56" t="str">
        <v>Passed</v>
      </c>
      <c r="CC56" t="str">
        <v>Enrolled</v>
      </c>
      <c r="CD56" t="str">
        <v>Query Completed</v>
      </c>
      <c r="CE56">
        <v>46037</v>
      </c>
      <c r="CF56">
        <v>46218</v>
      </c>
      <c r="CH56" t="str">
        <v>Compliant</v>
      </c>
      <c r="CJ56" t="str">
        <v>Liam</v>
      </c>
      <c r="CK56" t="str">
        <v>Smith</v>
      </c>
      <c r="CL56" t="str">
        <v>OH0000146</v>
      </c>
      <c r="CM56" t="str">
        <v>OH</v>
      </c>
      <c r="CN56" t="str">
        <v>CDL Holder</v>
      </c>
      <c r="CO56" t="str">
        <v>Liam Smith</v>
      </c>
      <c r="CP56">
        <v>45940</v>
      </c>
      <c r="CQ56">
        <v>46670</v>
      </c>
      <c r="CR56" t="str">
        <v>(614) 555-0114</v>
      </c>
      <c r="CS56" t="str">
        <v>Dr. Alicia Brooks</v>
      </c>
      <c r="CT56">
        <v>45940</v>
      </c>
      <c r="CU56" t="str">
        <v>OH-ME-134036</v>
      </c>
      <c r="CV56" t="str">
        <v>ME100008</v>
      </c>
      <c r="CW56" t="str">
        <v>Advanced Practice Nurse</v>
      </c>
      <c r="CX56" t="str">
        <v>OH</v>
      </c>
      <c r="CY56" t="str">
        <v>Federal Motor Carrier Safety Regulations with applicable State variances</v>
      </c>
      <c r="DA56" t="str">
        <v>No</v>
      </c>
      <c r="DB56" t="str">
        <v>No</v>
      </c>
      <c r="DC56" t="str">
        <v>No</v>
      </c>
      <c r="DD56" t="str">
        <v>Yes</v>
      </c>
      <c r="DE56" t="str">
        <v>No</v>
      </c>
      <c r="DF56" t="str">
        <v>No</v>
      </c>
      <c r="DG56" t="str">
        <v>Jane Doe</v>
      </c>
      <c r="DH56" t="str">
        <v>Sister</v>
      </c>
      <c r="DI56" t="str">
        <v>555-555-5555</v>
      </c>
      <c r="DJ56" t="str">
        <v>No</v>
      </c>
      <c r="DK56" t="str">
        <v>No</v>
      </c>
      <c r="DL56" t="str">
        <v>No</v>
      </c>
      <c r="DM56" t="str">
        <v>No</v>
      </c>
      <c r="DN56" t="str">
        <v>Yes - Appendectomy (2005)</v>
      </c>
      <c r="DO56" t="str">
        <v>20/20</v>
      </c>
      <c r="DP56" t="str">
        <v>20/20</v>
      </c>
      <c r="DQ56" t="str">
        <v>Pass</v>
      </c>
      <c r="DR56" t="str">
        <v>118</v>
      </c>
      <c r="DS56" t="str">
        <v>78</v>
      </c>
      <c r="DT56" t="str">
        <v>72</v>
      </c>
      <c r="DU56" t="str">
        <v>Normal</v>
      </c>
      <c r="DV56">
        <v>45392</v>
      </c>
      <c r="DW56">
        <v>45394</v>
      </c>
      <c r="DX56" t="str">
        <v>Negative</v>
      </c>
      <c r="DY56">
        <v>45397</v>
      </c>
      <c r="DZ56" t="str">
        <v>BOF Fleet Safety &amp; Compliance Policy 2024</v>
      </c>
      <c r="EA56" t="str">
        <v>Complete</v>
      </c>
      <c r="EB56">
        <v>45413</v>
      </c>
    </row>
    <row r="57">
      <c r="A57" t="str">
        <v>DRV-008</v>
      </c>
      <c r="B57" t="str">
        <v>Liam Smith</v>
      </c>
      <c r="C57" t="str">
        <v>530 Demo Street, Toledo, OH 43604</v>
      </c>
      <c r="D57" t="str">
        <v>820-555-0100</v>
      </c>
      <c r="E57" t="str">
        <v>***-**-0108</v>
      </c>
      <c r="F57" t="str">
        <v>PNC</v>
      </c>
      <c r="G57">
        <v>000000108</v>
      </c>
      <c r="H57">
        <v>999900204</v>
      </c>
      <c r="I57" t="str">
        <v>Direct Deposit Form</v>
      </c>
      <c r="J57" t="str">
        <v>VALID</v>
      </c>
      <c r="K57" t="str">
        <v>OH0000150</v>
      </c>
      <c r="L57">
        <v>46620</v>
      </c>
      <c r="M57">
        <v>46670</v>
      </c>
      <c r="N57">
        <v>46452</v>
      </c>
      <c r="P57" t="str">
        <v>Blonde</v>
      </c>
      <c r="Q57" t="str">
        <v>Blue</v>
      </c>
      <c r="R57" t="str">
        <v>6'-2"</v>
      </c>
      <c r="S57">
        <v>194</v>
      </c>
      <c r="T57" t="str">
        <v>M</v>
      </c>
      <c r="U57">
        <v>23377</v>
      </c>
      <c r="V57" t="str">
        <v>DRV-008.png</v>
      </c>
      <c r="W57" t="str">
        <v>Caucasian</v>
      </c>
      <c r="X57" t="str">
        <v>liamsmith@example.com</v>
      </c>
      <c r="Y57" t="str">
        <v>530 Demo Street</v>
      </c>
      <c r="Z57" t="str">
        <v>Toledo</v>
      </c>
      <c r="AA57" t="str">
        <v>OH</v>
      </c>
      <c r="AB57">
        <v>43604</v>
      </c>
      <c r="AC57" t="str">
        <v>OH</v>
      </c>
      <c r="AD57" t="str">
        <v>Class A</v>
      </c>
      <c r="AE57">
        <v>44798</v>
      </c>
      <c r="AF57" t="str">
        <v>T</v>
      </c>
      <c r="AG57" t="str">
        <v>Air brake restriction</v>
      </c>
      <c r="AH57">
        <v>45940</v>
      </c>
      <c r="AI57" t="str">
        <v>MC-0080823</v>
      </c>
      <c r="AJ57" t="str">
        <v>Dr. Alicia Brooks</v>
      </c>
      <c r="AK57" t="str">
        <v>ME100008</v>
      </c>
      <c r="AL57" t="str">
        <v>Air brake restriction</v>
      </c>
      <c r="AM57" t="str">
        <v>Qualified</v>
      </c>
      <c r="AN57">
        <v>46422</v>
      </c>
      <c r="AO57">
        <v>1</v>
      </c>
      <c r="AP57">
        <v>0</v>
      </c>
      <c r="AQ57" t="str">
        <v>Air brake restriction</v>
      </c>
      <c r="AR57" t="str">
        <v>Clear</v>
      </c>
      <c r="AS57">
        <v>45467</v>
      </c>
      <c r="AT57" t="str">
        <v>Authorized to Work</v>
      </c>
      <c r="AU57" t="str">
        <v>U.S. Passport</v>
      </c>
      <c r="AX57">
        <v>45467</v>
      </c>
      <c r="AY57" t="str">
        <v>BOF Onboarding Team</v>
      </c>
      <c r="AZ57" t="str">
        <v>Complete</v>
      </c>
      <c r="BB57" t="str">
        <v>Individual/Sole Proprietor</v>
      </c>
      <c r="BC57" t="str">
        <v>SSN</v>
      </c>
      <c r="BD57" t="str">
        <v>***-**-0108</v>
      </c>
      <c r="BF57">
        <v>45467</v>
      </c>
      <c r="BG57" t="str">
        <v>Received</v>
      </c>
      <c r="BH57" t="str">
        <v>Checking</v>
      </c>
      <c r="BI57" t="str">
        <v>Direct Deposit</v>
      </c>
      <c r="BJ57">
        <v>45467</v>
      </c>
      <c r="BK57" t="str">
        <v>Verified</v>
      </c>
      <c r="BL57">
        <v>45460</v>
      </c>
      <c r="BM57" t="str">
        <v>L. Harper</v>
      </c>
      <c r="BN57" t="str">
        <v>Day cab tractor</v>
      </c>
      <c r="BO57" t="str">
        <v>Flatbed</v>
      </c>
      <c r="BP57" t="str">
        <v>Toledo, OH</v>
      </c>
      <c r="BQ57">
        <v>4</v>
      </c>
      <c r="BR57">
        <v>5</v>
      </c>
      <c r="BS57">
        <v>4</v>
      </c>
      <c r="BT57">
        <v>4</v>
      </c>
      <c r="BU57">
        <v>4</v>
      </c>
      <c r="BV57">
        <v>5</v>
      </c>
      <c r="BW57">
        <v>4</v>
      </c>
      <c r="BX57">
        <v>4</v>
      </c>
      <c r="BY57">
        <v>4</v>
      </c>
      <c r="BZ57" t="str">
        <v>Pass</v>
      </c>
      <c r="CA57" t="str">
        <v>Air brake restriction applies</v>
      </c>
      <c r="CB57" t="str">
        <v>Passed</v>
      </c>
      <c r="CC57" t="str">
        <v>Enrolled</v>
      </c>
      <c r="CD57" t="str">
        <v>Query Completed</v>
      </c>
      <c r="CE57">
        <v>46037</v>
      </c>
      <c r="CF57">
        <v>46218</v>
      </c>
      <c r="CH57" t="str">
        <v>Compliant</v>
      </c>
      <c r="CJ57" t="str">
        <v>Liam</v>
      </c>
      <c r="CK57" t="str">
        <v>Smith</v>
      </c>
      <c r="CL57" t="str">
        <v>OH0000147</v>
      </c>
      <c r="CM57" t="str">
        <v>OH</v>
      </c>
      <c r="CN57" t="str">
        <v>CDL Holder</v>
      </c>
      <c r="CO57" t="str">
        <v>Liam Smith</v>
      </c>
      <c r="CP57">
        <v>45940</v>
      </c>
      <c r="CQ57">
        <v>46670</v>
      </c>
      <c r="CR57" t="str">
        <v>(614) 555-0114</v>
      </c>
      <c r="CS57" t="str">
        <v>Dr. Alicia Brooks</v>
      </c>
      <c r="CT57">
        <v>45940</v>
      </c>
      <c r="CU57" t="str">
        <v>OH-ME-134036</v>
      </c>
      <c r="CV57" t="str">
        <v>ME100008</v>
      </c>
      <c r="CW57" t="str">
        <v>Advanced Practice Nurse</v>
      </c>
      <c r="CX57" t="str">
        <v>OH</v>
      </c>
      <c r="CY57" t="str">
        <v>Federal Motor Carrier Safety Regulations with applicable State variances</v>
      </c>
      <c r="DA57" t="str">
        <v>No</v>
      </c>
      <c r="DB57" t="str">
        <v>No</v>
      </c>
      <c r="DC57" t="str">
        <v>No</v>
      </c>
      <c r="DD57" t="str">
        <v>Yes</v>
      </c>
      <c r="DE57" t="str">
        <v>No</v>
      </c>
      <c r="DF57" t="str">
        <v>No</v>
      </c>
      <c r="DG57" t="str">
        <v>Jane Doe</v>
      </c>
      <c r="DH57" t="str">
        <v>Sister</v>
      </c>
      <c r="DI57" t="str">
        <v>555-555-5555</v>
      </c>
      <c r="DJ57" t="str">
        <v>No</v>
      </c>
      <c r="DK57" t="str">
        <v>No</v>
      </c>
      <c r="DL57" t="str">
        <v>No</v>
      </c>
      <c r="DM57" t="str">
        <v>No</v>
      </c>
      <c r="DN57" t="str">
        <v>Yes - Appendectomy (2005)</v>
      </c>
      <c r="DO57" t="str">
        <v>20/20</v>
      </c>
      <c r="DP57" t="str">
        <v>20/20</v>
      </c>
      <c r="DQ57" t="str">
        <v>Pass</v>
      </c>
      <c r="DR57" t="str">
        <v>118</v>
      </c>
      <c r="DS57" t="str">
        <v>78</v>
      </c>
      <c r="DT57" t="str">
        <v>72</v>
      </c>
      <c r="DU57" t="str">
        <v>Normal</v>
      </c>
      <c r="DV57">
        <v>45392</v>
      </c>
      <c r="DW57">
        <v>45394</v>
      </c>
      <c r="DX57" t="str">
        <v>Negative</v>
      </c>
      <c r="DY57">
        <v>45397</v>
      </c>
      <c r="DZ57" t="str">
        <v>BOF Fleet Safety &amp; Compliance Policy 2024</v>
      </c>
      <c r="EA57" t="str">
        <v>Complete</v>
      </c>
      <c r="EB57">
        <v>45413</v>
      </c>
    </row>
    <row r="58">
      <c r="A58" t="str">
        <v>DRV-009</v>
      </c>
      <c r="B58" t="str">
        <v>Emma Brown</v>
      </c>
      <c r="C58" t="str">
        <v>630 Demo Street, Columbus, OH 43215</v>
      </c>
      <c r="D58" t="str">
        <v>206-555-0103</v>
      </c>
      <c r="E58" t="str">
        <v>***-**-0124</v>
      </c>
      <c r="F58" t="str">
        <v>Chase</v>
      </c>
      <c r="G58">
        <v>000000103</v>
      </c>
      <c r="H58">
        <v>999900210</v>
      </c>
      <c r="I58" t="str">
        <v>CDL Summary</v>
      </c>
      <c r="J58" t="str">
        <v>VALID</v>
      </c>
      <c r="K58" t="str">
        <v>OH0000104</v>
      </c>
      <c r="L58">
        <v>46424</v>
      </c>
      <c r="M58">
        <v>46645</v>
      </c>
      <c r="N58">
        <v>46451</v>
      </c>
      <c r="P58" t="str">
        <v>Black</v>
      </c>
      <c r="Q58" t="str">
        <v>Brown</v>
      </c>
      <c r="R58" t="str">
        <v>5'-4"</v>
      </c>
      <c r="S58">
        <v>144</v>
      </c>
      <c r="T58" t="str">
        <v>F</v>
      </c>
      <c r="U58">
        <v>30682</v>
      </c>
      <c r="V58" t="str">
        <v>DRV-009.png</v>
      </c>
      <c r="W58" t="str">
        <v>Caucasian</v>
      </c>
      <c r="X58" t="str">
        <v>emmabrown@example.com</v>
      </c>
      <c r="Y58" t="str">
        <v>630 Demo Street</v>
      </c>
      <c r="Z58" t="str">
        <v>Columbus</v>
      </c>
      <c r="AA58" t="str">
        <v>OH</v>
      </c>
      <c r="AB58">
        <v>43215</v>
      </c>
      <c r="AC58" t="str">
        <v>OH</v>
      </c>
      <c r="AD58" t="str">
        <v>Class B</v>
      </c>
      <c r="AE58">
        <v>44602</v>
      </c>
      <c r="AF58" t="str">
        <v>P</v>
      </c>
      <c r="AG58" t="str">
        <v>Corrective lenses</v>
      </c>
      <c r="AH58">
        <v>45915</v>
      </c>
      <c r="AI58" t="str">
        <v>MC-0091016</v>
      </c>
      <c r="AJ58" t="str">
        <v>Dr. David Yang</v>
      </c>
      <c r="AK58" t="str">
        <v>ME100009</v>
      </c>
      <c r="AM58" t="str">
        <v>Qualified</v>
      </c>
      <c r="AN58">
        <v>46421</v>
      </c>
      <c r="AO58">
        <v>0</v>
      </c>
      <c r="AP58">
        <v>0</v>
      </c>
      <c r="AQ58" t="str">
        <v>Corrective lenses</v>
      </c>
      <c r="AR58" t="str">
        <v>Clear</v>
      </c>
      <c r="AS58">
        <v>45502</v>
      </c>
      <c r="AT58" t="str">
        <v>Authorized to Work</v>
      </c>
      <c r="AU58" t="str">
        <v>U.S. Passport</v>
      </c>
      <c r="AX58">
        <v>45502</v>
      </c>
      <c r="AY58" t="str">
        <v>BOF Onboarding Team</v>
      </c>
      <c r="AZ58" t="str">
        <v>Complete</v>
      </c>
      <c r="BB58" t="str">
        <v>Individual/Sole Proprietor</v>
      </c>
      <c r="BC58" t="str">
        <v>SSN</v>
      </c>
      <c r="BD58" t="str">
        <v>***-**-0124</v>
      </c>
      <c r="BF58">
        <v>45502</v>
      </c>
      <c r="BG58" t="str">
        <v>Received</v>
      </c>
      <c r="BH58" t="str">
        <v>Savings</v>
      </c>
      <c r="BI58" t="str">
        <v>Direct Deposit</v>
      </c>
      <c r="BJ58">
        <v>45502</v>
      </c>
      <c r="BK58" t="str">
        <v>Verified</v>
      </c>
      <c r="BL58">
        <v>45495</v>
      </c>
      <c r="BM58" t="str">
        <v>J. Alvarez</v>
      </c>
      <c r="BN58" t="str">
        <v>Straight truck</v>
      </c>
      <c r="BO58" t="str">
        <v>Straight truck</v>
      </c>
      <c r="BP58" t="str">
        <v>Columbus, OH</v>
      </c>
      <c r="BQ58">
        <v>5</v>
      </c>
      <c r="BR58">
        <v>5</v>
      </c>
      <c r="BS58">
        <v>4</v>
      </c>
      <c r="BT58">
        <v>5</v>
      </c>
      <c r="BU58">
        <v>5</v>
      </c>
      <c r="BV58">
        <v>5</v>
      </c>
      <c r="BX58">
        <v>5</v>
      </c>
      <c r="BY58">
        <v>5</v>
      </c>
      <c r="BZ58" t="str">
        <v>Pass</v>
      </c>
      <c r="CA58" t="str">
        <v>Straight truck route only</v>
      </c>
      <c r="CB58" t="str">
        <v>Passed</v>
      </c>
      <c r="CC58" t="str">
        <v>Enrolled</v>
      </c>
      <c r="CD58" t="str">
        <v>Query Completed</v>
      </c>
      <c r="CE58">
        <v>46037</v>
      </c>
      <c r="CF58">
        <v>46218</v>
      </c>
      <c r="CH58" t="str">
        <v>Compliant</v>
      </c>
      <c r="CJ58" t="str">
        <v>Emma</v>
      </c>
      <c r="CK58" t="str">
        <v>Brown</v>
      </c>
      <c r="CL58" t="str">
        <v>OH0000104</v>
      </c>
      <c r="CM58" t="str">
        <v>OH</v>
      </c>
      <c r="CN58" t="str">
        <v>CDL Holder</v>
      </c>
      <c r="CO58" t="str">
        <v>Emma Brown</v>
      </c>
      <c r="CP58">
        <v>45915</v>
      </c>
      <c r="CQ58">
        <v>46645</v>
      </c>
      <c r="CR58" t="str">
        <v>(614) 555-0113</v>
      </c>
      <c r="CS58" t="str">
        <v>Dr. David Yang</v>
      </c>
      <c r="CT58">
        <v>45915</v>
      </c>
      <c r="CU58" t="str">
        <v>OH-ME-556547</v>
      </c>
      <c r="CV58" t="str">
        <v>ME100009</v>
      </c>
      <c r="CW58" t="str">
        <v>Physician Assistant</v>
      </c>
      <c r="CX58" t="str">
        <v>OH</v>
      </c>
      <c r="CY58" t="str">
        <v>Federal Motor Carrier Safety Regulations</v>
      </c>
      <c r="DA58" t="str">
        <v>No</v>
      </c>
      <c r="DB58" t="str">
        <v>No</v>
      </c>
      <c r="DC58" t="str">
        <v>No</v>
      </c>
      <c r="DD58" t="str">
        <v>No</v>
      </c>
      <c r="DE58" t="str">
        <v>No</v>
      </c>
      <c r="DF58" t="str">
        <v>No</v>
      </c>
      <c r="DG58" t="str">
        <v>Jane Doe</v>
      </c>
      <c r="DH58" t="str">
        <v>Sister</v>
      </c>
      <c r="DI58" t="str">
        <v>555-555-5555</v>
      </c>
      <c r="DJ58" t="str">
        <v>No</v>
      </c>
      <c r="DK58" t="str">
        <v>No</v>
      </c>
      <c r="DL58" t="str">
        <v>No</v>
      </c>
      <c r="DM58" t="str">
        <v>No</v>
      </c>
      <c r="DN58" t="str">
        <v>Yes - Appendectomy (2005)</v>
      </c>
      <c r="DO58" t="str">
        <v>20/20</v>
      </c>
      <c r="DP58" t="str">
        <v>20/20</v>
      </c>
      <c r="DQ58" t="str">
        <v>Pass</v>
      </c>
      <c r="DR58" t="str">
        <v>118</v>
      </c>
      <c r="DS58" t="str">
        <v>78</v>
      </c>
      <c r="DT58" t="str">
        <v>72</v>
      </c>
      <c r="DU58" t="str">
        <v>Normal</v>
      </c>
      <c r="DV58">
        <v>45392</v>
      </c>
      <c r="DW58">
        <v>45394</v>
      </c>
      <c r="DX58" t="str">
        <v>Negative</v>
      </c>
      <c r="DY58">
        <v>45397</v>
      </c>
      <c r="DZ58" t="str">
        <v>BOF Fleet Safety &amp; Compliance Policy 2024</v>
      </c>
      <c r="EA58" t="str">
        <v>Complete</v>
      </c>
      <c r="EB58">
        <v>45413</v>
      </c>
    </row>
    <row r="59">
      <c r="A59" t="str">
        <v>DRV-009</v>
      </c>
      <c r="B59" t="str">
        <v>Emma Brown</v>
      </c>
      <c r="C59" t="str">
        <v>630 Demo Street, Columbus, OH 43215</v>
      </c>
      <c r="D59" t="str">
        <v>206-555-0103</v>
      </c>
      <c r="E59" t="str">
        <v>***-**-0124</v>
      </c>
      <c r="F59" t="str">
        <v>Chase</v>
      </c>
      <c r="G59">
        <v>000000103</v>
      </c>
      <c r="H59">
        <v>999900210</v>
      </c>
      <c r="I59" t="str">
        <v>Medical Certification</v>
      </c>
      <c r="J59" t="str">
        <v>VALID</v>
      </c>
      <c r="K59" t="str">
        <v>OH0000083</v>
      </c>
      <c r="L59">
        <v>46424</v>
      </c>
      <c r="M59">
        <v>46645</v>
      </c>
      <c r="N59">
        <v>46451</v>
      </c>
      <c r="P59" t="str">
        <v>Black</v>
      </c>
      <c r="Q59" t="str">
        <v>Brown</v>
      </c>
      <c r="R59" t="str">
        <v>5'-4"</v>
      </c>
      <c r="S59">
        <v>144</v>
      </c>
      <c r="T59" t="str">
        <v>F</v>
      </c>
      <c r="U59">
        <v>30682</v>
      </c>
      <c r="V59" t="str">
        <v>DRV-009.png</v>
      </c>
      <c r="W59" t="str">
        <v>Caucasian</v>
      </c>
      <c r="X59" t="str">
        <v>emmabrown@example.com</v>
      </c>
      <c r="Y59" t="str">
        <v>630 Demo Street</v>
      </c>
      <c r="Z59" t="str">
        <v>Columbus</v>
      </c>
      <c r="AA59" t="str">
        <v>OH</v>
      </c>
      <c r="AB59">
        <v>43215</v>
      </c>
      <c r="AC59" t="str">
        <v>OH</v>
      </c>
      <c r="AD59" t="str">
        <v>Class B</v>
      </c>
      <c r="AE59">
        <v>44602</v>
      </c>
      <c r="AF59" t="str">
        <v>P</v>
      </c>
      <c r="AG59" t="str">
        <v>Corrective lenses</v>
      </c>
      <c r="AH59">
        <v>45915</v>
      </c>
      <c r="AI59" t="str">
        <v>MC-0091016</v>
      </c>
      <c r="AJ59" t="str">
        <v>Dr. David Yang</v>
      </c>
      <c r="AK59" t="str">
        <v>ME100009</v>
      </c>
      <c r="AM59" t="str">
        <v>Qualified</v>
      </c>
      <c r="AN59">
        <v>46421</v>
      </c>
      <c r="AO59">
        <v>0</v>
      </c>
      <c r="AP59">
        <v>0</v>
      </c>
      <c r="AQ59" t="str">
        <v>Corrective lenses</v>
      </c>
      <c r="AR59" t="str">
        <v>Clear</v>
      </c>
      <c r="AS59">
        <v>45502</v>
      </c>
      <c r="AT59" t="str">
        <v>Authorized to Work</v>
      </c>
      <c r="AU59" t="str">
        <v>U.S. Passport</v>
      </c>
      <c r="AX59">
        <v>45502</v>
      </c>
      <c r="AY59" t="str">
        <v>BOF Onboarding Team</v>
      </c>
      <c r="AZ59" t="str">
        <v>Complete</v>
      </c>
      <c r="BB59" t="str">
        <v>Individual/Sole Proprietor</v>
      </c>
      <c r="BC59" t="str">
        <v>SSN</v>
      </c>
      <c r="BD59" t="str">
        <v>***-**-0124</v>
      </c>
      <c r="BF59">
        <v>45502</v>
      </c>
      <c r="BG59" t="str">
        <v>Received</v>
      </c>
      <c r="BH59" t="str">
        <v>Savings</v>
      </c>
      <c r="BI59" t="str">
        <v>Direct Deposit</v>
      </c>
      <c r="BJ59">
        <v>45502</v>
      </c>
      <c r="BK59" t="str">
        <v>Verified</v>
      </c>
      <c r="BL59">
        <v>45495</v>
      </c>
      <c r="BM59" t="str">
        <v>J. Alvarez</v>
      </c>
      <c r="BN59" t="str">
        <v>Straight truck</v>
      </c>
      <c r="BO59" t="str">
        <v>Straight truck</v>
      </c>
      <c r="BP59" t="str">
        <v>Columbus, OH</v>
      </c>
      <c r="BQ59">
        <v>5</v>
      </c>
      <c r="BR59">
        <v>5</v>
      </c>
      <c r="BS59">
        <v>4</v>
      </c>
      <c r="BT59">
        <v>5</v>
      </c>
      <c r="BU59">
        <v>5</v>
      </c>
      <c r="BV59">
        <v>5</v>
      </c>
      <c r="BX59">
        <v>5</v>
      </c>
      <c r="BY59">
        <v>5</v>
      </c>
      <c r="BZ59" t="str">
        <v>Pass</v>
      </c>
      <c r="CA59" t="str">
        <v>Straight truck route only</v>
      </c>
      <c r="CB59" t="str">
        <v>Passed</v>
      </c>
      <c r="CC59" t="str">
        <v>Enrolled</v>
      </c>
      <c r="CD59" t="str">
        <v>Query Completed</v>
      </c>
      <c r="CE59">
        <v>46037</v>
      </c>
      <c r="CF59">
        <v>46218</v>
      </c>
      <c r="CH59" t="str">
        <v>Compliant</v>
      </c>
      <c r="CJ59" t="str">
        <v>Emma</v>
      </c>
      <c r="CK59" t="str">
        <v>Brown</v>
      </c>
      <c r="CL59" t="str">
        <v>OH0000105</v>
      </c>
      <c r="CM59" t="str">
        <v>OH</v>
      </c>
      <c r="CN59" t="str">
        <v>CDL Holder</v>
      </c>
      <c r="CO59" t="str">
        <v>Emma Brown</v>
      </c>
      <c r="CP59">
        <v>45915</v>
      </c>
      <c r="CQ59">
        <v>46645</v>
      </c>
      <c r="CR59" t="str">
        <v>(614) 555-0113</v>
      </c>
      <c r="CS59" t="str">
        <v>Dr. David Yang</v>
      </c>
      <c r="CT59">
        <v>45915</v>
      </c>
      <c r="CU59" t="str">
        <v>OH-ME-556547</v>
      </c>
      <c r="CV59" t="str">
        <v>ME100009</v>
      </c>
      <c r="CW59" t="str">
        <v>Physician Assistant</v>
      </c>
      <c r="CX59" t="str">
        <v>OH</v>
      </c>
      <c r="CY59" t="str">
        <v>Federal Motor Carrier Safety Regulations</v>
      </c>
      <c r="DA59" t="str">
        <v>No</v>
      </c>
      <c r="DB59" t="str">
        <v>No</v>
      </c>
      <c r="DC59" t="str">
        <v>No</v>
      </c>
      <c r="DD59" t="str">
        <v>No</v>
      </c>
      <c r="DE59" t="str">
        <v>No</v>
      </c>
      <c r="DF59" t="str">
        <v>No</v>
      </c>
      <c r="DG59" t="str">
        <v>Jane Doe</v>
      </c>
      <c r="DH59" t="str">
        <v>Sister</v>
      </c>
      <c r="DI59" t="str">
        <v>555-555-5555</v>
      </c>
      <c r="DJ59" t="str">
        <v>No</v>
      </c>
      <c r="DK59" t="str">
        <v>No</v>
      </c>
      <c r="DL59" t="str">
        <v>No</v>
      </c>
      <c r="DM59" t="str">
        <v>No</v>
      </c>
      <c r="DN59" t="str">
        <v>Yes - Appendectomy (2005)</v>
      </c>
      <c r="DO59" t="str">
        <v>20/20</v>
      </c>
      <c r="DP59" t="str">
        <v>20/20</v>
      </c>
      <c r="DQ59" t="str">
        <v>Pass</v>
      </c>
      <c r="DR59" t="str">
        <v>118</v>
      </c>
      <c r="DS59" t="str">
        <v>78</v>
      </c>
      <c r="DT59" t="str">
        <v>72</v>
      </c>
      <c r="DU59" t="str">
        <v>Normal</v>
      </c>
      <c r="DV59">
        <v>45392</v>
      </c>
      <c r="DW59">
        <v>45394</v>
      </c>
      <c r="DX59" t="str">
        <v>Negative</v>
      </c>
      <c r="DY59">
        <v>45397</v>
      </c>
      <c r="DZ59" t="str">
        <v>BOF Fleet Safety &amp; Compliance Policy 2024</v>
      </c>
      <c r="EA59" t="str">
        <v>Complete</v>
      </c>
      <c r="EB59">
        <v>45413</v>
      </c>
    </row>
    <row r="60">
      <c r="A60" t="str">
        <v>DRV-009</v>
      </c>
      <c r="B60" t="str">
        <v>Emma Brown</v>
      </c>
      <c r="C60" t="str">
        <v>630 Demo Street, Columbus, OH 43215</v>
      </c>
      <c r="D60" t="str">
        <v>206-555-0103</v>
      </c>
      <c r="E60" t="str">
        <v>***-**-0124</v>
      </c>
      <c r="F60" t="str">
        <v>Chase</v>
      </c>
      <c r="G60">
        <v>000000103</v>
      </c>
      <c r="H60">
        <v>999900210</v>
      </c>
      <c r="I60" t="str">
        <v>MVR Background Report</v>
      </c>
      <c r="J60" t="str">
        <v>VALID</v>
      </c>
      <c r="K60" t="str">
        <v>OH0000100</v>
      </c>
      <c r="L60">
        <v>46424</v>
      </c>
      <c r="M60">
        <v>46645</v>
      </c>
      <c r="N60">
        <v>46451</v>
      </c>
      <c r="P60" t="str">
        <v>Black</v>
      </c>
      <c r="Q60" t="str">
        <v>Brown</v>
      </c>
      <c r="R60" t="str">
        <v>5'-4"</v>
      </c>
      <c r="S60">
        <v>144</v>
      </c>
      <c r="T60" t="str">
        <v>F</v>
      </c>
      <c r="U60">
        <v>30682</v>
      </c>
      <c r="V60" t="str">
        <v>DRV-009.png</v>
      </c>
      <c r="W60" t="str">
        <v>Caucasian</v>
      </c>
      <c r="X60" t="str">
        <v>emmabrown@example.com</v>
      </c>
      <c r="Y60" t="str">
        <v>630 Demo Street</v>
      </c>
      <c r="Z60" t="str">
        <v>Columbus</v>
      </c>
      <c r="AA60" t="str">
        <v>OH</v>
      </c>
      <c r="AB60">
        <v>43215</v>
      </c>
      <c r="AC60" t="str">
        <v>OH</v>
      </c>
      <c r="AD60" t="str">
        <v>Class B</v>
      </c>
      <c r="AE60">
        <v>44602</v>
      </c>
      <c r="AF60" t="str">
        <v>P</v>
      </c>
      <c r="AG60" t="str">
        <v>Corrective lenses</v>
      </c>
      <c r="AH60">
        <v>45915</v>
      </c>
      <c r="AI60" t="str">
        <v>MC-0091016</v>
      </c>
      <c r="AJ60" t="str">
        <v>Dr. David Yang</v>
      </c>
      <c r="AK60" t="str">
        <v>ME100009</v>
      </c>
      <c r="AM60" t="str">
        <v>Qualified</v>
      </c>
      <c r="AN60">
        <v>46421</v>
      </c>
      <c r="AO60">
        <v>0</v>
      </c>
      <c r="AP60">
        <v>0</v>
      </c>
      <c r="AQ60" t="str">
        <v>Corrective lenses</v>
      </c>
      <c r="AR60" t="str">
        <v>Clear</v>
      </c>
      <c r="AS60">
        <v>45502</v>
      </c>
      <c r="AT60" t="str">
        <v>Authorized to Work</v>
      </c>
      <c r="AU60" t="str">
        <v>U.S. Passport</v>
      </c>
      <c r="AX60">
        <v>45502</v>
      </c>
      <c r="AY60" t="str">
        <v>BOF Onboarding Team</v>
      </c>
      <c r="AZ60" t="str">
        <v>Complete</v>
      </c>
      <c r="BB60" t="str">
        <v>Individual/Sole Proprietor</v>
      </c>
      <c r="BC60" t="str">
        <v>SSN</v>
      </c>
      <c r="BD60" t="str">
        <v>***-**-0124</v>
      </c>
      <c r="BF60">
        <v>45502</v>
      </c>
      <c r="BG60" t="str">
        <v>Received</v>
      </c>
      <c r="BH60" t="str">
        <v>Savings</v>
      </c>
      <c r="BI60" t="str">
        <v>Direct Deposit</v>
      </c>
      <c r="BJ60">
        <v>45502</v>
      </c>
      <c r="BK60" t="str">
        <v>Verified</v>
      </c>
      <c r="BL60">
        <v>45495</v>
      </c>
      <c r="BM60" t="str">
        <v>J. Alvarez</v>
      </c>
      <c r="BN60" t="str">
        <v>Straight truck</v>
      </c>
      <c r="BO60" t="str">
        <v>Straight truck</v>
      </c>
      <c r="BP60" t="str">
        <v>Columbus, OH</v>
      </c>
      <c r="BQ60">
        <v>5</v>
      </c>
      <c r="BR60">
        <v>5</v>
      </c>
      <c r="BS60">
        <v>4</v>
      </c>
      <c r="BT60">
        <v>5</v>
      </c>
      <c r="BU60">
        <v>5</v>
      </c>
      <c r="BV60">
        <v>5</v>
      </c>
      <c r="BX60">
        <v>5</v>
      </c>
      <c r="BY60">
        <v>5</v>
      </c>
      <c r="BZ60" t="str">
        <v>Pass</v>
      </c>
      <c r="CA60" t="str">
        <v>Straight truck route only</v>
      </c>
      <c r="CB60" t="str">
        <v>Passed</v>
      </c>
      <c r="CC60" t="str">
        <v>Enrolled</v>
      </c>
      <c r="CD60" t="str">
        <v>Query Completed</v>
      </c>
      <c r="CE60">
        <v>46037</v>
      </c>
      <c r="CF60">
        <v>46218</v>
      </c>
      <c r="CH60" t="str">
        <v>Compliant</v>
      </c>
      <c r="CJ60" t="str">
        <v>Emma</v>
      </c>
      <c r="CK60" t="str">
        <v>Brown</v>
      </c>
      <c r="CL60" t="str">
        <v>OH0000106</v>
      </c>
      <c r="CM60" t="str">
        <v>OH</v>
      </c>
      <c r="CN60" t="str">
        <v>CDL Holder</v>
      </c>
      <c r="CO60" t="str">
        <v>Emma Brown</v>
      </c>
      <c r="CP60">
        <v>45915</v>
      </c>
      <c r="CQ60">
        <v>46645</v>
      </c>
      <c r="CR60" t="str">
        <v>(614) 555-0113</v>
      </c>
      <c r="CS60" t="str">
        <v>Dr. David Yang</v>
      </c>
      <c r="CT60">
        <v>45915</v>
      </c>
      <c r="CU60" t="str">
        <v>OH-ME-556547</v>
      </c>
      <c r="CV60" t="str">
        <v>ME100009</v>
      </c>
      <c r="CW60" t="str">
        <v>Physician Assistant</v>
      </c>
      <c r="CX60" t="str">
        <v>OH</v>
      </c>
      <c r="CY60" t="str">
        <v>Federal Motor Carrier Safety Regulations</v>
      </c>
      <c r="DA60" t="str">
        <v>No</v>
      </c>
      <c r="DB60" t="str">
        <v>No</v>
      </c>
      <c r="DC60" t="str">
        <v>No</v>
      </c>
      <c r="DD60" t="str">
        <v>No</v>
      </c>
      <c r="DE60" t="str">
        <v>No</v>
      </c>
      <c r="DF60" t="str">
        <v>No</v>
      </c>
      <c r="DG60" t="str">
        <v>Jane Doe</v>
      </c>
      <c r="DH60" t="str">
        <v>Sister</v>
      </c>
      <c r="DI60" t="str">
        <v>555-555-5555</v>
      </c>
      <c r="DJ60" t="str">
        <v>No</v>
      </c>
      <c r="DK60" t="str">
        <v>No</v>
      </c>
      <c r="DL60" t="str">
        <v>No</v>
      </c>
      <c r="DM60" t="str">
        <v>No</v>
      </c>
      <c r="DN60" t="str">
        <v>Yes - Appendectomy (2005)</v>
      </c>
      <c r="DO60" t="str">
        <v>20/20</v>
      </c>
      <c r="DP60" t="str">
        <v>20/20</v>
      </c>
      <c r="DQ60" t="str">
        <v>Pass</v>
      </c>
      <c r="DR60" t="str">
        <v>118</v>
      </c>
      <c r="DS60" t="str">
        <v>78</v>
      </c>
      <c r="DT60" t="str">
        <v>72</v>
      </c>
      <c r="DU60" t="str">
        <v>Normal</v>
      </c>
      <c r="DV60">
        <v>45392</v>
      </c>
      <c r="DW60">
        <v>45394</v>
      </c>
      <c r="DX60" t="str">
        <v>Negative</v>
      </c>
      <c r="DY60">
        <v>45397</v>
      </c>
      <c r="DZ60" t="str">
        <v>BOF Fleet Safety &amp; Compliance Policy 2024</v>
      </c>
      <c r="EA60" t="str">
        <v>Complete</v>
      </c>
      <c r="EB60">
        <v>45413</v>
      </c>
    </row>
    <row r="61">
      <c r="A61" t="str">
        <v>DRV-009</v>
      </c>
      <c r="B61" t="str">
        <v>Emma Brown</v>
      </c>
      <c r="C61" t="str">
        <v>630 Demo Street, Columbus, OH 43215</v>
      </c>
      <c r="D61" t="str">
        <v>206-555-0103</v>
      </c>
      <c r="E61" t="str">
        <v>***-**-0124</v>
      </c>
      <c r="F61" t="str">
        <v>Chase</v>
      </c>
      <c r="G61">
        <v>000000103</v>
      </c>
      <c r="H61">
        <v>999900210</v>
      </c>
      <c r="I61" t="str">
        <v>Driver Application</v>
      </c>
      <c r="J61" t="str">
        <v>VALID</v>
      </c>
      <c r="K61" t="str">
        <v>OH0000148</v>
      </c>
      <c r="L61">
        <v>46424</v>
      </c>
      <c r="M61">
        <v>46645</v>
      </c>
      <c r="N61">
        <v>46451</v>
      </c>
      <c r="P61" t="str">
        <v>Black</v>
      </c>
      <c r="Q61" t="str">
        <v>Brown</v>
      </c>
      <c r="R61" t="str">
        <v>5'-4"</v>
      </c>
      <c r="S61">
        <v>144</v>
      </c>
      <c r="T61" t="str">
        <v>F</v>
      </c>
      <c r="U61">
        <v>30682</v>
      </c>
      <c r="V61" t="str">
        <v>DRV-009.png</v>
      </c>
      <c r="W61" t="str">
        <v>Caucasian</v>
      </c>
      <c r="X61" t="str">
        <v>emmabrown@example.com</v>
      </c>
      <c r="Y61" t="str">
        <v>630 Demo Street</v>
      </c>
      <c r="Z61" t="str">
        <v>Columbus</v>
      </c>
      <c r="AA61" t="str">
        <v>OH</v>
      </c>
      <c r="AB61">
        <v>43215</v>
      </c>
      <c r="AC61" t="str">
        <v>OH</v>
      </c>
      <c r="AD61" t="str">
        <v>Class B</v>
      </c>
      <c r="AE61">
        <v>44602</v>
      </c>
      <c r="AF61" t="str">
        <v>P</v>
      </c>
      <c r="AG61" t="str">
        <v>Corrective lenses</v>
      </c>
      <c r="AH61">
        <v>45915</v>
      </c>
      <c r="AI61" t="str">
        <v>MC-0091016</v>
      </c>
      <c r="AJ61" t="str">
        <v>Dr. David Yang</v>
      </c>
      <c r="AK61" t="str">
        <v>ME100009</v>
      </c>
      <c r="AM61" t="str">
        <v>Qualified</v>
      </c>
      <c r="AN61">
        <v>46421</v>
      </c>
      <c r="AO61">
        <v>0</v>
      </c>
      <c r="AP61">
        <v>0</v>
      </c>
      <c r="AQ61" t="str">
        <v>Corrective lenses</v>
      </c>
      <c r="AR61" t="str">
        <v>Clear</v>
      </c>
      <c r="AS61">
        <v>45502</v>
      </c>
      <c r="AT61" t="str">
        <v>Authorized to Work</v>
      </c>
      <c r="AU61" t="str">
        <v>U.S. Passport</v>
      </c>
      <c r="AX61">
        <v>45502</v>
      </c>
      <c r="AY61" t="str">
        <v>BOF Onboarding Team</v>
      </c>
      <c r="AZ61" t="str">
        <v>Complete</v>
      </c>
      <c r="BB61" t="str">
        <v>Individual/Sole Proprietor</v>
      </c>
      <c r="BC61" t="str">
        <v>SSN</v>
      </c>
      <c r="BD61" t="str">
        <v>***-**-0124</v>
      </c>
      <c r="BF61">
        <v>45502</v>
      </c>
      <c r="BG61" t="str">
        <v>Received</v>
      </c>
      <c r="BH61" t="str">
        <v>Savings</v>
      </c>
      <c r="BI61" t="str">
        <v>Direct Deposit</v>
      </c>
      <c r="BJ61">
        <v>45502</v>
      </c>
      <c r="BK61" t="str">
        <v>Verified</v>
      </c>
      <c r="BL61">
        <v>45495</v>
      </c>
      <c r="BM61" t="str">
        <v>J. Alvarez</v>
      </c>
      <c r="BN61" t="str">
        <v>Straight truck</v>
      </c>
      <c r="BO61" t="str">
        <v>Straight truck</v>
      </c>
      <c r="BP61" t="str">
        <v>Columbus, OH</v>
      </c>
      <c r="BQ61">
        <v>5</v>
      </c>
      <c r="BR61">
        <v>5</v>
      </c>
      <c r="BS61">
        <v>4</v>
      </c>
      <c r="BT61">
        <v>5</v>
      </c>
      <c r="BU61">
        <v>5</v>
      </c>
      <c r="BV61">
        <v>5</v>
      </c>
      <c r="BX61">
        <v>5</v>
      </c>
      <c r="BY61">
        <v>5</v>
      </c>
      <c r="BZ61" t="str">
        <v>Pass</v>
      </c>
      <c r="CA61" t="str">
        <v>Straight truck route only</v>
      </c>
      <c r="CB61" t="str">
        <v>Passed</v>
      </c>
      <c r="CC61" t="str">
        <v>Enrolled</v>
      </c>
      <c r="CD61" t="str">
        <v>Query Completed</v>
      </c>
      <c r="CE61">
        <v>46037</v>
      </c>
      <c r="CF61">
        <v>46218</v>
      </c>
      <c r="CH61" t="str">
        <v>Compliant</v>
      </c>
      <c r="CJ61" t="str">
        <v>Emma</v>
      </c>
      <c r="CK61" t="str">
        <v>Brown</v>
      </c>
      <c r="CL61" t="str">
        <v>OH0000107</v>
      </c>
      <c r="CM61" t="str">
        <v>OH</v>
      </c>
      <c r="CN61" t="str">
        <v>CDL Holder</v>
      </c>
      <c r="CO61" t="str">
        <v>Emma Brown</v>
      </c>
      <c r="CP61">
        <v>45915</v>
      </c>
      <c r="CQ61">
        <v>46645</v>
      </c>
      <c r="CR61" t="str">
        <v>(614) 555-0113</v>
      </c>
      <c r="CS61" t="str">
        <v>Dr. David Yang</v>
      </c>
      <c r="CT61">
        <v>45915</v>
      </c>
      <c r="CU61" t="str">
        <v>OH-ME-556547</v>
      </c>
      <c r="CV61" t="str">
        <v>ME100009</v>
      </c>
      <c r="CW61" t="str">
        <v>Physician Assistant</v>
      </c>
      <c r="CX61" t="str">
        <v>OH</v>
      </c>
      <c r="CY61" t="str">
        <v>Federal Motor Carrier Safety Regulations</v>
      </c>
      <c r="DA61" t="str">
        <v>No</v>
      </c>
      <c r="DB61" t="str">
        <v>No</v>
      </c>
      <c r="DC61" t="str">
        <v>No</v>
      </c>
      <c r="DD61" t="str">
        <v>No</v>
      </c>
      <c r="DE61" t="str">
        <v>No</v>
      </c>
      <c r="DF61" t="str">
        <v>No</v>
      </c>
      <c r="DG61" t="str">
        <v>Jane Doe</v>
      </c>
      <c r="DH61" t="str">
        <v>Sister</v>
      </c>
      <c r="DI61" t="str">
        <v>555-555-5555</v>
      </c>
      <c r="DJ61" t="str">
        <v>No</v>
      </c>
      <c r="DK61" t="str">
        <v>No</v>
      </c>
      <c r="DL61" t="str">
        <v>No</v>
      </c>
      <c r="DM61" t="str">
        <v>No</v>
      </c>
      <c r="DN61" t="str">
        <v>Yes - Appendectomy (2005)</v>
      </c>
      <c r="DO61" t="str">
        <v>20/20</v>
      </c>
      <c r="DP61" t="str">
        <v>20/20</v>
      </c>
      <c r="DQ61" t="str">
        <v>Pass</v>
      </c>
      <c r="DR61" t="str">
        <v>118</v>
      </c>
      <c r="DS61" t="str">
        <v>78</v>
      </c>
      <c r="DT61" t="str">
        <v>72</v>
      </c>
      <c r="DU61" t="str">
        <v>Normal</v>
      </c>
      <c r="DV61">
        <v>45392</v>
      </c>
      <c r="DW61">
        <v>45394</v>
      </c>
      <c r="DX61" t="str">
        <v>Negative</v>
      </c>
      <c r="DY61">
        <v>45397</v>
      </c>
      <c r="DZ61" t="str">
        <v>BOF Fleet Safety &amp; Compliance Policy 2024</v>
      </c>
      <c r="EA61" t="str">
        <v>Complete</v>
      </c>
      <c r="EB61">
        <v>45413</v>
      </c>
    </row>
    <row r="62">
      <c r="A62" t="str">
        <v>DRV-009</v>
      </c>
      <c r="B62" t="str">
        <v>Emma Brown</v>
      </c>
      <c r="C62" t="str">
        <v>630 Demo Street, Columbus, OH 43215</v>
      </c>
      <c r="D62" t="str">
        <v>206-555-0103</v>
      </c>
      <c r="E62" t="str">
        <v>***-**-0124</v>
      </c>
      <c r="F62" t="str">
        <v>Chase</v>
      </c>
      <c r="G62">
        <v>000000103</v>
      </c>
      <c r="H62">
        <v>999900210</v>
      </c>
      <c r="I62" t="str">
        <v>Road Test Certificate</v>
      </c>
      <c r="J62" t="str">
        <v>VALID</v>
      </c>
      <c r="K62" t="str">
        <v>OH0000122</v>
      </c>
      <c r="L62">
        <v>46424</v>
      </c>
      <c r="M62">
        <v>46645</v>
      </c>
      <c r="N62">
        <v>46451</v>
      </c>
      <c r="P62" t="str">
        <v>Black</v>
      </c>
      <c r="Q62" t="str">
        <v>Brown</v>
      </c>
      <c r="R62" t="str">
        <v>5'-4"</v>
      </c>
      <c r="S62">
        <v>144</v>
      </c>
      <c r="T62" t="str">
        <v>F</v>
      </c>
      <c r="U62">
        <v>30682</v>
      </c>
      <c r="V62" t="str">
        <v>DRV-009.png</v>
      </c>
      <c r="W62" t="str">
        <v>Caucasian</v>
      </c>
      <c r="X62" t="str">
        <v>emmabrown@example.com</v>
      </c>
      <c r="Y62" t="str">
        <v>630 Demo Street</v>
      </c>
      <c r="Z62" t="str">
        <v>Columbus</v>
      </c>
      <c r="AA62" t="str">
        <v>OH</v>
      </c>
      <c r="AB62">
        <v>43215</v>
      </c>
      <c r="AC62" t="str">
        <v>OH</v>
      </c>
      <c r="AD62" t="str">
        <v>Class B</v>
      </c>
      <c r="AE62">
        <v>44602</v>
      </c>
      <c r="AF62" t="str">
        <v>P</v>
      </c>
      <c r="AG62" t="str">
        <v>Corrective lenses</v>
      </c>
      <c r="AH62">
        <v>45915</v>
      </c>
      <c r="AI62" t="str">
        <v>MC-0091016</v>
      </c>
      <c r="AJ62" t="str">
        <v>Dr. David Yang</v>
      </c>
      <c r="AK62" t="str">
        <v>ME100009</v>
      </c>
      <c r="AM62" t="str">
        <v>Qualified</v>
      </c>
      <c r="AN62">
        <v>46421</v>
      </c>
      <c r="AO62">
        <v>0</v>
      </c>
      <c r="AP62">
        <v>0</v>
      </c>
      <c r="AQ62" t="str">
        <v>Corrective lenses</v>
      </c>
      <c r="AR62" t="str">
        <v>Clear</v>
      </c>
      <c r="AS62">
        <v>45502</v>
      </c>
      <c r="AT62" t="str">
        <v>Authorized to Work</v>
      </c>
      <c r="AU62" t="str">
        <v>U.S. Passport</v>
      </c>
      <c r="AX62">
        <v>45502</v>
      </c>
      <c r="AY62" t="str">
        <v>BOF Onboarding Team</v>
      </c>
      <c r="AZ62" t="str">
        <v>Complete</v>
      </c>
      <c r="BB62" t="str">
        <v>Individual/Sole Proprietor</v>
      </c>
      <c r="BC62" t="str">
        <v>SSN</v>
      </c>
      <c r="BD62" t="str">
        <v>***-**-0124</v>
      </c>
      <c r="BF62">
        <v>45502</v>
      </c>
      <c r="BG62" t="str">
        <v>Received</v>
      </c>
      <c r="BH62" t="str">
        <v>Savings</v>
      </c>
      <c r="BI62" t="str">
        <v>Direct Deposit</v>
      </c>
      <c r="BJ62">
        <v>45502</v>
      </c>
      <c r="BK62" t="str">
        <v>Verified</v>
      </c>
      <c r="BL62">
        <v>45495</v>
      </c>
      <c r="BM62" t="str">
        <v>J. Alvarez</v>
      </c>
      <c r="BN62" t="str">
        <v>Straight truck</v>
      </c>
      <c r="BO62" t="str">
        <v>Straight truck</v>
      </c>
      <c r="BP62" t="str">
        <v>Columbus, OH</v>
      </c>
      <c r="BQ62">
        <v>5</v>
      </c>
      <c r="BR62">
        <v>5</v>
      </c>
      <c r="BS62">
        <v>4</v>
      </c>
      <c r="BT62">
        <v>5</v>
      </c>
      <c r="BU62">
        <v>5</v>
      </c>
      <c r="BV62">
        <v>5</v>
      </c>
      <c r="BX62">
        <v>5</v>
      </c>
      <c r="BY62">
        <v>5</v>
      </c>
      <c r="BZ62" t="str">
        <v>Pass</v>
      </c>
      <c r="CA62" t="str">
        <v>Straight truck route only</v>
      </c>
      <c r="CB62" t="str">
        <v>Passed</v>
      </c>
      <c r="CC62" t="str">
        <v>Enrolled</v>
      </c>
      <c r="CD62" t="str">
        <v>Query Completed</v>
      </c>
      <c r="CE62">
        <v>46037</v>
      </c>
      <c r="CF62">
        <v>46218</v>
      </c>
      <c r="CH62" t="str">
        <v>Compliant</v>
      </c>
      <c r="CJ62" t="str">
        <v>Emma</v>
      </c>
      <c r="CK62" t="str">
        <v>Brown</v>
      </c>
      <c r="CL62" t="str">
        <v>OH0000108</v>
      </c>
      <c r="CM62" t="str">
        <v>OH</v>
      </c>
      <c r="CN62" t="str">
        <v>CDL Holder</v>
      </c>
      <c r="CO62" t="str">
        <v>Emma Brown</v>
      </c>
      <c r="CP62">
        <v>45915</v>
      </c>
      <c r="CQ62">
        <v>46645</v>
      </c>
      <c r="CR62" t="str">
        <v>(614) 555-0113</v>
      </c>
      <c r="CS62" t="str">
        <v>Dr. David Yang</v>
      </c>
      <c r="CT62">
        <v>45915</v>
      </c>
      <c r="CU62" t="str">
        <v>OH-ME-556547</v>
      </c>
      <c r="CV62" t="str">
        <v>ME100009</v>
      </c>
      <c r="CW62" t="str">
        <v>Physician Assistant</v>
      </c>
      <c r="CX62" t="str">
        <v>OH</v>
      </c>
      <c r="CY62" t="str">
        <v>Federal Motor Carrier Safety Regulations</v>
      </c>
      <c r="DA62" t="str">
        <v>No</v>
      </c>
      <c r="DB62" t="str">
        <v>No</v>
      </c>
      <c r="DC62" t="str">
        <v>No</v>
      </c>
      <c r="DD62" t="str">
        <v>No</v>
      </c>
      <c r="DE62" t="str">
        <v>No</v>
      </c>
      <c r="DF62" t="str">
        <v>No</v>
      </c>
      <c r="DG62" t="str">
        <v>Jane Doe</v>
      </c>
      <c r="DH62" t="str">
        <v>Sister</v>
      </c>
      <c r="DI62" t="str">
        <v>555-555-5555</v>
      </c>
      <c r="DJ62" t="str">
        <v>No</v>
      </c>
      <c r="DK62" t="str">
        <v>No</v>
      </c>
      <c r="DL62" t="str">
        <v>No</v>
      </c>
      <c r="DM62" t="str">
        <v>No</v>
      </c>
      <c r="DN62" t="str">
        <v>Yes - Appendectomy (2005)</v>
      </c>
      <c r="DO62" t="str">
        <v>20/20</v>
      </c>
      <c r="DP62" t="str">
        <v>20/20</v>
      </c>
      <c r="DQ62" t="str">
        <v>Pass</v>
      </c>
      <c r="DR62" t="str">
        <v>118</v>
      </c>
      <c r="DS62" t="str">
        <v>78</v>
      </c>
      <c r="DT62" t="str">
        <v>72</v>
      </c>
      <c r="DU62" t="str">
        <v>Normal</v>
      </c>
      <c r="DV62">
        <v>45392</v>
      </c>
      <c r="DW62">
        <v>45394</v>
      </c>
      <c r="DX62" t="str">
        <v>Negative</v>
      </c>
      <c r="DY62">
        <v>45397</v>
      </c>
      <c r="DZ62" t="str">
        <v>BOF Fleet Safety &amp; Compliance Policy 2024</v>
      </c>
      <c r="EA62" t="str">
        <v>Complete</v>
      </c>
      <c r="EB62">
        <v>45413</v>
      </c>
    </row>
    <row r="63">
      <c r="A63" t="str">
        <v>DRV-009</v>
      </c>
      <c r="B63" t="str">
        <v>Emma Brown</v>
      </c>
      <c r="C63" t="str">
        <v>630 Demo Street, Columbus, OH 43215</v>
      </c>
      <c r="D63" t="str">
        <v>206-555-0103</v>
      </c>
      <c r="E63" t="str">
        <v>***-**-0124</v>
      </c>
      <c r="F63" t="str">
        <v>Chase</v>
      </c>
      <c r="G63">
        <v>000000103</v>
      </c>
      <c r="H63">
        <v>999900210</v>
      </c>
      <c r="I63" t="str">
        <v>Incident/Accident Report</v>
      </c>
      <c r="J63" t="str">
        <v>VALID</v>
      </c>
      <c r="K63" t="str">
        <v>OH0000096</v>
      </c>
      <c r="L63">
        <v>46424</v>
      </c>
      <c r="M63">
        <v>46645</v>
      </c>
      <c r="N63">
        <v>46451</v>
      </c>
      <c r="O63" t="str">
        <v>No major incidents recorded in last 90 days.</v>
      </c>
      <c r="P63" t="str">
        <v>Black</v>
      </c>
      <c r="Q63" t="str">
        <v>Brown</v>
      </c>
      <c r="R63" t="str">
        <v>5'-4"</v>
      </c>
      <c r="S63">
        <v>144</v>
      </c>
      <c r="T63" t="str">
        <v>F</v>
      </c>
      <c r="U63">
        <v>30682</v>
      </c>
      <c r="V63" t="str">
        <v>DRV-009.png</v>
      </c>
      <c r="W63" t="str">
        <v>Caucasian</v>
      </c>
      <c r="X63" t="str">
        <v>emmabrown@example.com</v>
      </c>
      <c r="Y63" t="str">
        <v>630 Demo Street</v>
      </c>
      <c r="Z63" t="str">
        <v>Columbus</v>
      </c>
      <c r="AA63" t="str">
        <v>OH</v>
      </c>
      <c r="AB63">
        <v>43215</v>
      </c>
      <c r="AC63" t="str">
        <v>OH</v>
      </c>
      <c r="AD63" t="str">
        <v>Class B</v>
      </c>
      <c r="AE63">
        <v>44602</v>
      </c>
      <c r="AF63" t="str">
        <v>P</v>
      </c>
      <c r="AG63" t="str">
        <v>Corrective lenses</v>
      </c>
      <c r="AH63">
        <v>45915</v>
      </c>
      <c r="AI63" t="str">
        <v>MC-0091016</v>
      </c>
      <c r="AJ63" t="str">
        <v>Dr. David Yang</v>
      </c>
      <c r="AK63" t="str">
        <v>ME100009</v>
      </c>
      <c r="AM63" t="str">
        <v>Qualified</v>
      </c>
      <c r="AN63">
        <v>46421</v>
      </c>
      <c r="AO63">
        <v>0</v>
      </c>
      <c r="AP63">
        <v>0</v>
      </c>
      <c r="AQ63" t="str">
        <v>Corrective lenses</v>
      </c>
      <c r="AR63" t="str">
        <v>Clear</v>
      </c>
      <c r="AS63">
        <v>45502</v>
      </c>
      <c r="AT63" t="str">
        <v>Authorized to Work</v>
      </c>
      <c r="AU63" t="str">
        <v>U.S. Passport</v>
      </c>
      <c r="AX63">
        <v>45502</v>
      </c>
      <c r="AY63" t="str">
        <v>BOF Onboarding Team</v>
      </c>
      <c r="AZ63" t="str">
        <v>Complete</v>
      </c>
      <c r="BB63" t="str">
        <v>Individual/Sole Proprietor</v>
      </c>
      <c r="BC63" t="str">
        <v>SSN</v>
      </c>
      <c r="BD63" t="str">
        <v>***-**-0124</v>
      </c>
      <c r="BF63">
        <v>45502</v>
      </c>
      <c r="BG63" t="str">
        <v>Received</v>
      </c>
      <c r="BH63" t="str">
        <v>Savings</v>
      </c>
      <c r="BI63" t="str">
        <v>Direct Deposit</v>
      </c>
      <c r="BJ63">
        <v>45502</v>
      </c>
      <c r="BK63" t="str">
        <v>Verified</v>
      </c>
      <c r="BL63">
        <v>45495</v>
      </c>
      <c r="BM63" t="str">
        <v>J. Alvarez</v>
      </c>
      <c r="BN63" t="str">
        <v>Straight truck</v>
      </c>
      <c r="BO63" t="str">
        <v>Straight truck</v>
      </c>
      <c r="BP63" t="str">
        <v>Columbus, OH</v>
      </c>
      <c r="BQ63">
        <v>5</v>
      </c>
      <c r="BR63">
        <v>5</v>
      </c>
      <c r="BS63">
        <v>4</v>
      </c>
      <c r="BT63">
        <v>5</v>
      </c>
      <c r="BU63">
        <v>5</v>
      </c>
      <c r="BV63">
        <v>5</v>
      </c>
      <c r="BX63">
        <v>5</v>
      </c>
      <c r="BY63">
        <v>5</v>
      </c>
      <c r="BZ63" t="str">
        <v>Pass</v>
      </c>
      <c r="CA63" t="str">
        <v>Straight truck route only</v>
      </c>
      <c r="CB63" t="str">
        <v>Passed</v>
      </c>
      <c r="CC63" t="str">
        <v>Enrolled</v>
      </c>
      <c r="CD63" t="str">
        <v>Query Completed</v>
      </c>
      <c r="CE63">
        <v>46037</v>
      </c>
      <c r="CF63">
        <v>46218</v>
      </c>
      <c r="CH63" t="str">
        <v>Compliant</v>
      </c>
      <c r="CJ63" t="str">
        <v>Emma</v>
      </c>
      <c r="CK63" t="str">
        <v>Brown</v>
      </c>
      <c r="CL63" t="str">
        <v>OH0000109</v>
      </c>
      <c r="CM63" t="str">
        <v>OH</v>
      </c>
      <c r="CN63" t="str">
        <v>CDL Holder</v>
      </c>
      <c r="CO63" t="str">
        <v>Emma Brown</v>
      </c>
      <c r="CP63">
        <v>45915</v>
      </c>
      <c r="CQ63">
        <v>46645</v>
      </c>
      <c r="CR63" t="str">
        <v>(614) 555-0113</v>
      </c>
      <c r="CS63" t="str">
        <v>Dr. David Yang</v>
      </c>
      <c r="CT63">
        <v>45915</v>
      </c>
      <c r="CU63" t="str">
        <v>OH-ME-556547</v>
      </c>
      <c r="CV63" t="str">
        <v>ME100009</v>
      </c>
      <c r="CW63" t="str">
        <v>Physician Assistant</v>
      </c>
      <c r="CX63" t="str">
        <v>OH</v>
      </c>
      <c r="CY63" t="str">
        <v>Federal Motor Carrier Safety Regulations</v>
      </c>
      <c r="DA63" t="str">
        <v>No</v>
      </c>
      <c r="DB63" t="str">
        <v>No</v>
      </c>
      <c r="DC63" t="str">
        <v>No</v>
      </c>
      <c r="DD63" t="str">
        <v>No</v>
      </c>
      <c r="DE63" t="str">
        <v>No</v>
      </c>
      <c r="DF63" t="str">
        <v>No</v>
      </c>
      <c r="DG63" t="str">
        <v>Jane Doe</v>
      </c>
      <c r="DH63" t="str">
        <v>Sister</v>
      </c>
      <c r="DI63" t="str">
        <v>555-555-5555</v>
      </c>
      <c r="DJ63" t="str">
        <v>No</v>
      </c>
      <c r="DK63" t="str">
        <v>No</v>
      </c>
      <c r="DL63" t="str">
        <v>No</v>
      </c>
      <c r="DM63" t="str">
        <v>No</v>
      </c>
      <c r="DN63" t="str">
        <v>Yes - Appendectomy (2005)</v>
      </c>
      <c r="DO63" t="str">
        <v>20/20</v>
      </c>
      <c r="DP63" t="str">
        <v>20/20</v>
      </c>
      <c r="DQ63" t="str">
        <v>Pass</v>
      </c>
      <c r="DR63" t="str">
        <v>118</v>
      </c>
      <c r="DS63" t="str">
        <v>78</v>
      </c>
      <c r="DT63" t="str">
        <v>72</v>
      </c>
      <c r="DU63" t="str">
        <v>Normal</v>
      </c>
      <c r="DV63">
        <v>45392</v>
      </c>
      <c r="DW63">
        <v>45394</v>
      </c>
      <c r="DX63" t="str">
        <v>Negative</v>
      </c>
      <c r="DY63">
        <v>45397</v>
      </c>
      <c r="DZ63" t="str">
        <v>BOF Fleet Safety &amp; Compliance Policy 2024</v>
      </c>
      <c r="EA63" t="str">
        <v>Complete</v>
      </c>
      <c r="EB63">
        <v>45413</v>
      </c>
    </row>
    <row r="64">
      <c r="A64" t="str">
        <v>DRV-009</v>
      </c>
      <c r="B64" t="str">
        <v>Emma Brown</v>
      </c>
      <c r="C64" t="str">
        <v>630 Demo Street, Columbus, OH 43215</v>
      </c>
      <c r="D64" t="str">
        <v>206-555-0103</v>
      </c>
      <c r="E64" t="str">
        <v>***-**-0124</v>
      </c>
      <c r="F64" t="str">
        <v>Chase</v>
      </c>
      <c r="G64">
        <v>000000103</v>
      </c>
      <c r="H64">
        <v>999900210</v>
      </c>
      <c r="I64" t="str">
        <v>Direct Deposit Form</v>
      </c>
      <c r="J64" t="str">
        <v>VALID</v>
      </c>
      <c r="K64" t="str">
        <v>OH0000140</v>
      </c>
      <c r="L64">
        <v>46424</v>
      </c>
      <c r="M64">
        <v>46645</v>
      </c>
      <c r="N64">
        <v>46451</v>
      </c>
      <c r="P64" t="str">
        <v>Black</v>
      </c>
      <c r="Q64" t="str">
        <v>Brown</v>
      </c>
      <c r="R64" t="str">
        <v>5'-4"</v>
      </c>
      <c r="S64">
        <v>144</v>
      </c>
      <c r="T64" t="str">
        <v>F</v>
      </c>
      <c r="U64">
        <v>30682</v>
      </c>
      <c r="V64" t="str">
        <v>DRV-009.png</v>
      </c>
      <c r="W64" t="str">
        <v>Caucasian</v>
      </c>
      <c r="X64" t="str">
        <v>emmabrown@example.com</v>
      </c>
      <c r="Y64" t="str">
        <v>630 Demo Street</v>
      </c>
      <c r="Z64" t="str">
        <v>Columbus</v>
      </c>
      <c r="AA64" t="str">
        <v>OH</v>
      </c>
      <c r="AB64">
        <v>43215</v>
      </c>
      <c r="AC64" t="str">
        <v>OH</v>
      </c>
      <c r="AD64" t="str">
        <v>Class B</v>
      </c>
      <c r="AE64">
        <v>44602</v>
      </c>
      <c r="AF64" t="str">
        <v>P</v>
      </c>
      <c r="AG64" t="str">
        <v>Corrective lenses</v>
      </c>
      <c r="AH64">
        <v>45915</v>
      </c>
      <c r="AI64" t="str">
        <v>MC-0091016</v>
      </c>
      <c r="AJ64" t="str">
        <v>Dr. David Yang</v>
      </c>
      <c r="AK64" t="str">
        <v>ME100009</v>
      </c>
      <c r="AM64" t="str">
        <v>Qualified</v>
      </c>
      <c r="AN64">
        <v>46421</v>
      </c>
      <c r="AO64">
        <v>0</v>
      </c>
      <c r="AP64">
        <v>0</v>
      </c>
      <c r="AQ64" t="str">
        <v>Corrective lenses</v>
      </c>
      <c r="AR64" t="str">
        <v>Clear</v>
      </c>
      <c r="AS64">
        <v>45502</v>
      </c>
      <c r="AT64" t="str">
        <v>Authorized to Work</v>
      </c>
      <c r="AU64" t="str">
        <v>U.S. Passport</v>
      </c>
      <c r="AX64">
        <v>45502</v>
      </c>
      <c r="AY64" t="str">
        <v>BOF Onboarding Team</v>
      </c>
      <c r="AZ64" t="str">
        <v>Complete</v>
      </c>
      <c r="BB64" t="str">
        <v>Individual/Sole Proprietor</v>
      </c>
      <c r="BC64" t="str">
        <v>SSN</v>
      </c>
      <c r="BD64" t="str">
        <v>***-**-0124</v>
      </c>
      <c r="BF64">
        <v>45502</v>
      </c>
      <c r="BG64" t="str">
        <v>Received</v>
      </c>
      <c r="BH64" t="str">
        <v>Savings</v>
      </c>
      <c r="BI64" t="str">
        <v>Direct Deposit</v>
      </c>
      <c r="BJ64">
        <v>45502</v>
      </c>
      <c r="BK64" t="str">
        <v>Verified</v>
      </c>
      <c r="BL64">
        <v>45495</v>
      </c>
      <c r="BM64" t="str">
        <v>J. Alvarez</v>
      </c>
      <c r="BN64" t="str">
        <v>Straight truck</v>
      </c>
      <c r="BO64" t="str">
        <v>Straight truck</v>
      </c>
      <c r="BP64" t="str">
        <v>Columbus, OH</v>
      </c>
      <c r="BQ64">
        <v>5</v>
      </c>
      <c r="BR64">
        <v>5</v>
      </c>
      <c r="BS64">
        <v>4</v>
      </c>
      <c r="BT64">
        <v>5</v>
      </c>
      <c r="BU64">
        <v>5</v>
      </c>
      <c r="BV64">
        <v>5</v>
      </c>
      <c r="BX64">
        <v>5</v>
      </c>
      <c r="BY64">
        <v>5</v>
      </c>
      <c r="BZ64" t="str">
        <v>Pass</v>
      </c>
      <c r="CA64" t="str">
        <v>Straight truck route only</v>
      </c>
      <c r="CB64" t="str">
        <v>Passed</v>
      </c>
      <c r="CC64" t="str">
        <v>Enrolled</v>
      </c>
      <c r="CD64" t="str">
        <v>Query Completed</v>
      </c>
      <c r="CE64">
        <v>46037</v>
      </c>
      <c r="CF64">
        <v>46218</v>
      </c>
      <c r="CH64" t="str">
        <v>Compliant</v>
      </c>
      <c r="CJ64" t="str">
        <v>Emma</v>
      </c>
      <c r="CK64" t="str">
        <v>Brown</v>
      </c>
      <c r="CL64" t="str">
        <v>OH0000110</v>
      </c>
      <c r="CM64" t="str">
        <v>OH</v>
      </c>
      <c r="CN64" t="str">
        <v>CDL Holder</v>
      </c>
      <c r="CO64" t="str">
        <v>Emma Brown</v>
      </c>
      <c r="CP64">
        <v>45915</v>
      </c>
      <c r="CQ64">
        <v>46645</v>
      </c>
      <c r="CR64" t="str">
        <v>(614) 555-0113</v>
      </c>
      <c r="CS64" t="str">
        <v>Dr. David Yang</v>
      </c>
      <c r="CT64">
        <v>45915</v>
      </c>
      <c r="CU64" t="str">
        <v>OH-ME-556547</v>
      </c>
      <c r="CV64" t="str">
        <v>ME100009</v>
      </c>
      <c r="CW64" t="str">
        <v>Physician Assistant</v>
      </c>
      <c r="CX64" t="str">
        <v>OH</v>
      </c>
      <c r="CY64" t="str">
        <v>Federal Motor Carrier Safety Regulations</v>
      </c>
      <c r="DA64" t="str">
        <v>No</v>
      </c>
      <c r="DB64" t="str">
        <v>No</v>
      </c>
      <c r="DC64" t="str">
        <v>No</v>
      </c>
      <c r="DD64" t="str">
        <v>No</v>
      </c>
      <c r="DE64" t="str">
        <v>No</v>
      </c>
      <c r="DF64" t="str">
        <v>No</v>
      </c>
      <c r="DG64" t="str">
        <v>Jane Doe</v>
      </c>
      <c r="DH64" t="str">
        <v>Sister</v>
      </c>
      <c r="DI64" t="str">
        <v>555-555-5555</v>
      </c>
      <c r="DJ64" t="str">
        <v>No</v>
      </c>
      <c r="DK64" t="str">
        <v>No</v>
      </c>
      <c r="DL64" t="str">
        <v>No</v>
      </c>
      <c r="DM64" t="str">
        <v>No</v>
      </c>
      <c r="DN64" t="str">
        <v>Yes - Appendectomy (2005)</v>
      </c>
      <c r="DO64" t="str">
        <v>20/20</v>
      </c>
      <c r="DP64" t="str">
        <v>20/20</v>
      </c>
      <c r="DQ64" t="str">
        <v>Pass</v>
      </c>
      <c r="DR64" t="str">
        <v>118</v>
      </c>
      <c r="DS64" t="str">
        <v>78</v>
      </c>
      <c r="DT64" t="str">
        <v>72</v>
      </c>
      <c r="DU64" t="str">
        <v>Normal</v>
      </c>
      <c r="DV64">
        <v>45392</v>
      </c>
      <c r="DW64">
        <v>45394</v>
      </c>
      <c r="DX64" t="str">
        <v>Negative</v>
      </c>
      <c r="DY64">
        <v>45397</v>
      </c>
      <c r="DZ64" t="str">
        <v>BOF Fleet Safety &amp; Compliance Policy 2024</v>
      </c>
      <c r="EA64" t="str">
        <v>Complete</v>
      </c>
      <c r="EB64">
        <v>45413</v>
      </c>
    </row>
    <row r="65">
      <c r="A65" t="str">
        <v>DRV-010</v>
      </c>
      <c r="B65" t="str">
        <v>Noah Wilson</v>
      </c>
      <c r="C65" t="str">
        <v>130 Demo Street, Chicago, IL 60603</v>
      </c>
      <c r="D65" t="str">
        <v>582-555-0100</v>
      </c>
      <c r="E65" t="str">
        <v>***-**-0112</v>
      </c>
      <c r="F65" t="str">
        <v>Chase</v>
      </c>
      <c r="G65">
        <v>000000106</v>
      </c>
      <c r="H65">
        <v>999900208</v>
      </c>
      <c r="I65" t="str">
        <v>CDL Summary</v>
      </c>
      <c r="J65" t="str">
        <v>VALID</v>
      </c>
      <c r="K65" t="str">
        <v>IL0000049</v>
      </c>
      <c r="L65">
        <v>46647</v>
      </c>
      <c r="M65">
        <v>46752</v>
      </c>
      <c r="N65">
        <v>46481</v>
      </c>
      <c r="P65" t="str">
        <v>Black</v>
      </c>
      <c r="Q65" t="str">
        <v>Hazel</v>
      </c>
      <c r="R65" t="str">
        <v>6'-3"</v>
      </c>
      <c r="S65">
        <v>219</v>
      </c>
      <c r="T65" t="str">
        <v>M</v>
      </c>
      <c r="U65">
        <v>24108</v>
      </c>
      <c r="V65" t="str">
        <v>DRV-010.png</v>
      </c>
      <c r="W65" t="str">
        <v>Black</v>
      </c>
      <c r="X65" t="str">
        <v>nwilson@example.com</v>
      </c>
      <c r="Y65" t="str">
        <v>130 Demo Street</v>
      </c>
      <c r="Z65" t="str">
        <v>Chicago</v>
      </c>
      <c r="AA65" t="str">
        <v>IL</v>
      </c>
      <c r="AB65">
        <v>60603</v>
      </c>
      <c r="AC65" t="str">
        <v>IL</v>
      </c>
      <c r="AD65" t="str">
        <v>Class A</v>
      </c>
      <c r="AE65">
        <v>44825</v>
      </c>
      <c r="AF65" t="str">
        <v>H,N</v>
      </c>
      <c r="AH65">
        <v>46022</v>
      </c>
      <c r="AI65" t="str">
        <v>MC-0100911</v>
      </c>
      <c r="AJ65" t="str">
        <v>Dr. Shannon Cole</v>
      </c>
      <c r="AK65" t="str">
        <v>ME100010</v>
      </c>
      <c r="AM65" t="str">
        <v>Qualified</v>
      </c>
      <c r="AN65">
        <v>46451</v>
      </c>
      <c r="AO65">
        <v>1</v>
      </c>
      <c r="AP65">
        <v>0</v>
      </c>
      <c r="AR65" t="str">
        <v>Clear</v>
      </c>
      <c r="AS65">
        <v>45523</v>
      </c>
      <c r="AT65" t="str">
        <v>Authorized to Work</v>
      </c>
      <c r="AU65" t="str">
        <v>U.S. Passport</v>
      </c>
      <c r="AX65">
        <v>45523</v>
      </c>
      <c r="AY65" t="str">
        <v>BOF Onboarding Team</v>
      </c>
      <c r="AZ65" t="str">
        <v>Complete</v>
      </c>
      <c r="BB65" t="str">
        <v>Individual/Sole Proprietor</v>
      </c>
      <c r="BC65" t="str">
        <v>SSN</v>
      </c>
      <c r="BD65" t="str">
        <v>***-**-0112</v>
      </c>
      <c r="BF65">
        <v>45523</v>
      </c>
      <c r="BG65" t="str">
        <v>Received</v>
      </c>
      <c r="BH65" t="str">
        <v>Checking</v>
      </c>
      <c r="BI65" t="str">
        <v>Direct Deposit</v>
      </c>
      <c r="BJ65">
        <v>45523</v>
      </c>
      <c r="BK65" t="str">
        <v>Verified</v>
      </c>
      <c r="BL65">
        <v>45516</v>
      </c>
      <c r="BM65" t="str">
        <v>P. Mitchell</v>
      </c>
      <c r="BN65" t="str">
        <v>Sleeper tractor</v>
      </c>
      <c r="BO65" t="str">
        <v>53 ft reefer</v>
      </c>
      <c r="BP65" t="str">
        <v>Chicago, IL</v>
      </c>
      <c r="BQ65">
        <v>4</v>
      </c>
      <c r="BR65">
        <v>5</v>
      </c>
      <c r="BS65">
        <v>4</v>
      </c>
      <c r="BT65">
        <v>4</v>
      </c>
      <c r="BU65">
        <v>5</v>
      </c>
      <c r="BV65">
        <v>5</v>
      </c>
      <c r="BW65">
        <v>4</v>
      </c>
      <c r="BX65">
        <v>5</v>
      </c>
      <c r="BY65">
        <v>4</v>
      </c>
      <c r="BZ65" t="str">
        <v>Pass</v>
      </c>
      <c r="CB65" t="str">
        <v>Passed</v>
      </c>
      <c r="CC65" t="str">
        <v>Enrolled</v>
      </c>
      <c r="CD65" t="str">
        <v>Query Completed</v>
      </c>
      <c r="CE65">
        <v>46037</v>
      </c>
      <c r="CF65">
        <v>46218</v>
      </c>
      <c r="CH65" t="str">
        <v>Compliant</v>
      </c>
      <c r="CJ65" t="str">
        <v>Noah</v>
      </c>
      <c r="CK65" t="str">
        <v>Wilson</v>
      </c>
      <c r="CL65" t="str">
        <v>IL0000049</v>
      </c>
      <c r="CM65" t="str">
        <v>IL</v>
      </c>
      <c r="CN65" t="str">
        <v>CDL Holder</v>
      </c>
      <c r="CO65" t="str">
        <v>Noah Wilson</v>
      </c>
      <c r="CP65">
        <v>46022</v>
      </c>
      <c r="CQ65">
        <v>46752</v>
      </c>
      <c r="CR65" t="str">
        <v>(312) 555-0109</v>
      </c>
      <c r="CS65" t="str">
        <v>Dr. Shannon Cole</v>
      </c>
      <c r="CT65">
        <v>46022</v>
      </c>
      <c r="CU65" t="str">
        <v>IL-ME-366300</v>
      </c>
      <c r="CV65" t="str">
        <v>ME100010</v>
      </c>
      <c r="CW65" t="str">
        <v>DO</v>
      </c>
      <c r="CX65" t="str">
        <v>IL</v>
      </c>
      <c r="CY65" t="str">
        <v>Federal Motor Carrier Safety Regulations</v>
      </c>
      <c r="DA65" t="str">
        <v>No</v>
      </c>
      <c r="DB65" t="str">
        <v>No</v>
      </c>
      <c r="DC65" t="str">
        <v>No</v>
      </c>
      <c r="DD65" t="str">
        <v>No</v>
      </c>
      <c r="DE65" t="str">
        <v>No</v>
      </c>
      <c r="DF65" t="str">
        <v>No</v>
      </c>
      <c r="DG65" t="str">
        <v>Jane Doe</v>
      </c>
      <c r="DH65" t="str">
        <v>Sister</v>
      </c>
      <c r="DI65" t="str">
        <v>555-555-5555</v>
      </c>
      <c r="DJ65" t="str">
        <v>No</v>
      </c>
      <c r="DK65" t="str">
        <v>No</v>
      </c>
      <c r="DL65" t="str">
        <v>No</v>
      </c>
      <c r="DM65" t="str">
        <v>No</v>
      </c>
      <c r="DN65" t="str">
        <v>Yes - Appendectomy (2005)</v>
      </c>
      <c r="DO65" t="str">
        <v>20/20</v>
      </c>
      <c r="DP65" t="str">
        <v>20/20</v>
      </c>
      <c r="DQ65" t="str">
        <v>Pass</v>
      </c>
      <c r="DR65" t="str">
        <v>118</v>
      </c>
      <c r="DS65" t="str">
        <v>78</v>
      </c>
      <c r="DT65" t="str">
        <v>72</v>
      </c>
      <c r="DU65" t="str">
        <v>Normal</v>
      </c>
      <c r="DV65">
        <v>45392</v>
      </c>
      <c r="DW65">
        <v>45394</v>
      </c>
      <c r="DX65" t="str">
        <v>Negative</v>
      </c>
      <c r="DY65">
        <v>45397</v>
      </c>
      <c r="DZ65" t="str">
        <v>BOF Fleet Safety &amp; Compliance Policy 2024</v>
      </c>
      <c r="EA65" t="str">
        <v>Complete</v>
      </c>
      <c r="EB65">
        <v>45413</v>
      </c>
    </row>
    <row r="66">
      <c r="A66" t="str">
        <v>DRV-010</v>
      </c>
      <c r="B66" t="str">
        <v>Noah Wilson</v>
      </c>
      <c r="C66" t="str">
        <v>130 Demo Street, Chicago, IL 60603</v>
      </c>
      <c r="D66" t="str">
        <v>582-555-0100</v>
      </c>
      <c r="E66" t="str">
        <v>***-**-0112</v>
      </c>
      <c r="F66" t="str">
        <v>Chase</v>
      </c>
      <c r="G66">
        <v>000000106</v>
      </c>
      <c r="H66">
        <v>999900208</v>
      </c>
      <c r="I66" t="str">
        <v>Medical Certification</v>
      </c>
      <c r="J66" t="str">
        <v>VALID</v>
      </c>
      <c r="K66" t="str">
        <v>IL0000037</v>
      </c>
      <c r="L66">
        <v>46647</v>
      </c>
      <c r="M66">
        <v>46752</v>
      </c>
      <c r="N66">
        <v>46481</v>
      </c>
      <c r="P66" t="str">
        <v>Black</v>
      </c>
      <c r="Q66" t="str">
        <v>Hazel</v>
      </c>
      <c r="R66" t="str">
        <v>6'-3"</v>
      </c>
      <c r="S66">
        <v>219</v>
      </c>
      <c r="T66" t="str">
        <v>M</v>
      </c>
      <c r="U66">
        <v>24108</v>
      </c>
      <c r="V66" t="str">
        <v>DRV-010.png</v>
      </c>
      <c r="W66" t="str">
        <v>Black</v>
      </c>
      <c r="X66" t="str">
        <v>nwilson@example.com</v>
      </c>
      <c r="Y66" t="str">
        <v>130 Demo Street</v>
      </c>
      <c r="Z66" t="str">
        <v>Chicago</v>
      </c>
      <c r="AA66" t="str">
        <v>IL</v>
      </c>
      <c r="AB66">
        <v>60603</v>
      </c>
      <c r="AC66" t="str">
        <v>IL</v>
      </c>
      <c r="AD66" t="str">
        <v>Class A</v>
      </c>
      <c r="AE66">
        <v>44825</v>
      </c>
      <c r="AF66" t="str">
        <v>H,N</v>
      </c>
      <c r="AH66">
        <v>46022</v>
      </c>
      <c r="AI66" t="str">
        <v>MC-0100911</v>
      </c>
      <c r="AJ66" t="str">
        <v>Dr. Shannon Cole</v>
      </c>
      <c r="AK66" t="str">
        <v>ME100010</v>
      </c>
      <c r="AM66" t="str">
        <v>Qualified</v>
      </c>
      <c r="AN66">
        <v>46451</v>
      </c>
      <c r="AO66">
        <v>1</v>
      </c>
      <c r="AP66">
        <v>0</v>
      </c>
      <c r="AR66" t="str">
        <v>Clear</v>
      </c>
      <c r="AS66">
        <v>45523</v>
      </c>
      <c r="AT66" t="str">
        <v>Authorized to Work</v>
      </c>
      <c r="AU66" t="str">
        <v>U.S. Passport</v>
      </c>
      <c r="AX66">
        <v>45523</v>
      </c>
      <c r="AY66" t="str">
        <v>BOF Onboarding Team</v>
      </c>
      <c r="AZ66" t="str">
        <v>Complete</v>
      </c>
      <c r="BB66" t="str">
        <v>Individual/Sole Proprietor</v>
      </c>
      <c r="BC66" t="str">
        <v>SSN</v>
      </c>
      <c r="BD66" t="str">
        <v>***-**-0112</v>
      </c>
      <c r="BF66">
        <v>45523</v>
      </c>
      <c r="BG66" t="str">
        <v>Received</v>
      </c>
      <c r="BH66" t="str">
        <v>Checking</v>
      </c>
      <c r="BI66" t="str">
        <v>Direct Deposit</v>
      </c>
      <c r="BJ66">
        <v>45523</v>
      </c>
      <c r="BK66" t="str">
        <v>Verified</v>
      </c>
      <c r="BL66">
        <v>45516</v>
      </c>
      <c r="BM66" t="str">
        <v>P. Mitchell</v>
      </c>
      <c r="BN66" t="str">
        <v>Sleeper tractor</v>
      </c>
      <c r="BO66" t="str">
        <v>53 ft reefer</v>
      </c>
      <c r="BP66" t="str">
        <v>Chicago, IL</v>
      </c>
      <c r="BQ66">
        <v>4</v>
      </c>
      <c r="BR66">
        <v>5</v>
      </c>
      <c r="BS66">
        <v>4</v>
      </c>
      <c r="BT66">
        <v>4</v>
      </c>
      <c r="BU66">
        <v>5</v>
      </c>
      <c r="BV66">
        <v>5</v>
      </c>
      <c r="BW66">
        <v>4</v>
      </c>
      <c r="BX66">
        <v>5</v>
      </c>
      <c r="BY66">
        <v>4</v>
      </c>
      <c r="BZ66" t="str">
        <v>Pass</v>
      </c>
      <c r="CB66" t="str">
        <v>Passed</v>
      </c>
      <c r="CC66" t="str">
        <v>Enrolled</v>
      </c>
      <c r="CD66" t="str">
        <v>Query Completed</v>
      </c>
      <c r="CE66">
        <v>46037</v>
      </c>
      <c r="CF66">
        <v>46218</v>
      </c>
      <c r="CH66" t="str">
        <v>Compliant</v>
      </c>
      <c r="CJ66" t="str">
        <v>Noah</v>
      </c>
      <c r="CK66" t="str">
        <v>Wilson</v>
      </c>
      <c r="CL66" t="str">
        <v>IL0000050</v>
      </c>
      <c r="CM66" t="str">
        <v>IL</v>
      </c>
      <c r="CN66" t="str">
        <v>CDL Holder</v>
      </c>
      <c r="CO66" t="str">
        <v>Noah Wilson</v>
      </c>
      <c r="CP66">
        <v>46022</v>
      </c>
      <c r="CQ66">
        <v>46752</v>
      </c>
      <c r="CR66" t="str">
        <v>(312) 555-0109</v>
      </c>
      <c r="CS66" t="str">
        <v>Dr. Shannon Cole</v>
      </c>
      <c r="CT66">
        <v>46022</v>
      </c>
      <c r="CU66" t="str">
        <v>IL-ME-366300</v>
      </c>
      <c r="CV66" t="str">
        <v>ME100010</v>
      </c>
      <c r="CW66" t="str">
        <v>DO</v>
      </c>
      <c r="CX66" t="str">
        <v>IL</v>
      </c>
      <c r="CY66" t="str">
        <v>Federal Motor Carrier Safety Regulations</v>
      </c>
      <c r="DA66" t="str">
        <v>No</v>
      </c>
      <c r="DB66" t="str">
        <v>No</v>
      </c>
      <c r="DC66" t="str">
        <v>No</v>
      </c>
      <c r="DD66" t="str">
        <v>No</v>
      </c>
      <c r="DE66" t="str">
        <v>No</v>
      </c>
      <c r="DF66" t="str">
        <v>No</v>
      </c>
      <c r="DG66" t="str">
        <v>Jane Doe</v>
      </c>
      <c r="DH66" t="str">
        <v>Sister</v>
      </c>
      <c r="DI66" t="str">
        <v>555-555-5555</v>
      </c>
      <c r="DJ66" t="str">
        <v>No</v>
      </c>
      <c r="DK66" t="str">
        <v>No</v>
      </c>
      <c r="DL66" t="str">
        <v>No</v>
      </c>
      <c r="DM66" t="str">
        <v>No</v>
      </c>
      <c r="DN66" t="str">
        <v>Yes - Appendectomy (2005)</v>
      </c>
      <c r="DO66" t="str">
        <v>20/20</v>
      </c>
      <c r="DP66" t="str">
        <v>20/20</v>
      </c>
      <c r="DQ66" t="str">
        <v>Pass</v>
      </c>
      <c r="DR66" t="str">
        <v>118</v>
      </c>
      <c r="DS66" t="str">
        <v>78</v>
      </c>
      <c r="DT66" t="str">
        <v>72</v>
      </c>
      <c r="DU66" t="str">
        <v>Normal</v>
      </c>
      <c r="DV66">
        <v>45392</v>
      </c>
      <c r="DW66">
        <v>45394</v>
      </c>
      <c r="DX66" t="str">
        <v>Negative</v>
      </c>
      <c r="DY66">
        <v>45397</v>
      </c>
      <c r="DZ66" t="str">
        <v>BOF Fleet Safety &amp; Compliance Policy 2024</v>
      </c>
      <c r="EA66" t="str">
        <v>Complete</v>
      </c>
      <c r="EB66">
        <v>45413</v>
      </c>
    </row>
    <row r="67">
      <c r="A67" t="str">
        <v>DRV-010</v>
      </c>
      <c r="B67" t="str">
        <v>Noah Wilson</v>
      </c>
      <c r="C67" t="str">
        <v>130 Demo Street, Chicago, IL 60603</v>
      </c>
      <c r="D67" t="str">
        <v>582-555-0100</v>
      </c>
      <c r="E67" t="str">
        <v>***-**-0112</v>
      </c>
      <c r="F67" t="str">
        <v>Chase</v>
      </c>
      <c r="G67">
        <v>000000106</v>
      </c>
      <c r="H67">
        <v>999900208</v>
      </c>
      <c r="I67" t="str">
        <v>MVR Background Report</v>
      </c>
      <c r="J67" t="str">
        <v>VALID</v>
      </c>
      <c r="K67" t="str">
        <v>IL0000060</v>
      </c>
      <c r="L67">
        <v>46647</v>
      </c>
      <c r="M67">
        <v>46752</v>
      </c>
      <c r="N67">
        <v>46481</v>
      </c>
      <c r="P67" t="str">
        <v>Black</v>
      </c>
      <c r="Q67" t="str">
        <v>Hazel</v>
      </c>
      <c r="R67" t="str">
        <v>6'-3"</v>
      </c>
      <c r="S67">
        <v>219</v>
      </c>
      <c r="T67" t="str">
        <v>M</v>
      </c>
      <c r="U67">
        <v>24108</v>
      </c>
      <c r="V67" t="str">
        <v>DRV-010.png</v>
      </c>
      <c r="W67" t="str">
        <v>Black</v>
      </c>
      <c r="X67" t="str">
        <v>nwilson@example.com</v>
      </c>
      <c r="Y67" t="str">
        <v>130 Demo Street</v>
      </c>
      <c r="Z67" t="str">
        <v>Chicago</v>
      </c>
      <c r="AA67" t="str">
        <v>IL</v>
      </c>
      <c r="AB67">
        <v>60603</v>
      </c>
      <c r="AC67" t="str">
        <v>IL</v>
      </c>
      <c r="AD67" t="str">
        <v>Class A</v>
      </c>
      <c r="AE67">
        <v>44825</v>
      </c>
      <c r="AF67" t="str">
        <v>H,N</v>
      </c>
      <c r="AH67">
        <v>46022</v>
      </c>
      <c r="AI67" t="str">
        <v>MC-0100911</v>
      </c>
      <c r="AJ67" t="str">
        <v>Dr. Shannon Cole</v>
      </c>
      <c r="AK67" t="str">
        <v>ME100010</v>
      </c>
      <c r="AM67" t="str">
        <v>Qualified</v>
      </c>
      <c r="AN67">
        <v>46451</v>
      </c>
      <c r="AO67">
        <v>1</v>
      </c>
      <c r="AP67">
        <v>0</v>
      </c>
      <c r="AR67" t="str">
        <v>Clear</v>
      </c>
      <c r="AS67">
        <v>45523</v>
      </c>
      <c r="AT67" t="str">
        <v>Authorized to Work</v>
      </c>
      <c r="AU67" t="str">
        <v>U.S. Passport</v>
      </c>
      <c r="AX67">
        <v>45523</v>
      </c>
      <c r="AY67" t="str">
        <v>BOF Onboarding Team</v>
      </c>
      <c r="AZ67" t="str">
        <v>Complete</v>
      </c>
      <c r="BB67" t="str">
        <v>Individual/Sole Proprietor</v>
      </c>
      <c r="BC67" t="str">
        <v>SSN</v>
      </c>
      <c r="BD67" t="str">
        <v>***-**-0112</v>
      </c>
      <c r="BF67">
        <v>45523</v>
      </c>
      <c r="BG67" t="str">
        <v>Received</v>
      </c>
      <c r="BH67" t="str">
        <v>Checking</v>
      </c>
      <c r="BI67" t="str">
        <v>Direct Deposit</v>
      </c>
      <c r="BJ67">
        <v>45523</v>
      </c>
      <c r="BK67" t="str">
        <v>Verified</v>
      </c>
      <c r="BL67">
        <v>45516</v>
      </c>
      <c r="BM67" t="str">
        <v>P. Mitchell</v>
      </c>
      <c r="BN67" t="str">
        <v>Sleeper tractor</v>
      </c>
      <c r="BO67" t="str">
        <v>53 ft reefer</v>
      </c>
      <c r="BP67" t="str">
        <v>Chicago, IL</v>
      </c>
      <c r="BQ67">
        <v>4</v>
      </c>
      <c r="BR67">
        <v>5</v>
      </c>
      <c r="BS67">
        <v>4</v>
      </c>
      <c r="BT67">
        <v>4</v>
      </c>
      <c r="BU67">
        <v>5</v>
      </c>
      <c r="BV67">
        <v>5</v>
      </c>
      <c r="BW67">
        <v>4</v>
      </c>
      <c r="BX67">
        <v>5</v>
      </c>
      <c r="BY67">
        <v>4</v>
      </c>
      <c r="BZ67" t="str">
        <v>Pass</v>
      </c>
      <c r="CB67" t="str">
        <v>Passed</v>
      </c>
      <c r="CC67" t="str">
        <v>Enrolled</v>
      </c>
      <c r="CD67" t="str">
        <v>Query Completed</v>
      </c>
      <c r="CE67">
        <v>46037</v>
      </c>
      <c r="CF67">
        <v>46218</v>
      </c>
      <c r="CH67" t="str">
        <v>Compliant</v>
      </c>
      <c r="CJ67" t="str">
        <v>Noah</v>
      </c>
      <c r="CK67" t="str">
        <v>Wilson</v>
      </c>
      <c r="CL67" t="str">
        <v>IL0000051</v>
      </c>
      <c r="CM67" t="str">
        <v>IL</v>
      </c>
      <c r="CN67" t="str">
        <v>CDL Holder</v>
      </c>
      <c r="CO67" t="str">
        <v>Noah Wilson</v>
      </c>
      <c r="CP67">
        <v>46022</v>
      </c>
      <c r="CQ67">
        <v>46752</v>
      </c>
      <c r="CR67" t="str">
        <v>(312) 555-0109</v>
      </c>
      <c r="CS67" t="str">
        <v>Dr. Shannon Cole</v>
      </c>
      <c r="CT67">
        <v>46022</v>
      </c>
      <c r="CU67" t="str">
        <v>IL-ME-366300</v>
      </c>
      <c r="CV67" t="str">
        <v>ME100010</v>
      </c>
      <c r="CW67" t="str">
        <v>DO</v>
      </c>
      <c r="CX67" t="str">
        <v>IL</v>
      </c>
      <c r="CY67" t="str">
        <v>Federal Motor Carrier Safety Regulations</v>
      </c>
      <c r="DA67" t="str">
        <v>No</v>
      </c>
      <c r="DB67" t="str">
        <v>No</v>
      </c>
      <c r="DC67" t="str">
        <v>No</v>
      </c>
      <c r="DD67" t="str">
        <v>No</v>
      </c>
      <c r="DE67" t="str">
        <v>No</v>
      </c>
      <c r="DF67" t="str">
        <v>No</v>
      </c>
      <c r="DG67" t="str">
        <v>Jane Doe</v>
      </c>
      <c r="DH67" t="str">
        <v>Sister</v>
      </c>
      <c r="DI67" t="str">
        <v>555-555-5555</v>
      </c>
      <c r="DJ67" t="str">
        <v>No</v>
      </c>
      <c r="DK67" t="str">
        <v>No</v>
      </c>
      <c r="DL67" t="str">
        <v>No</v>
      </c>
      <c r="DM67" t="str">
        <v>No</v>
      </c>
      <c r="DN67" t="str">
        <v>Yes - Appendectomy (2005)</v>
      </c>
      <c r="DO67" t="str">
        <v>20/20</v>
      </c>
      <c r="DP67" t="str">
        <v>20/20</v>
      </c>
      <c r="DQ67" t="str">
        <v>Pass</v>
      </c>
      <c r="DR67" t="str">
        <v>118</v>
      </c>
      <c r="DS67" t="str">
        <v>78</v>
      </c>
      <c r="DT67" t="str">
        <v>72</v>
      </c>
      <c r="DU67" t="str">
        <v>Normal</v>
      </c>
      <c r="DV67">
        <v>45392</v>
      </c>
      <c r="DW67">
        <v>45394</v>
      </c>
      <c r="DX67" t="str">
        <v>Negative</v>
      </c>
      <c r="DY67">
        <v>45397</v>
      </c>
      <c r="DZ67" t="str">
        <v>BOF Fleet Safety &amp; Compliance Policy 2024</v>
      </c>
      <c r="EA67" t="str">
        <v>Complete</v>
      </c>
      <c r="EB67">
        <v>45413</v>
      </c>
    </row>
    <row r="68">
      <c r="A68" t="str">
        <v>DRV-010</v>
      </c>
      <c r="B68" t="str">
        <v>Noah Wilson</v>
      </c>
      <c r="C68" t="str">
        <v>130 Demo Street, Chicago, IL 60603</v>
      </c>
      <c r="D68" t="str">
        <v>582-555-0100</v>
      </c>
      <c r="E68" t="str">
        <v>***-**-0112</v>
      </c>
      <c r="F68" t="str">
        <v>Chase</v>
      </c>
      <c r="G68">
        <v>000000106</v>
      </c>
      <c r="H68">
        <v>999900208</v>
      </c>
      <c r="I68" t="str">
        <v>Driver Application</v>
      </c>
      <c r="J68" t="str">
        <v>VALID</v>
      </c>
      <c r="K68" t="str">
        <v>IL0000059</v>
      </c>
      <c r="L68">
        <v>46647</v>
      </c>
      <c r="M68">
        <v>46752</v>
      </c>
      <c r="N68">
        <v>46481</v>
      </c>
      <c r="P68" t="str">
        <v>Black</v>
      </c>
      <c r="Q68" t="str">
        <v>Hazel</v>
      </c>
      <c r="R68" t="str">
        <v>6'-3"</v>
      </c>
      <c r="S68">
        <v>219</v>
      </c>
      <c r="T68" t="str">
        <v>M</v>
      </c>
      <c r="U68">
        <v>24108</v>
      </c>
      <c r="V68" t="str">
        <v>DRV-010.png</v>
      </c>
      <c r="W68" t="str">
        <v>Black</v>
      </c>
      <c r="X68" t="str">
        <v>nwilson@example.com</v>
      </c>
      <c r="Y68" t="str">
        <v>130 Demo Street</v>
      </c>
      <c r="Z68" t="str">
        <v>Chicago</v>
      </c>
      <c r="AA68" t="str">
        <v>IL</v>
      </c>
      <c r="AB68">
        <v>60603</v>
      </c>
      <c r="AC68" t="str">
        <v>IL</v>
      </c>
      <c r="AD68" t="str">
        <v>Class A</v>
      </c>
      <c r="AE68">
        <v>44825</v>
      </c>
      <c r="AF68" t="str">
        <v>H,N</v>
      </c>
      <c r="AH68">
        <v>46022</v>
      </c>
      <c r="AI68" t="str">
        <v>MC-0100911</v>
      </c>
      <c r="AJ68" t="str">
        <v>Dr. Shannon Cole</v>
      </c>
      <c r="AK68" t="str">
        <v>ME100010</v>
      </c>
      <c r="AM68" t="str">
        <v>Qualified</v>
      </c>
      <c r="AN68">
        <v>46451</v>
      </c>
      <c r="AO68">
        <v>1</v>
      </c>
      <c r="AP68">
        <v>0</v>
      </c>
      <c r="AR68" t="str">
        <v>Clear</v>
      </c>
      <c r="AS68">
        <v>45523</v>
      </c>
      <c r="AT68" t="str">
        <v>Authorized to Work</v>
      </c>
      <c r="AU68" t="str">
        <v>U.S. Passport</v>
      </c>
      <c r="AX68">
        <v>45523</v>
      </c>
      <c r="AY68" t="str">
        <v>BOF Onboarding Team</v>
      </c>
      <c r="AZ68" t="str">
        <v>Complete</v>
      </c>
      <c r="BB68" t="str">
        <v>Individual/Sole Proprietor</v>
      </c>
      <c r="BC68" t="str">
        <v>SSN</v>
      </c>
      <c r="BD68" t="str">
        <v>***-**-0112</v>
      </c>
      <c r="BF68">
        <v>45523</v>
      </c>
      <c r="BG68" t="str">
        <v>Received</v>
      </c>
      <c r="BH68" t="str">
        <v>Checking</v>
      </c>
      <c r="BI68" t="str">
        <v>Direct Deposit</v>
      </c>
      <c r="BJ68">
        <v>45523</v>
      </c>
      <c r="BK68" t="str">
        <v>Verified</v>
      </c>
      <c r="BL68">
        <v>45516</v>
      </c>
      <c r="BM68" t="str">
        <v>P. Mitchell</v>
      </c>
      <c r="BN68" t="str">
        <v>Sleeper tractor</v>
      </c>
      <c r="BO68" t="str">
        <v>53 ft reefer</v>
      </c>
      <c r="BP68" t="str">
        <v>Chicago, IL</v>
      </c>
      <c r="BQ68">
        <v>4</v>
      </c>
      <c r="BR68">
        <v>5</v>
      </c>
      <c r="BS68">
        <v>4</v>
      </c>
      <c r="BT68">
        <v>4</v>
      </c>
      <c r="BU68">
        <v>5</v>
      </c>
      <c r="BV68">
        <v>5</v>
      </c>
      <c r="BW68">
        <v>4</v>
      </c>
      <c r="BX68">
        <v>5</v>
      </c>
      <c r="BY68">
        <v>4</v>
      </c>
      <c r="BZ68" t="str">
        <v>Pass</v>
      </c>
      <c r="CB68" t="str">
        <v>Passed</v>
      </c>
      <c r="CC68" t="str">
        <v>Enrolled</v>
      </c>
      <c r="CD68" t="str">
        <v>Query Completed</v>
      </c>
      <c r="CE68">
        <v>46037</v>
      </c>
      <c r="CF68">
        <v>46218</v>
      </c>
      <c r="CH68" t="str">
        <v>Compliant</v>
      </c>
      <c r="CJ68" t="str">
        <v>Noah</v>
      </c>
      <c r="CK68" t="str">
        <v>Wilson</v>
      </c>
      <c r="CL68" t="str">
        <v>IL0000052</v>
      </c>
      <c r="CM68" t="str">
        <v>IL</v>
      </c>
      <c r="CN68" t="str">
        <v>CDL Holder</v>
      </c>
      <c r="CO68" t="str">
        <v>Noah Wilson</v>
      </c>
      <c r="CP68">
        <v>46022</v>
      </c>
      <c r="CQ68">
        <v>46752</v>
      </c>
      <c r="CR68" t="str">
        <v>(312) 555-0109</v>
      </c>
      <c r="CS68" t="str">
        <v>Dr. Shannon Cole</v>
      </c>
      <c r="CT68">
        <v>46022</v>
      </c>
      <c r="CU68" t="str">
        <v>IL-ME-366300</v>
      </c>
      <c r="CV68" t="str">
        <v>ME100010</v>
      </c>
      <c r="CW68" t="str">
        <v>DO</v>
      </c>
      <c r="CX68" t="str">
        <v>IL</v>
      </c>
      <c r="CY68" t="str">
        <v>Federal Motor Carrier Safety Regulations</v>
      </c>
      <c r="DA68" t="str">
        <v>No</v>
      </c>
      <c r="DB68" t="str">
        <v>No</v>
      </c>
      <c r="DC68" t="str">
        <v>No</v>
      </c>
      <c r="DD68" t="str">
        <v>No</v>
      </c>
      <c r="DE68" t="str">
        <v>No</v>
      </c>
      <c r="DF68" t="str">
        <v>No</v>
      </c>
      <c r="DG68" t="str">
        <v>Jane Doe</v>
      </c>
      <c r="DH68" t="str">
        <v>Sister</v>
      </c>
      <c r="DI68" t="str">
        <v>555-555-5555</v>
      </c>
      <c r="DJ68" t="str">
        <v>No</v>
      </c>
      <c r="DK68" t="str">
        <v>No</v>
      </c>
      <c r="DL68" t="str">
        <v>No</v>
      </c>
      <c r="DM68" t="str">
        <v>No</v>
      </c>
      <c r="DN68" t="str">
        <v>Yes - Appendectomy (2005)</v>
      </c>
      <c r="DO68" t="str">
        <v>20/20</v>
      </c>
      <c r="DP68" t="str">
        <v>20/20</v>
      </c>
      <c r="DQ68" t="str">
        <v>Pass</v>
      </c>
      <c r="DR68" t="str">
        <v>118</v>
      </c>
      <c r="DS68" t="str">
        <v>78</v>
      </c>
      <c r="DT68" t="str">
        <v>72</v>
      </c>
      <c r="DU68" t="str">
        <v>Normal</v>
      </c>
      <c r="DV68">
        <v>45392</v>
      </c>
      <c r="DW68">
        <v>45394</v>
      </c>
      <c r="DX68" t="str">
        <v>Negative</v>
      </c>
      <c r="DY68">
        <v>45397</v>
      </c>
      <c r="DZ68" t="str">
        <v>BOF Fleet Safety &amp; Compliance Policy 2024</v>
      </c>
      <c r="EA68" t="str">
        <v>Complete</v>
      </c>
      <c r="EB68">
        <v>45413</v>
      </c>
    </row>
    <row r="69">
      <c r="A69" t="str">
        <v>DRV-010</v>
      </c>
      <c r="B69" t="str">
        <v>Noah Wilson</v>
      </c>
      <c r="C69" t="str">
        <v>130 Demo Street, Chicago, IL 60603</v>
      </c>
      <c r="D69" t="str">
        <v>582-555-0100</v>
      </c>
      <c r="E69" t="str">
        <v>***-**-0112</v>
      </c>
      <c r="F69" t="str">
        <v>Chase</v>
      </c>
      <c r="G69">
        <v>000000106</v>
      </c>
      <c r="H69">
        <v>999900208</v>
      </c>
      <c r="I69" t="str">
        <v>Road Test Certificate</v>
      </c>
      <c r="J69" t="str">
        <v>VALID</v>
      </c>
      <c r="K69" t="str">
        <v>IL0000064</v>
      </c>
      <c r="L69">
        <v>46647</v>
      </c>
      <c r="M69">
        <v>46752</v>
      </c>
      <c r="N69">
        <v>46481</v>
      </c>
      <c r="P69" t="str">
        <v>Black</v>
      </c>
      <c r="Q69" t="str">
        <v>Hazel</v>
      </c>
      <c r="R69" t="str">
        <v>6'-3"</v>
      </c>
      <c r="S69">
        <v>219</v>
      </c>
      <c r="T69" t="str">
        <v>M</v>
      </c>
      <c r="U69">
        <v>24108</v>
      </c>
      <c r="V69" t="str">
        <v>DRV-010.png</v>
      </c>
      <c r="W69" t="str">
        <v>Black</v>
      </c>
      <c r="X69" t="str">
        <v>nwilson@example.com</v>
      </c>
      <c r="Y69" t="str">
        <v>130 Demo Street</v>
      </c>
      <c r="Z69" t="str">
        <v>Chicago</v>
      </c>
      <c r="AA69" t="str">
        <v>IL</v>
      </c>
      <c r="AB69">
        <v>60603</v>
      </c>
      <c r="AC69" t="str">
        <v>IL</v>
      </c>
      <c r="AD69" t="str">
        <v>Class A</v>
      </c>
      <c r="AE69">
        <v>44825</v>
      </c>
      <c r="AF69" t="str">
        <v>H,N</v>
      </c>
      <c r="AH69">
        <v>46022</v>
      </c>
      <c r="AI69" t="str">
        <v>MC-0100911</v>
      </c>
      <c r="AJ69" t="str">
        <v>Dr. Shannon Cole</v>
      </c>
      <c r="AK69" t="str">
        <v>ME100010</v>
      </c>
      <c r="AM69" t="str">
        <v>Qualified</v>
      </c>
      <c r="AN69">
        <v>46451</v>
      </c>
      <c r="AO69">
        <v>1</v>
      </c>
      <c r="AP69">
        <v>0</v>
      </c>
      <c r="AR69" t="str">
        <v>Clear</v>
      </c>
      <c r="AS69">
        <v>45523</v>
      </c>
      <c r="AT69" t="str">
        <v>Authorized to Work</v>
      </c>
      <c r="AU69" t="str">
        <v>U.S. Passport</v>
      </c>
      <c r="AX69">
        <v>45523</v>
      </c>
      <c r="AY69" t="str">
        <v>BOF Onboarding Team</v>
      </c>
      <c r="AZ69" t="str">
        <v>Complete</v>
      </c>
      <c r="BB69" t="str">
        <v>Individual/Sole Proprietor</v>
      </c>
      <c r="BC69" t="str">
        <v>SSN</v>
      </c>
      <c r="BD69" t="str">
        <v>***-**-0112</v>
      </c>
      <c r="BF69">
        <v>45523</v>
      </c>
      <c r="BG69" t="str">
        <v>Received</v>
      </c>
      <c r="BH69" t="str">
        <v>Checking</v>
      </c>
      <c r="BI69" t="str">
        <v>Direct Deposit</v>
      </c>
      <c r="BJ69">
        <v>45523</v>
      </c>
      <c r="BK69" t="str">
        <v>Verified</v>
      </c>
      <c r="BL69">
        <v>45516</v>
      </c>
      <c r="BM69" t="str">
        <v>P. Mitchell</v>
      </c>
      <c r="BN69" t="str">
        <v>Sleeper tractor</v>
      </c>
      <c r="BO69" t="str">
        <v>53 ft reefer</v>
      </c>
      <c r="BP69" t="str">
        <v>Chicago, IL</v>
      </c>
      <c r="BQ69">
        <v>4</v>
      </c>
      <c r="BR69">
        <v>5</v>
      </c>
      <c r="BS69">
        <v>4</v>
      </c>
      <c r="BT69">
        <v>4</v>
      </c>
      <c r="BU69">
        <v>5</v>
      </c>
      <c r="BV69">
        <v>5</v>
      </c>
      <c r="BW69">
        <v>4</v>
      </c>
      <c r="BX69">
        <v>5</v>
      </c>
      <c r="BY69">
        <v>4</v>
      </c>
      <c r="BZ69" t="str">
        <v>Pass</v>
      </c>
      <c r="CB69" t="str">
        <v>Passed</v>
      </c>
      <c r="CC69" t="str">
        <v>Enrolled</v>
      </c>
      <c r="CD69" t="str">
        <v>Query Completed</v>
      </c>
      <c r="CE69">
        <v>46037</v>
      </c>
      <c r="CF69">
        <v>46218</v>
      </c>
      <c r="CH69" t="str">
        <v>Compliant</v>
      </c>
      <c r="CJ69" t="str">
        <v>Noah</v>
      </c>
      <c r="CK69" t="str">
        <v>Wilson</v>
      </c>
      <c r="CL69" t="str">
        <v>IL0000053</v>
      </c>
      <c r="CM69" t="str">
        <v>IL</v>
      </c>
      <c r="CN69" t="str">
        <v>CDL Holder</v>
      </c>
      <c r="CO69" t="str">
        <v>Noah Wilson</v>
      </c>
      <c r="CP69">
        <v>46022</v>
      </c>
      <c r="CQ69">
        <v>46752</v>
      </c>
      <c r="CR69" t="str">
        <v>(312) 555-0109</v>
      </c>
      <c r="CS69" t="str">
        <v>Dr. Shannon Cole</v>
      </c>
      <c r="CT69">
        <v>46022</v>
      </c>
      <c r="CU69" t="str">
        <v>IL-ME-366300</v>
      </c>
      <c r="CV69" t="str">
        <v>ME100010</v>
      </c>
      <c r="CW69" t="str">
        <v>DO</v>
      </c>
      <c r="CX69" t="str">
        <v>IL</v>
      </c>
      <c r="CY69" t="str">
        <v>Federal Motor Carrier Safety Regulations</v>
      </c>
      <c r="DA69" t="str">
        <v>No</v>
      </c>
      <c r="DB69" t="str">
        <v>No</v>
      </c>
      <c r="DC69" t="str">
        <v>No</v>
      </c>
      <c r="DD69" t="str">
        <v>No</v>
      </c>
      <c r="DE69" t="str">
        <v>No</v>
      </c>
      <c r="DF69" t="str">
        <v>No</v>
      </c>
      <c r="DG69" t="str">
        <v>Jane Doe</v>
      </c>
      <c r="DH69" t="str">
        <v>Sister</v>
      </c>
      <c r="DI69" t="str">
        <v>555-555-5555</v>
      </c>
      <c r="DJ69" t="str">
        <v>No</v>
      </c>
      <c r="DK69" t="str">
        <v>No</v>
      </c>
      <c r="DL69" t="str">
        <v>No</v>
      </c>
      <c r="DM69" t="str">
        <v>No</v>
      </c>
      <c r="DN69" t="str">
        <v>Yes - Appendectomy (2005)</v>
      </c>
      <c r="DO69" t="str">
        <v>20/20</v>
      </c>
      <c r="DP69" t="str">
        <v>20/20</v>
      </c>
      <c r="DQ69" t="str">
        <v>Pass</v>
      </c>
      <c r="DR69" t="str">
        <v>118</v>
      </c>
      <c r="DS69" t="str">
        <v>78</v>
      </c>
      <c r="DT69" t="str">
        <v>72</v>
      </c>
      <c r="DU69" t="str">
        <v>Normal</v>
      </c>
      <c r="DV69">
        <v>45392</v>
      </c>
      <c r="DW69">
        <v>45394</v>
      </c>
      <c r="DX69" t="str">
        <v>Negative</v>
      </c>
      <c r="DY69">
        <v>45397</v>
      </c>
      <c r="DZ69" t="str">
        <v>BOF Fleet Safety &amp; Compliance Policy 2024</v>
      </c>
      <c r="EA69" t="str">
        <v>Complete</v>
      </c>
      <c r="EB69">
        <v>45413</v>
      </c>
    </row>
    <row r="70">
      <c r="A70" t="str">
        <v>DRV-010</v>
      </c>
      <c r="B70" t="str">
        <v>Noah Wilson</v>
      </c>
      <c r="C70" t="str">
        <v>130 Demo Street, Chicago, IL 60603</v>
      </c>
      <c r="D70" t="str">
        <v>582-555-0100</v>
      </c>
      <c r="E70" t="str">
        <v>***-**-0112</v>
      </c>
      <c r="F70" t="str">
        <v>Chase</v>
      </c>
      <c r="G70">
        <v>000000106</v>
      </c>
      <c r="H70">
        <v>999900208</v>
      </c>
      <c r="I70" t="str">
        <v>Incident/Accident Report</v>
      </c>
      <c r="J70" t="str">
        <v>VALID</v>
      </c>
      <c r="K70" t="str">
        <v>IL0000063</v>
      </c>
      <c r="L70">
        <v>46647</v>
      </c>
      <c r="M70">
        <v>46752</v>
      </c>
      <c r="N70">
        <v>46481</v>
      </c>
      <c r="O70" t="str">
        <v>No major incidents recorded in last 90 days.</v>
      </c>
      <c r="P70" t="str">
        <v>Black</v>
      </c>
      <c r="Q70" t="str">
        <v>Hazel</v>
      </c>
      <c r="R70" t="str">
        <v>6'-3"</v>
      </c>
      <c r="S70">
        <v>219</v>
      </c>
      <c r="T70" t="str">
        <v>M</v>
      </c>
      <c r="U70">
        <v>24108</v>
      </c>
      <c r="V70" t="str">
        <v>DRV-010.png</v>
      </c>
      <c r="W70" t="str">
        <v>Black</v>
      </c>
      <c r="X70" t="str">
        <v>nwilson@example.com</v>
      </c>
      <c r="Y70" t="str">
        <v>130 Demo Street</v>
      </c>
      <c r="Z70" t="str">
        <v>Chicago</v>
      </c>
      <c r="AA70" t="str">
        <v>IL</v>
      </c>
      <c r="AB70">
        <v>60603</v>
      </c>
      <c r="AC70" t="str">
        <v>IL</v>
      </c>
      <c r="AD70" t="str">
        <v>Class A</v>
      </c>
      <c r="AE70">
        <v>44825</v>
      </c>
      <c r="AF70" t="str">
        <v>H,N</v>
      </c>
      <c r="AH70">
        <v>46022</v>
      </c>
      <c r="AI70" t="str">
        <v>MC-0100911</v>
      </c>
      <c r="AJ70" t="str">
        <v>Dr. Shannon Cole</v>
      </c>
      <c r="AK70" t="str">
        <v>ME100010</v>
      </c>
      <c r="AM70" t="str">
        <v>Qualified</v>
      </c>
      <c r="AN70">
        <v>46451</v>
      </c>
      <c r="AO70">
        <v>1</v>
      </c>
      <c r="AP70">
        <v>0</v>
      </c>
      <c r="AR70" t="str">
        <v>Clear</v>
      </c>
      <c r="AS70">
        <v>45523</v>
      </c>
      <c r="AT70" t="str">
        <v>Authorized to Work</v>
      </c>
      <c r="AU70" t="str">
        <v>U.S. Passport</v>
      </c>
      <c r="AX70">
        <v>45523</v>
      </c>
      <c r="AY70" t="str">
        <v>BOF Onboarding Team</v>
      </c>
      <c r="AZ70" t="str">
        <v>Complete</v>
      </c>
      <c r="BB70" t="str">
        <v>Individual/Sole Proprietor</v>
      </c>
      <c r="BC70" t="str">
        <v>SSN</v>
      </c>
      <c r="BD70" t="str">
        <v>***-**-0112</v>
      </c>
      <c r="BF70">
        <v>45523</v>
      </c>
      <c r="BG70" t="str">
        <v>Received</v>
      </c>
      <c r="BH70" t="str">
        <v>Checking</v>
      </c>
      <c r="BI70" t="str">
        <v>Direct Deposit</v>
      </c>
      <c r="BJ70">
        <v>45523</v>
      </c>
      <c r="BK70" t="str">
        <v>Verified</v>
      </c>
      <c r="BL70">
        <v>45516</v>
      </c>
      <c r="BM70" t="str">
        <v>P. Mitchell</v>
      </c>
      <c r="BN70" t="str">
        <v>Sleeper tractor</v>
      </c>
      <c r="BO70" t="str">
        <v>53 ft reefer</v>
      </c>
      <c r="BP70" t="str">
        <v>Chicago, IL</v>
      </c>
      <c r="BQ70">
        <v>4</v>
      </c>
      <c r="BR70">
        <v>5</v>
      </c>
      <c r="BS70">
        <v>4</v>
      </c>
      <c r="BT70">
        <v>4</v>
      </c>
      <c r="BU70">
        <v>5</v>
      </c>
      <c r="BV70">
        <v>5</v>
      </c>
      <c r="BW70">
        <v>4</v>
      </c>
      <c r="BX70">
        <v>5</v>
      </c>
      <c r="BY70">
        <v>4</v>
      </c>
      <c r="BZ70" t="str">
        <v>Pass</v>
      </c>
      <c r="CB70" t="str">
        <v>Passed</v>
      </c>
      <c r="CC70" t="str">
        <v>Enrolled</v>
      </c>
      <c r="CD70" t="str">
        <v>Query Completed</v>
      </c>
      <c r="CE70">
        <v>46037</v>
      </c>
      <c r="CF70">
        <v>46218</v>
      </c>
      <c r="CH70" t="str">
        <v>Compliant</v>
      </c>
      <c r="CJ70" t="str">
        <v>Noah</v>
      </c>
      <c r="CK70" t="str">
        <v>Wilson</v>
      </c>
      <c r="CL70" t="str">
        <v>IL0000054</v>
      </c>
      <c r="CM70" t="str">
        <v>IL</v>
      </c>
      <c r="CN70" t="str">
        <v>CDL Holder</v>
      </c>
      <c r="CO70" t="str">
        <v>Noah Wilson</v>
      </c>
      <c r="CP70">
        <v>46022</v>
      </c>
      <c r="CQ70">
        <v>46752</v>
      </c>
      <c r="CR70" t="str">
        <v>(312) 555-0109</v>
      </c>
      <c r="CS70" t="str">
        <v>Dr. Shannon Cole</v>
      </c>
      <c r="CT70">
        <v>46022</v>
      </c>
      <c r="CU70" t="str">
        <v>IL-ME-366300</v>
      </c>
      <c r="CV70" t="str">
        <v>ME100010</v>
      </c>
      <c r="CW70" t="str">
        <v>DO</v>
      </c>
      <c r="CX70" t="str">
        <v>IL</v>
      </c>
      <c r="CY70" t="str">
        <v>Federal Motor Carrier Safety Regulations</v>
      </c>
      <c r="DA70" t="str">
        <v>No</v>
      </c>
      <c r="DB70" t="str">
        <v>No</v>
      </c>
      <c r="DC70" t="str">
        <v>No</v>
      </c>
      <c r="DD70" t="str">
        <v>No</v>
      </c>
      <c r="DE70" t="str">
        <v>No</v>
      </c>
      <c r="DF70" t="str">
        <v>No</v>
      </c>
      <c r="DG70" t="str">
        <v>Jane Doe</v>
      </c>
      <c r="DH70" t="str">
        <v>Sister</v>
      </c>
      <c r="DI70" t="str">
        <v>555-555-5555</v>
      </c>
      <c r="DJ70" t="str">
        <v>No</v>
      </c>
      <c r="DK70" t="str">
        <v>No</v>
      </c>
      <c r="DL70" t="str">
        <v>No</v>
      </c>
      <c r="DM70" t="str">
        <v>No</v>
      </c>
      <c r="DN70" t="str">
        <v>Yes - Appendectomy (2005)</v>
      </c>
      <c r="DO70" t="str">
        <v>20/20</v>
      </c>
      <c r="DP70" t="str">
        <v>20/20</v>
      </c>
      <c r="DQ70" t="str">
        <v>Pass</v>
      </c>
      <c r="DR70" t="str">
        <v>118</v>
      </c>
      <c r="DS70" t="str">
        <v>78</v>
      </c>
      <c r="DT70" t="str">
        <v>72</v>
      </c>
      <c r="DU70" t="str">
        <v>Normal</v>
      </c>
      <c r="DV70">
        <v>45392</v>
      </c>
      <c r="DW70">
        <v>45394</v>
      </c>
      <c r="DX70" t="str">
        <v>Negative</v>
      </c>
      <c r="DY70">
        <v>45397</v>
      </c>
      <c r="DZ70" t="str">
        <v>BOF Fleet Safety &amp; Compliance Policy 2024</v>
      </c>
      <c r="EA70" t="str">
        <v>Complete</v>
      </c>
      <c r="EB70">
        <v>45413</v>
      </c>
    </row>
    <row r="71">
      <c r="A71" t="str">
        <v>DRV-010</v>
      </c>
      <c r="B71" t="str">
        <v>Noah Wilson</v>
      </c>
      <c r="C71" t="str">
        <v>130 Demo Street, Chicago, IL 60603</v>
      </c>
      <c r="D71" t="str">
        <v>582-555-0100</v>
      </c>
      <c r="E71" t="str">
        <v>***-**-0112</v>
      </c>
      <c r="F71" t="str">
        <v>Chase</v>
      </c>
      <c r="G71">
        <v>000000106</v>
      </c>
      <c r="H71">
        <v>999900208</v>
      </c>
      <c r="I71" t="str">
        <v>Direct Deposit Form</v>
      </c>
      <c r="J71" t="str">
        <v>VALID</v>
      </c>
      <c r="K71" t="str">
        <v>IL0000038</v>
      </c>
      <c r="L71">
        <v>46647</v>
      </c>
      <c r="M71">
        <v>46752</v>
      </c>
      <c r="N71">
        <v>46481</v>
      </c>
      <c r="P71" t="str">
        <v>Black</v>
      </c>
      <c r="Q71" t="str">
        <v>Hazel</v>
      </c>
      <c r="R71" t="str">
        <v>6'-3"</v>
      </c>
      <c r="S71">
        <v>219</v>
      </c>
      <c r="T71" t="str">
        <v>M</v>
      </c>
      <c r="U71">
        <v>24108</v>
      </c>
      <c r="V71" t="str">
        <v>DRV-010.png</v>
      </c>
      <c r="W71" t="str">
        <v>Black</v>
      </c>
      <c r="X71" t="str">
        <v>nwilson@example.com</v>
      </c>
      <c r="Y71" t="str">
        <v>130 Demo Street</v>
      </c>
      <c r="Z71" t="str">
        <v>Chicago</v>
      </c>
      <c r="AA71" t="str">
        <v>IL</v>
      </c>
      <c r="AB71">
        <v>60603</v>
      </c>
      <c r="AC71" t="str">
        <v>IL</v>
      </c>
      <c r="AD71" t="str">
        <v>Class A</v>
      </c>
      <c r="AE71">
        <v>44825</v>
      </c>
      <c r="AF71" t="str">
        <v>H,N</v>
      </c>
      <c r="AH71">
        <v>46022</v>
      </c>
      <c r="AI71" t="str">
        <v>MC-0100911</v>
      </c>
      <c r="AJ71" t="str">
        <v>Dr. Shannon Cole</v>
      </c>
      <c r="AK71" t="str">
        <v>ME100010</v>
      </c>
      <c r="AM71" t="str">
        <v>Qualified</v>
      </c>
      <c r="AN71">
        <v>46451</v>
      </c>
      <c r="AO71">
        <v>1</v>
      </c>
      <c r="AP71">
        <v>0</v>
      </c>
      <c r="AR71" t="str">
        <v>Clear</v>
      </c>
      <c r="AS71">
        <v>45523</v>
      </c>
      <c r="AT71" t="str">
        <v>Authorized to Work</v>
      </c>
      <c r="AU71" t="str">
        <v>U.S. Passport</v>
      </c>
      <c r="AX71">
        <v>45523</v>
      </c>
      <c r="AY71" t="str">
        <v>BOF Onboarding Team</v>
      </c>
      <c r="AZ71" t="str">
        <v>Complete</v>
      </c>
      <c r="BB71" t="str">
        <v>Individual/Sole Proprietor</v>
      </c>
      <c r="BC71" t="str">
        <v>SSN</v>
      </c>
      <c r="BD71" t="str">
        <v>***-**-0112</v>
      </c>
      <c r="BF71">
        <v>45523</v>
      </c>
      <c r="BG71" t="str">
        <v>Received</v>
      </c>
      <c r="BH71" t="str">
        <v>Checking</v>
      </c>
      <c r="BI71" t="str">
        <v>Direct Deposit</v>
      </c>
      <c r="BJ71">
        <v>45523</v>
      </c>
      <c r="BK71" t="str">
        <v>Verified</v>
      </c>
      <c r="BL71">
        <v>45516</v>
      </c>
      <c r="BM71" t="str">
        <v>P. Mitchell</v>
      </c>
      <c r="BN71" t="str">
        <v>Sleeper tractor</v>
      </c>
      <c r="BO71" t="str">
        <v>53 ft reefer</v>
      </c>
      <c r="BP71" t="str">
        <v>Chicago, IL</v>
      </c>
      <c r="BQ71">
        <v>4</v>
      </c>
      <c r="BR71">
        <v>5</v>
      </c>
      <c r="BS71">
        <v>4</v>
      </c>
      <c r="BT71">
        <v>4</v>
      </c>
      <c r="BU71">
        <v>5</v>
      </c>
      <c r="BV71">
        <v>5</v>
      </c>
      <c r="BW71">
        <v>4</v>
      </c>
      <c r="BX71">
        <v>5</v>
      </c>
      <c r="BY71">
        <v>4</v>
      </c>
      <c r="BZ71" t="str">
        <v>Pass</v>
      </c>
      <c r="CB71" t="str">
        <v>Passed</v>
      </c>
      <c r="CC71" t="str">
        <v>Enrolled</v>
      </c>
      <c r="CD71" t="str">
        <v>Query Completed</v>
      </c>
      <c r="CE71">
        <v>46037</v>
      </c>
      <c r="CF71">
        <v>46218</v>
      </c>
      <c r="CH71" t="str">
        <v>Compliant</v>
      </c>
      <c r="CJ71" t="str">
        <v>Noah</v>
      </c>
      <c r="CK71" t="str">
        <v>Wilson</v>
      </c>
      <c r="CL71" t="str">
        <v>IL0000055</v>
      </c>
      <c r="CM71" t="str">
        <v>IL</v>
      </c>
      <c r="CN71" t="str">
        <v>CDL Holder</v>
      </c>
      <c r="CO71" t="str">
        <v>Noah Wilson</v>
      </c>
      <c r="CP71">
        <v>46022</v>
      </c>
      <c r="CQ71">
        <v>46752</v>
      </c>
      <c r="CR71" t="str">
        <v>(312) 555-0109</v>
      </c>
      <c r="CS71" t="str">
        <v>Dr. Shannon Cole</v>
      </c>
      <c r="CT71">
        <v>46022</v>
      </c>
      <c r="CU71" t="str">
        <v>IL-ME-366300</v>
      </c>
      <c r="CV71" t="str">
        <v>ME100010</v>
      </c>
      <c r="CW71" t="str">
        <v>DO</v>
      </c>
      <c r="CX71" t="str">
        <v>IL</v>
      </c>
      <c r="CY71" t="str">
        <v>Federal Motor Carrier Safety Regulations</v>
      </c>
      <c r="DA71" t="str">
        <v>No</v>
      </c>
      <c r="DB71" t="str">
        <v>No</v>
      </c>
      <c r="DC71" t="str">
        <v>No</v>
      </c>
      <c r="DD71" t="str">
        <v>No</v>
      </c>
      <c r="DE71" t="str">
        <v>No</v>
      </c>
      <c r="DF71" t="str">
        <v>No</v>
      </c>
      <c r="DG71" t="str">
        <v>Jane Doe</v>
      </c>
      <c r="DH71" t="str">
        <v>Sister</v>
      </c>
      <c r="DI71" t="str">
        <v>555-555-5555</v>
      </c>
      <c r="DJ71" t="str">
        <v>No</v>
      </c>
      <c r="DK71" t="str">
        <v>No</v>
      </c>
      <c r="DL71" t="str">
        <v>No</v>
      </c>
      <c r="DM71" t="str">
        <v>No</v>
      </c>
      <c r="DN71" t="str">
        <v>Yes - Appendectomy (2005)</v>
      </c>
      <c r="DO71" t="str">
        <v>20/20</v>
      </c>
      <c r="DP71" t="str">
        <v>20/20</v>
      </c>
      <c r="DQ71" t="str">
        <v>Pass</v>
      </c>
      <c r="DR71" t="str">
        <v>118</v>
      </c>
      <c r="DS71" t="str">
        <v>78</v>
      </c>
      <c r="DT71" t="str">
        <v>72</v>
      </c>
      <c r="DU71" t="str">
        <v>Normal</v>
      </c>
      <c r="DV71">
        <v>45392</v>
      </c>
      <c r="DW71">
        <v>45394</v>
      </c>
      <c r="DX71" t="str">
        <v>Negative</v>
      </c>
      <c r="DY71">
        <v>45397</v>
      </c>
      <c r="DZ71" t="str">
        <v>BOF Fleet Safety &amp; Compliance Policy 2024</v>
      </c>
      <c r="EA71" t="str">
        <v>Complete</v>
      </c>
      <c r="EB71">
        <v>45413</v>
      </c>
    </row>
    <row r="72">
      <c r="A72" t="str">
        <v>DRV-011</v>
      </c>
      <c r="B72" t="str">
        <v>Olivia Lee</v>
      </c>
      <c r="C72" t="str">
        <v>900 Demo Street, Atlanta, GA 30308</v>
      </c>
      <c r="D72" t="str">
        <v>337-555-0100</v>
      </c>
      <c r="E72" t="str">
        <v>***-**-0111</v>
      </c>
      <c r="F72" t="str">
        <v>Bank of America</v>
      </c>
      <c r="G72">
        <v>000000102</v>
      </c>
      <c r="H72">
        <v>999900209</v>
      </c>
      <c r="I72" t="str">
        <v>CDL Summary</v>
      </c>
      <c r="J72" t="str">
        <v>VALID</v>
      </c>
      <c r="K72" t="str">
        <v>GA0000020</v>
      </c>
      <c r="L72">
        <v>46566</v>
      </c>
      <c r="M72">
        <v>46499</v>
      </c>
      <c r="N72">
        <v>46484</v>
      </c>
      <c r="P72" t="str">
        <v>Brown</v>
      </c>
      <c r="Q72" t="str">
        <v>Hazel</v>
      </c>
      <c r="R72" t="str">
        <v>5'-5"</v>
      </c>
      <c r="S72">
        <v>148</v>
      </c>
      <c r="T72" t="str">
        <v>F</v>
      </c>
      <c r="U72">
        <v>24838</v>
      </c>
      <c r="V72" t="str">
        <v>DRV-011.png</v>
      </c>
      <c r="W72" t="str">
        <v>South Asian</v>
      </c>
      <c r="X72" t="str">
        <v>olee@example.com</v>
      </c>
      <c r="Y72" t="str">
        <v>900 Demo Street</v>
      </c>
      <c r="Z72" t="str">
        <v>Atlanta</v>
      </c>
      <c r="AA72" t="str">
        <v>GA</v>
      </c>
      <c r="AB72">
        <v>30308</v>
      </c>
      <c r="AC72" t="str">
        <v>GA</v>
      </c>
      <c r="AD72" t="str">
        <v>Class A</v>
      </c>
      <c r="AE72">
        <v>44744</v>
      </c>
      <c r="AF72" t="str">
        <v>N,T</v>
      </c>
      <c r="AH72">
        <v>45769</v>
      </c>
      <c r="AI72" t="str">
        <v>MC-0110314</v>
      </c>
      <c r="AJ72" t="str">
        <v>Dr. Melissa Tran</v>
      </c>
      <c r="AK72" t="str">
        <v>ME100011</v>
      </c>
      <c r="AM72" t="str">
        <v>Qualified</v>
      </c>
      <c r="AN72">
        <v>46454</v>
      </c>
      <c r="AO72">
        <v>0</v>
      </c>
      <c r="AP72">
        <v>0</v>
      </c>
      <c r="AR72" t="str">
        <v>Clear</v>
      </c>
      <c r="AS72">
        <v>45551</v>
      </c>
      <c r="AT72" t="str">
        <v>Authorized to Work</v>
      </c>
      <c r="AU72" t="str">
        <v>U.S. Passport</v>
      </c>
      <c r="AX72">
        <v>45551</v>
      </c>
      <c r="AY72" t="str">
        <v>BOF Onboarding Team</v>
      </c>
      <c r="AZ72" t="str">
        <v>Complete</v>
      </c>
      <c r="BB72" t="str">
        <v>Individual/Sole Proprietor</v>
      </c>
      <c r="BC72" t="str">
        <v>SSN</v>
      </c>
      <c r="BD72" t="str">
        <v>***-**-0111</v>
      </c>
      <c r="BF72">
        <v>45551</v>
      </c>
      <c r="BG72" t="str">
        <v>Received</v>
      </c>
      <c r="BH72" t="str">
        <v>Savings</v>
      </c>
      <c r="BI72" t="str">
        <v>Direct Deposit</v>
      </c>
      <c r="BJ72">
        <v>45551</v>
      </c>
      <c r="BK72" t="str">
        <v>Verified</v>
      </c>
      <c r="BL72">
        <v>45544</v>
      </c>
      <c r="BM72" t="str">
        <v>C. Nguyen</v>
      </c>
      <c r="BN72" t="str">
        <v>Day cab tractor</v>
      </c>
      <c r="BO72" t="str">
        <v>53 ft dry van</v>
      </c>
      <c r="BP72" t="str">
        <v>Atlanta, GA</v>
      </c>
      <c r="BQ72">
        <v>5</v>
      </c>
      <c r="BR72">
        <v>5</v>
      </c>
      <c r="BS72">
        <v>4</v>
      </c>
      <c r="BT72">
        <v>5</v>
      </c>
      <c r="BU72">
        <v>5</v>
      </c>
      <c r="BV72">
        <v>5</v>
      </c>
      <c r="BW72">
        <v>4</v>
      </c>
      <c r="BX72">
        <v>5</v>
      </c>
      <c r="BY72">
        <v>5</v>
      </c>
      <c r="BZ72" t="str">
        <v>Pass</v>
      </c>
      <c r="CB72" t="str">
        <v>Passed</v>
      </c>
      <c r="CC72" t="str">
        <v>Enrolled</v>
      </c>
      <c r="CD72" t="str">
        <v>Query Completed</v>
      </c>
      <c r="CE72">
        <v>46037</v>
      </c>
      <c r="CF72">
        <v>46218</v>
      </c>
      <c r="CH72" t="str">
        <v>Compliant</v>
      </c>
      <c r="CJ72" t="str">
        <v>Olivia</v>
      </c>
      <c r="CK72" t="str">
        <v>Lee</v>
      </c>
      <c r="CL72" t="str">
        <v>GA0000020</v>
      </c>
      <c r="CM72" t="str">
        <v>GA</v>
      </c>
      <c r="CN72" t="str">
        <v>CDL Holder</v>
      </c>
      <c r="CO72" t="str">
        <v>Olivia Lee</v>
      </c>
      <c r="CP72">
        <v>45769</v>
      </c>
      <c r="CQ72">
        <v>46499</v>
      </c>
      <c r="CR72" t="str">
        <v>(404) 555-0100</v>
      </c>
      <c r="CS72" t="str">
        <v>Dr. Melissa Tran</v>
      </c>
      <c r="CT72">
        <v>45769</v>
      </c>
      <c r="CU72" t="str">
        <v>GA-ME-601747</v>
      </c>
      <c r="CV72" t="str">
        <v>ME100011</v>
      </c>
      <c r="CW72" t="str">
        <v>Advanced Practice Nurse</v>
      </c>
      <c r="CX72" t="str">
        <v>GA</v>
      </c>
      <c r="CY72" t="str">
        <v>Federal Motor Carrier Safety Regulations</v>
      </c>
      <c r="DA72" t="str">
        <v>No</v>
      </c>
      <c r="DB72" t="str">
        <v>No</v>
      </c>
      <c r="DC72" t="str">
        <v>No</v>
      </c>
      <c r="DD72" t="str">
        <v>No</v>
      </c>
      <c r="DE72" t="str">
        <v>No</v>
      </c>
      <c r="DF72" t="str">
        <v>No</v>
      </c>
      <c r="DG72" t="str">
        <v>Jane Doe</v>
      </c>
      <c r="DH72" t="str">
        <v>Sister</v>
      </c>
      <c r="DI72" t="str">
        <v>555-555-5555</v>
      </c>
      <c r="DJ72" t="str">
        <v>No</v>
      </c>
      <c r="DK72" t="str">
        <v>No</v>
      </c>
      <c r="DL72" t="str">
        <v>No</v>
      </c>
      <c r="DM72" t="str">
        <v>No</v>
      </c>
      <c r="DN72" t="str">
        <v>Yes - Appendectomy (2005)</v>
      </c>
      <c r="DO72" t="str">
        <v>20/20</v>
      </c>
      <c r="DP72" t="str">
        <v>20/20</v>
      </c>
      <c r="DQ72" t="str">
        <v>Pass</v>
      </c>
      <c r="DR72" t="str">
        <v>118</v>
      </c>
      <c r="DS72" t="str">
        <v>78</v>
      </c>
      <c r="DT72" t="str">
        <v>72</v>
      </c>
      <c r="DU72" t="str">
        <v>Normal</v>
      </c>
      <c r="DV72">
        <v>45392</v>
      </c>
      <c r="DW72">
        <v>45394</v>
      </c>
      <c r="DX72" t="str">
        <v>Negative</v>
      </c>
      <c r="DY72">
        <v>45397</v>
      </c>
      <c r="DZ72" t="str">
        <v>BOF Fleet Safety &amp; Compliance Policy 2024</v>
      </c>
      <c r="EA72" t="str">
        <v>Complete</v>
      </c>
      <c r="EB72">
        <v>45413</v>
      </c>
    </row>
    <row r="73">
      <c r="A73" t="str">
        <v>DRV-011</v>
      </c>
      <c r="B73" t="str">
        <v>Olivia Lee</v>
      </c>
      <c r="C73" t="str">
        <v>900 Demo Street, Atlanta, GA 30308</v>
      </c>
      <c r="D73" t="str">
        <v>337-555-0100</v>
      </c>
      <c r="E73" t="str">
        <v>***-**-0111</v>
      </c>
      <c r="F73" t="str">
        <v>Bank of America</v>
      </c>
      <c r="G73">
        <v>000000102</v>
      </c>
      <c r="H73">
        <v>999900209</v>
      </c>
      <c r="I73" t="str">
        <v>Medical Certification</v>
      </c>
      <c r="J73" t="str">
        <v>VALID</v>
      </c>
      <c r="K73" t="str">
        <v>GA0000007</v>
      </c>
      <c r="L73">
        <v>46566</v>
      </c>
      <c r="M73">
        <v>46499</v>
      </c>
      <c r="N73">
        <v>46484</v>
      </c>
      <c r="P73" t="str">
        <v>Brown</v>
      </c>
      <c r="Q73" t="str">
        <v>Hazel</v>
      </c>
      <c r="R73" t="str">
        <v>5'-5"</v>
      </c>
      <c r="S73">
        <v>148</v>
      </c>
      <c r="T73" t="str">
        <v>F</v>
      </c>
      <c r="U73">
        <v>24838</v>
      </c>
      <c r="V73" t="str">
        <v>DRV-011.png</v>
      </c>
      <c r="W73" t="str">
        <v>South Asian</v>
      </c>
      <c r="X73" t="str">
        <v>olee@example.com</v>
      </c>
      <c r="Y73" t="str">
        <v>900 Demo Street</v>
      </c>
      <c r="Z73" t="str">
        <v>Atlanta</v>
      </c>
      <c r="AA73" t="str">
        <v>GA</v>
      </c>
      <c r="AB73">
        <v>30308</v>
      </c>
      <c r="AC73" t="str">
        <v>GA</v>
      </c>
      <c r="AD73" t="str">
        <v>Class A</v>
      </c>
      <c r="AE73">
        <v>44744</v>
      </c>
      <c r="AF73" t="str">
        <v>N,T</v>
      </c>
      <c r="AH73">
        <v>45769</v>
      </c>
      <c r="AI73" t="str">
        <v>MC-0110314</v>
      </c>
      <c r="AJ73" t="str">
        <v>Dr. Melissa Tran</v>
      </c>
      <c r="AK73" t="str">
        <v>ME100011</v>
      </c>
      <c r="AM73" t="str">
        <v>Qualified</v>
      </c>
      <c r="AN73">
        <v>46454</v>
      </c>
      <c r="AO73">
        <v>0</v>
      </c>
      <c r="AP73">
        <v>0</v>
      </c>
      <c r="AR73" t="str">
        <v>Clear</v>
      </c>
      <c r="AS73">
        <v>45551</v>
      </c>
      <c r="AT73" t="str">
        <v>Authorized to Work</v>
      </c>
      <c r="AU73" t="str">
        <v>U.S. Passport</v>
      </c>
      <c r="AX73">
        <v>45551</v>
      </c>
      <c r="AY73" t="str">
        <v>BOF Onboarding Team</v>
      </c>
      <c r="AZ73" t="str">
        <v>Complete</v>
      </c>
      <c r="BB73" t="str">
        <v>Individual/Sole Proprietor</v>
      </c>
      <c r="BC73" t="str">
        <v>SSN</v>
      </c>
      <c r="BD73" t="str">
        <v>***-**-0111</v>
      </c>
      <c r="BF73">
        <v>45551</v>
      </c>
      <c r="BG73" t="str">
        <v>Received</v>
      </c>
      <c r="BH73" t="str">
        <v>Savings</v>
      </c>
      <c r="BI73" t="str">
        <v>Direct Deposit</v>
      </c>
      <c r="BJ73">
        <v>45551</v>
      </c>
      <c r="BK73" t="str">
        <v>Verified</v>
      </c>
      <c r="BL73">
        <v>45544</v>
      </c>
      <c r="BM73" t="str">
        <v>C. Nguyen</v>
      </c>
      <c r="BN73" t="str">
        <v>Day cab tractor</v>
      </c>
      <c r="BO73" t="str">
        <v>53 ft dry van</v>
      </c>
      <c r="BP73" t="str">
        <v>Atlanta, GA</v>
      </c>
      <c r="BQ73">
        <v>5</v>
      </c>
      <c r="BR73">
        <v>5</v>
      </c>
      <c r="BS73">
        <v>4</v>
      </c>
      <c r="BT73">
        <v>5</v>
      </c>
      <c r="BU73">
        <v>5</v>
      </c>
      <c r="BV73">
        <v>5</v>
      </c>
      <c r="BW73">
        <v>4</v>
      </c>
      <c r="BX73">
        <v>5</v>
      </c>
      <c r="BY73">
        <v>5</v>
      </c>
      <c r="BZ73" t="str">
        <v>Pass</v>
      </c>
      <c r="CB73" t="str">
        <v>Passed</v>
      </c>
      <c r="CC73" t="str">
        <v>Enrolled</v>
      </c>
      <c r="CD73" t="str">
        <v>Query Completed</v>
      </c>
      <c r="CE73">
        <v>46037</v>
      </c>
      <c r="CF73">
        <v>46218</v>
      </c>
      <c r="CH73" t="str">
        <v>Compliant</v>
      </c>
      <c r="CJ73" t="str">
        <v>Olivia</v>
      </c>
      <c r="CK73" t="str">
        <v>Lee</v>
      </c>
      <c r="CL73" t="str">
        <v>GA0000021</v>
      </c>
      <c r="CM73" t="str">
        <v>GA</v>
      </c>
      <c r="CN73" t="str">
        <v>CDL Holder</v>
      </c>
      <c r="CO73" t="str">
        <v>Olivia Lee</v>
      </c>
      <c r="CP73">
        <v>45769</v>
      </c>
      <c r="CQ73">
        <v>46499</v>
      </c>
      <c r="CR73" t="str">
        <v>(404) 555-0100</v>
      </c>
      <c r="CS73" t="str">
        <v>Dr. Melissa Tran</v>
      </c>
      <c r="CT73">
        <v>45769</v>
      </c>
      <c r="CU73" t="str">
        <v>GA-ME-601747</v>
      </c>
      <c r="CV73" t="str">
        <v>ME100011</v>
      </c>
      <c r="CW73" t="str">
        <v>Advanced Practice Nurse</v>
      </c>
      <c r="CX73" t="str">
        <v>GA</v>
      </c>
      <c r="CY73" t="str">
        <v>Federal Motor Carrier Safety Regulations</v>
      </c>
      <c r="DA73" t="str">
        <v>No</v>
      </c>
      <c r="DB73" t="str">
        <v>No</v>
      </c>
      <c r="DC73" t="str">
        <v>No</v>
      </c>
      <c r="DD73" t="str">
        <v>No</v>
      </c>
      <c r="DE73" t="str">
        <v>No</v>
      </c>
      <c r="DF73" t="str">
        <v>No</v>
      </c>
      <c r="DG73" t="str">
        <v>Jane Doe</v>
      </c>
      <c r="DH73" t="str">
        <v>Sister</v>
      </c>
      <c r="DI73" t="str">
        <v>555-555-5555</v>
      </c>
      <c r="DJ73" t="str">
        <v>No</v>
      </c>
      <c r="DK73" t="str">
        <v>No</v>
      </c>
      <c r="DL73" t="str">
        <v>No</v>
      </c>
      <c r="DM73" t="str">
        <v>No</v>
      </c>
      <c r="DN73" t="str">
        <v>Yes - Appendectomy (2005)</v>
      </c>
      <c r="DO73" t="str">
        <v>20/20</v>
      </c>
      <c r="DP73" t="str">
        <v>20/20</v>
      </c>
      <c r="DQ73" t="str">
        <v>Pass</v>
      </c>
      <c r="DR73" t="str">
        <v>118</v>
      </c>
      <c r="DS73" t="str">
        <v>78</v>
      </c>
      <c r="DT73" t="str">
        <v>72</v>
      </c>
      <c r="DU73" t="str">
        <v>Normal</v>
      </c>
      <c r="DV73">
        <v>45392</v>
      </c>
      <c r="DW73">
        <v>45394</v>
      </c>
      <c r="DX73" t="str">
        <v>Negative</v>
      </c>
      <c r="DY73">
        <v>45397</v>
      </c>
      <c r="DZ73" t="str">
        <v>BOF Fleet Safety &amp; Compliance Policy 2024</v>
      </c>
      <c r="EA73" t="str">
        <v>Complete</v>
      </c>
      <c r="EB73">
        <v>45413</v>
      </c>
    </row>
    <row r="74">
      <c r="A74" t="str">
        <v>DRV-011</v>
      </c>
      <c r="B74" t="str">
        <v>Olivia Lee</v>
      </c>
      <c r="C74" t="str">
        <v>900 Demo Street, Atlanta, GA 30308</v>
      </c>
      <c r="D74" t="str">
        <v>337-555-0100</v>
      </c>
      <c r="E74" t="str">
        <v>***-**-0111</v>
      </c>
      <c r="F74" t="str">
        <v>Bank of America</v>
      </c>
      <c r="G74">
        <v>000000102</v>
      </c>
      <c r="H74">
        <v>999900209</v>
      </c>
      <c r="I74" t="str">
        <v>MVR Background Report</v>
      </c>
      <c r="J74" t="str">
        <v>VALID</v>
      </c>
      <c r="K74" t="str">
        <v>GA0000009</v>
      </c>
      <c r="L74">
        <v>46566</v>
      </c>
      <c r="M74">
        <v>46499</v>
      </c>
      <c r="N74">
        <v>46484</v>
      </c>
      <c r="P74" t="str">
        <v>Brown</v>
      </c>
      <c r="Q74" t="str">
        <v>Hazel</v>
      </c>
      <c r="R74" t="str">
        <v>5'-5"</v>
      </c>
      <c r="S74">
        <v>148</v>
      </c>
      <c r="T74" t="str">
        <v>F</v>
      </c>
      <c r="U74">
        <v>24838</v>
      </c>
      <c r="V74" t="str">
        <v>DRV-011.png</v>
      </c>
      <c r="W74" t="str">
        <v>South Asian</v>
      </c>
      <c r="X74" t="str">
        <v>olee@example.com</v>
      </c>
      <c r="Y74" t="str">
        <v>900 Demo Street</v>
      </c>
      <c r="Z74" t="str">
        <v>Atlanta</v>
      </c>
      <c r="AA74" t="str">
        <v>GA</v>
      </c>
      <c r="AB74">
        <v>30308</v>
      </c>
      <c r="AC74" t="str">
        <v>GA</v>
      </c>
      <c r="AD74" t="str">
        <v>Class A</v>
      </c>
      <c r="AE74">
        <v>44744</v>
      </c>
      <c r="AF74" t="str">
        <v>N,T</v>
      </c>
      <c r="AH74">
        <v>45769</v>
      </c>
      <c r="AI74" t="str">
        <v>MC-0110314</v>
      </c>
      <c r="AJ74" t="str">
        <v>Dr. Melissa Tran</v>
      </c>
      <c r="AK74" t="str">
        <v>ME100011</v>
      </c>
      <c r="AM74" t="str">
        <v>Qualified</v>
      </c>
      <c r="AN74">
        <v>46454</v>
      </c>
      <c r="AO74">
        <v>0</v>
      </c>
      <c r="AP74">
        <v>0</v>
      </c>
      <c r="AR74" t="str">
        <v>Clear</v>
      </c>
      <c r="AS74">
        <v>45551</v>
      </c>
      <c r="AT74" t="str">
        <v>Authorized to Work</v>
      </c>
      <c r="AU74" t="str">
        <v>U.S. Passport</v>
      </c>
      <c r="AX74">
        <v>45551</v>
      </c>
      <c r="AY74" t="str">
        <v>BOF Onboarding Team</v>
      </c>
      <c r="AZ74" t="str">
        <v>Complete</v>
      </c>
      <c r="BB74" t="str">
        <v>Individual/Sole Proprietor</v>
      </c>
      <c r="BC74" t="str">
        <v>SSN</v>
      </c>
      <c r="BD74" t="str">
        <v>***-**-0111</v>
      </c>
      <c r="BF74">
        <v>45551</v>
      </c>
      <c r="BG74" t="str">
        <v>Received</v>
      </c>
      <c r="BH74" t="str">
        <v>Savings</v>
      </c>
      <c r="BI74" t="str">
        <v>Direct Deposit</v>
      </c>
      <c r="BJ74">
        <v>45551</v>
      </c>
      <c r="BK74" t="str">
        <v>Verified</v>
      </c>
      <c r="BL74">
        <v>45544</v>
      </c>
      <c r="BM74" t="str">
        <v>C. Nguyen</v>
      </c>
      <c r="BN74" t="str">
        <v>Day cab tractor</v>
      </c>
      <c r="BO74" t="str">
        <v>53 ft dry van</v>
      </c>
      <c r="BP74" t="str">
        <v>Atlanta, GA</v>
      </c>
      <c r="BQ74">
        <v>5</v>
      </c>
      <c r="BR74">
        <v>5</v>
      </c>
      <c r="BS74">
        <v>4</v>
      </c>
      <c r="BT74">
        <v>5</v>
      </c>
      <c r="BU74">
        <v>5</v>
      </c>
      <c r="BV74">
        <v>5</v>
      </c>
      <c r="BW74">
        <v>4</v>
      </c>
      <c r="BX74">
        <v>5</v>
      </c>
      <c r="BY74">
        <v>5</v>
      </c>
      <c r="BZ74" t="str">
        <v>Pass</v>
      </c>
      <c r="CB74" t="str">
        <v>Passed</v>
      </c>
      <c r="CC74" t="str">
        <v>Enrolled</v>
      </c>
      <c r="CD74" t="str">
        <v>Query Completed</v>
      </c>
      <c r="CE74">
        <v>46037</v>
      </c>
      <c r="CF74">
        <v>46218</v>
      </c>
      <c r="CH74" t="str">
        <v>Compliant</v>
      </c>
      <c r="CJ74" t="str">
        <v>Olivia</v>
      </c>
      <c r="CK74" t="str">
        <v>Lee</v>
      </c>
      <c r="CL74" t="str">
        <v>GA0000022</v>
      </c>
      <c r="CM74" t="str">
        <v>GA</v>
      </c>
      <c r="CN74" t="str">
        <v>CDL Holder</v>
      </c>
      <c r="CO74" t="str">
        <v>Olivia Lee</v>
      </c>
      <c r="CP74">
        <v>45769</v>
      </c>
      <c r="CQ74">
        <v>46499</v>
      </c>
      <c r="CR74" t="str">
        <v>(404) 555-0100</v>
      </c>
      <c r="CS74" t="str">
        <v>Dr. Melissa Tran</v>
      </c>
      <c r="CT74">
        <v>45769</v>
      </c>
      <c r="CU74" t="str">
        <v>GA-ME-601747</v>
      </c>
      <c r="CV74" t="str">
        <v>ME100011</v>
      </c>
      <c r="CW74" t="str">
        <v>Advanced Practice Nurse</v>
      </c>
      <c r="CX74" t="str">
        <v>GA</v>
      </c>
      <c r="CY74" t="str">
        <v>Federal Motor Carrier Safety Regulations</v>
      </c>
      <c r="DA74" t="str">
        <v>No</v>
      </c>
      <c r="DB74" t="str">
        <v>No</v>
      </c>
      <c r="DC74" t="str">
        <v>No</v>
      </c>
      <c r="DD74" t="str">
        <v>No</v>
      </c>
      <c r="DE74" t="str">
        <v>No</v>
      </c>
      <c r="DF74" t="str">
        <v>No</v>
      </c>
      <c r="DG74" t="str">
        <v>Jane Doe</v>
      </c>
      <c r="DH74" t="str">
        <v>Sister</v>
      </c>
      <c r="DI74" t="str">
        <v>555-555-5555</v>
      </c>
      <c r="DJ74" t="str">
        <v>No</v>
      </c>
      <c r="DK74" t="str">
        <v>No</v>
      </c>
      <c r="DL74" t="str">
        <v>No</v>
      </c>
      <c r="DM74" t="str">
        <v>No</v>
      </c>
      <c r="DN74" t="str">
        <v>Yes - Appendectomy (2005)</v>
      </c>
      <c r="DO74" t="str">
        <v>20/20</v>
      </c>
      <c r="DP74" t="str">
        <v>20/20</v>
      </c>
      <c r="DQ74" t="str">
        <v>Pass</v>
      </c>
      <c r="DR74" t="str">
        <v>118</v>
      </c>
      <c r="DS74" t="str">
        <v>78</v>
      </c>
      <c r="DT74" t="str">
        <v>72</v>
      </c>
      <c r="DU74" t="str">
        <v>Normal</v>
      </c>
      <c r="DV74">
        <v>45392</v>
      </c>
      <c r="DW74">
        <v>45394</v>
      </c>
      <c r="DX74" t="str">
        <v>Negative</v>
      </c>
      <c r="DY74">
        <v>45397</v>
      </c>
      <c r="DZ74" t="str">
        <v>BOF Fleet Safety &amp; Compliance Policy 2024</v>
      </c>
      <c r="EA74" t="str">
        <v>Complete</v>
      </c>
      <c r="EB74">
        <v>45413</v>
      </c>
    </row>
    <row r="75">
      <c r="A75" t="str">
        <v>DRV-011</v>
      </c>
      <c r="B75" t="str">
        <v>Olivia Lee</v>
      </c>
      <c r="C75" t="str">
        <v>900 Demo Street, Atlanta, GA 30308</v>
      </c>
      <c r="D75" t="str">
        <v>337-555-0100</v>
      </c>
      <c r="E75" t="str">
        <v>***-**-0111</v>
      </c>
      <c r="F75" t="str">
        <v>Bank of America</v>
      </c>
      <c r="G75">
        <v>000000102</v>
      </c>
      <c r="H75">
        <v>999900209</v>
      </c>
      <c r="I75" t="str">
        <v>Driver Application</v>
      </c>
      <c r="J75" t="str">
        <v>VALID</v>
      </c>
      <c r="K75" t="str">
        <v>GA0000010</v>
      </c>
      <c r="L75">
        <v>46566</v>
      </c>
      <c r="M75">
        <v>46499</v>
      </c>
      <c r="N75">
        <v>46484</v>
      </c>
      <c r="P75" t="str">
        <v>Brown</v>
      </c>
      <c r="Q75" t="str">
        <v>Hazel</v>
      </c>
      <c r="R75" t="str">
        <v>5'-5"</v>
      </c>
      <c r="S75">
        <v>148</v>
      </c>
      <c r="T75" t="str">
        <v>F</v>
      </c>
      <c r="U75">
        <v>24838</v>
      </c>
      <c r="V75" t="str">
        <v>DRV-011.png</v>
      </c>
      <c r="W75" t="str">
        <v>South Asian</v>
      </c>
      <c r="X75" t="str">
        <v>olee@example.com</v>
      </c>
      <c r="Y75" t="str">
        <v>900 Demo Street</v>
      </c>
      <c r="Z75" t="str">
        <v>Atlanta</v>
      </c>
      <c r="AA75" t="str">
        <v>GA</v>
      </c>
      <c r="AB75">
        <v>30308</v>
      </c>
      <c r="AC75" t="str">
        <v>GA</v>
      </c>
      <c r="AD75" t="str">
        <v>Class A</v>
      </c>
      <c r="AE75">
        <v>44744</v>
      </c>
      <c r="AF75" t="str">
        <v>N,T</v>
      </c>
      <c r="AH75">
        <v>45769</v>
      </c>
      <c r="AI75" t="str">
        <v>MC-0110314</v>
      </c>
      <c r="AJ75" t="str">
        <v>Dr. Melissa Tran</v>
      </c>
      <c r="AK75" t="str">
        <v>ME100011</v>
      </c>
      <c r="AM75" t="str">
        <v>Qualified</v>
      </c>
      <c r="AN75">
        <v>46454</v>
      </c>
      <c r="AO75">
        <v>0</v>
      </c>
      <c r="AP75">
        <v>0</v>
      </c>
      <c r="AR75" t="str">
        <v>Clear</v>
      </c>
      <c r="AS75">
        <v>45551</v>
      </c>
      <c r="AT75" t="str">
        <v>Authorized to Work</v>
      </c>
      <c r="AU75" t="str">
        <v>U.S. Passport</v>
      </c>
      <c r="AX75">
        <v>45551</v>
      </c>
      <c r="AY75" t="str">
        <v>BOF Onboarding Team</v>
      </c>
      <c r="AZ75" t="str">
        <v>Complete</v>
      </c>
      <c r="BB75" t="str">
        <v>Individual/Sole Proprietor</v>
      </c>
      <c r="BC75" t="str">
        <v>SSN</v>
      </c>
      <c r="BD75" t="str">
        <v>***-**-0111</v>
      </c>
      <c r="BF75">
        <v>45551</v>
      </c>
      <c r="BG75" t="str">
        <v>Received</v>
      </c>
      <c r="BH75" t="str">
        <v>Savings</v>
      </c>
      <c r="BI75" t="str">
        <v>Direct Deposit</v>
      </c>
      <c r="BJ75">
        <v>45551</v>
      </c>
      <c r="BK75" t="str">
        <v>Verified</v>
      </c>
      <c r="BL75">
        <v>45544</v>
      </c>
      <c r="BM75" t="str">
        <v>C. Nguyen</v>
      </c>
      <c r="BN75" t="str">
        <v>Day cab tractor</v>
      </c>
      <c r="BO75" t="str">
        <v>53 ft dry van</v>
      </c>
      <c r="BP75" t="str">
        <v>Atlanta, GA</v>
      </c>
      <c r="BQ75">
        <v>5</v>
      </c>
      <c r="BR75">
        <v>5</v>
      </c>
      <c r="BS75">
        <v>4</v>
      </c>
      <c r="BT75">
        <v>5</v>
      </c>
      <c r="BU75">
        <v>5</v>
      </c>
      <c r="BV75">
        <v>5</v>
      </c>
      <c r="BW75">
        <v>4</v>
      </c>
      <c r="BX75">
        <v>5</v>
      </c>
      <c r="BY75">
        <v>5</v>
      </c>
      <c r="BZ75" t="str">
        <v>Pass</v>
      </c>
      <c r="CB75" t="str">
        <v>Passed</v>
      </c>
      <c r="CC75" t="str">
        <v>Enrolled</v>
      </c>
      <c r="CD75" t="str">
        <v>Query Completed</v>
      </c>
      <c r="CE75">
        <v>46037</v>
      </c>
      <c r="CF75">
        <v>46218</v>
      </c>
      <c r="CH75" t="str">
        <v>Compliant</v>
      </c>
      <c r="CJ75" t="str">
        <v>Olivia</v>
      </c>
      <c r="CK75" t="str">
        <v>Lee</v>
      </c>
      <c r="CL75" t="str">
        <v>GA0000023</v>
      </c>
      <c r="CM75" t="str">
        <v>GA</v>
      </c>
      <c r="CN75" t="str">
        <v>CDL Holder</v>
      </c>
      <c r="CO75" t="str">
        <v>Olivia Lee</v>
      </c>
      <c r="CP75">
        <v>45769</v>
      </c>
      <c r="CQ75">
        <v>46499</v>
      </c>
      <c r="CR75" t="str">
        <v>(404) 555-0100</v>
      </c>
      <c r="CS75" t="str">
        <v>Dr. Melissa Tran</v>
      </c>
      <c r="CT75">
        <v>45769</v>
      </c>
      <c r="CU75" t="str">
        <v>GA-ME-601747</v>
      </c>
      <c r="CV75" t="str">
        <v>ME100011</v>
      </c>
      <c r="CW75" t="str">
        <v>Advanced Practice Nurse</v>
      </c>
      <c r="CX75" t="str">
        <v>GA</v>
      </c>
      <c r="CY75" t="str">
        <v>Federal Motor Carrier Safety Regulations</v>
      </c>
      <c r="DA75" t="str">
        <v>No</v>
      </c>
      <c r="DB75" t="str">
        <v>No</v>
      </c>
      <c r="DC75" t="str">
        <v>No</v>
      </c>
      <c r="DD75" t="str">
        <v>No</v>
      </c>
      <c r="DE75" t="str">
        <v>No</v>
      </c>
      <c r="DF75" t="str">
        <v>No</v>
      </c>
      <c r="DG75" t="str">
        <v>Jane Doe</v>
      </c>
      <c r="DH75" t="str">
        <v>Sister</v>
      </c>
      <c r="DI75" t="str">
        <v>555-555-5555</v>
      </c>
      <c r="DJ75" t="str">
        <v>No</v>
      </c>
      <c r="DK75" t="str">
        <v>No</v>
      </c>
      <c r="DL75" t="str">
        <v>No</v>
      </c>
      <c r="DM75" t="str">
        <v>No</v>
      </c>
      <c r="DN75" t="str">
        <v>Yes - Appendectomy (2005)</v>
      </c>
      <c r="DO75" t="str">
        <v>20/20</v>
      </c>
      <c r="DP75" t="str">
        <v>20/20</v>
      </c>
      <c r="DQ75" t="str">
        <v>Pass</v>
      </c>
      <c r="DR75" t="str">
        <v>118</v>
      </c>
      <c r="DS75" t="str">
        <v>78</v>
      </c>
      <c r="DT75" t="str">
        <v>72</v>
      </c>
      <c r="DU75" t="str">
        <v>Normal</v>
      </c>
      <c r="DV75">
        <v>45392</v>
      </c>
      <c r="DW75">
        <v>45394</v>
      </c>
      <c r="DX75" t="str">
        <v>Negative</v>
      </c>
      <c r="DY75">
        <v>45397</v>
      </c>
      <c r="DZ75" t="str">
        <v>BOF Fleet Safety &amp; Compliance Policy 2024</v>
      </c>
      <c r="EA75" t="str">
        <v>Complete</v>
      </c>
      <c r="EB75">
        <v>45413</v>
      </c>
    </row>
    <row r="76">
      <c r="A76" t="str">
        <v>DRV-011</v>
      </c>
      <c r="B76" t="str">
        <v>Olivia Lee</v>
      </c>
      <c r="C76" t="str">
        <v>900 Demo Street, Atlanta, GA 30308</v>
      </c>
      <c r="D76" t="str">
        <v>337-555-0100</v>
      </c>
      <c r="E76" t="str">
        <v>***-**-0111</v>
      </c>
      <c r="F76" t="str">
        <v>Bank of America</v>
      </c>
      <c r="G76">
        <v>000000102</v>
      </c>
      <c r="H76">
        <v>999900209</v>
      </c>
      <c r="I76" t="str">
        <v>Road Test Certificate</v>
      </c>
      <c r="J76" t="str">
        <v>VALID</v>
      </c>
      <c r="K76" t="str">
        <v>GA0000012</v>
      </c>
      <c r="L76">
        <v>46566</v>
      </c>
      <c r="M76">
        <v>46499</v>
      </c>
      <c r="N76">
        <v>46484</v>
      </c>
      <c r="P76" t="str">
        <v>Brown</v>
      </c>
      <c r="Q76" t="str">
        <v>Hazel</v>
      </c>
      <c r="R76" t="str">
        <v>5'-5"</v>
      </c>
      <c r="S76">
        <v>148</v>
      </c>
      <c r="T76" t="str">
        <v>F</v>
      </c>
      <c r="U76">
        <v>24838</v>
      </c>
      <c r="V76" t="str">
        <v>DRV-011.png</v>
      </c>
      <c r="W76" t="str">
        <v>South Asian</v>
      </c>
      <c r="X76" t="str">
        <v>olee@example.com</v>
      </c>
      <c r="Y76" t="str">
        <v>900 Demo Street</v>
      </c>
      <c r="Z76" t="str">
        <v>Atlanta</v>
      </c>
      <c r="AA76" t="str">
        <v>GA</v>
      </c>
      <c r="AB76">
        <v>30308</v>
      </c>
      <c r="AC76" t="str">
        <v>GA</v>
      </c>
      <c r="AD76" t="str">
        <v>Class A</v>
      </c>
      <c r="AE76">
        <v>44744</v>
      </c>
      <c r="AF76" t="str">
        <v>N,T</v>
      </c>
      <c r="AH76">
        <v>45769</v>
      </c>
      <c r="AI76" t="str">
        <v>MC-0110314</v>
      </c>
      <c r="AJ76" t="str">
        <v>Dr. Melissa Tran</v>
      </c>
      <c r="AK76" t="str">
        <v>ME100011</v>
      </c>
      <c r="AM76" t="str">
        <v>Qualified</v>
      </c>
      <c r="AN76">
        <v>46454</v>
      </c>
      <c r="AO76">
        <v>0</v>
      </c>
      <c r="AP76">
        <v>0</v>
      </c>
      <c r="AR76" t="str">
        <v>Clear</v>
      </c>
      <c r="AS76">
        <v>45551</v>
      </c>
      <c r="AT76" t="str">
        <v>Authorized to Work</v>
      </c>
      <c r="AU76" t="str">
        <v>U.S. Passport</v>
      </c>
      <c r="AX76">
        <v>45551</v>
      </c>
      <c r="AY76" t="str">
        <v>BOF Onboarding Team</v>
      </c>
      <c r="AZ76" t="str">
        <v>Complete</v>
      </c>
      <c r="BB76" t="str">
        <v>Individual/Sole Proprietor</v>
      </c>
      <c r="BC76" t="str">
        <v>SSN</v>
      </c>
      <c r="BD76" t="str">
        <v>***-**-0111</v>
      </c>
      <c r="BF76">
        <v>45551</v>
      </c>
      <c r="BG76" t="str">
        <v>Received</v>
      </c>
      <c r="BH76" t="str">
        <v>Savings</v>
      </c>
      <c r="BI76" t="str">
        <v>Direct Deposit</v>
      </c>
      <c r="BJ76">
        <v>45551</v>
      </c>
      <c r="BK76" t="str">
        <v>Verified</v>
      </c>
      <c r="BL76">
        <v>45544</v>
      </c>
      <c r="BM76" t="str">
        <v>C. Nguyen</v>
      </c>
      <c r="BN76" t="str">
        <v>Day cab tractor</v>
      </c>
      <c r="BO76" t="str">
        <v>53 ft dry van</v>
      </c>
      <c r="BP76" t="str">
        <v>Atlanta, GA</v>
      </c>
      <c r="BQ76">
        <v>5</v>
      </c>
      <c r="BR76">
        <v>5</v>
      </c>
      <c r="BS76">
        <v>4</v>
      </c>
      <c r="BT76">
        <v>5</v>
      </c>
      <c r="BU76">
        <v>5</v>
      </c>
      <c r="BV76">
        <v>5</v>
      </c>
      <c r="BW76">
        <v>4</v>
      </c>
      <c r="BX76">
        <v>5</v>
      </c>
      <c r="BY76">
        <v>5</v>
      </c>
      <c r="BZ76" t="str">
        <v>Pass</v>
      </c>
      <c r="CB76" t="str">
        <v>Passed</v>
      </c>
      <c r="CC76" t="str">
        <v>Enrolled</v>
      </c>
      <c r="CD76" t="str">
        <v>Query Completed</v>
      </c>
      <c r="CE76">
        <v>46037</v>
      </c>
      <c r="CF76">
        <v>46218</v>
      </c>
      <c r="CH76" t="str">
        <v>Compliant</v>
      </c>
      <c r="CJ76" t="str">
        <v>Olivia</v>
      </c>
      <c r="CK76" t="str">
        <v>Lee</v>
      </c>
      <c r="CL76" t="str">
        <v>GA0000024</v>
      </c>
      <c r="CM76" t="str">
        <v>GA</v>
      </c>
      <c r="CN76" t="str">
        <v>CDL Holder</v>
      </c>
      <c r="CO76" t="str">
        <v>Olivia Lee</v>
      </c>
      <c r="CP76">
        <v>45769</v>
      </c>
      <c r="CQ76">
        <v>46499</v>
      </c>
      <c r="CR76" t="str">
        <v>(404) 555-0100</v>
      </c>
      <c r="CS76" t="str">
        <v>Dr. Melissa Tran</v>
      </c>
      <c r="CT76">
        <v>45769</v>
      </c>
      <c r="CU76" t="str">
        <v>GA-ME-601747</v>
      </c>
      <c r="CV76" t="str">
        <v>ME100011</v>
      </c>
      <c r="CW76" t="str">
        <v>Advanced Practice Nurse</v>
      </c>
      <c r="CX76" t="str">
        <v>GA</v>
      </c>
      <c r="CY76" t="str">
        <v>Federal Motor Carrier Safety Regulations</v>
      </c>
      <c r="DA76" t="str">
        <v>No</v>
      </c>
      <c r="DB76" t="str">
        <v>No</v>
      </c>
      <c r="DC76" t="str">
        <v>No</v>
      </c>
      <c r="DD76" t="str">
        <v>No</v>
      </c>
      <c r="DE76" t="str">
        <v>No</v>
      </c>
      <c r="DF76" t="str">
        <v>No</v>
      </c>
      <c r="DG76" t="str">
        <v>Jane Doe</v>
      </c>
      <c r="DH76" t="str">
        <v>Sister</v>
      </c>
      <c r="DI76" t="str">
        <v>555-555-5555</v>
      </c>
      <c r="DJ76" t="str">
        <v>No</v>
      </c>
      <c r="DK76" t="str">
        <v>No</v>
      </c>
      <c r="DL76" t="str">
        <v>No</v>
      </c>
      <c r="DM76" t="str">
        <v>No</v>
      </c>
      <c r="DN76" t="str">
        <v>Yes - Appendectomy (2005)</v>
      </c>
      <c r="DO76" t="str">
        <v>20/20</v>
      </c>
      <c r="DP76" t="str">
        <v>20/20</v>
      </c>
      <c r="DQ76" t="str">
        <v>Pass</v>
      </c>
      <c r="DR76" t="str">
        <v>118</v>
      </c>
      <c r="DS76" t="str">
        <v>78</v>
      </c>
      <c r="DT76" t="str">
        <v>72</v>
      </c>
      <c r="DU76" t="str">
        <v>Normal</v>
      </c>
      <c r="DV76">
        <v>45392</v>
      </c>
      <c r="DW76">
        <v>45394</v>
      </c>
      <c r="DX76" t="str">
        <v>Negative</v>
      </c>
      <c r="DY76">
        <v>45397</v>
      </c>
      <c r="DZ76" t="str">
        <v>BOF Fleet Safety &amp; Compliance Policy 2024</v>
      </c>
      <c r="EA76" t="str">
        <v>Complete</v>
      </c>
      <c r="EB76">
        <v>45413</v>
      </c>
    </row>
    <row r="77">
      <c r="A77" t="str">
        <v>DRV-011</v>
      </c>
      <c r="B77" t="str">
        <v>Olivia Lee</v>
      </c>
      <c r="C77" t="str">
        <v>900 Demo Street, Atlanta, GA 30308</v>
      </c>
      <c r="D77" t="str">
        <v>337-555-0100</v>
      </c>
      <c r="E77" t="str">
        <v>***-**-0111</v>
      </c>
      <c r="F77" t="str">
        <v>Bank of America</v>
      </c>
      <c r="G77">
        <v>000000102</v>
      </c>
      <c r="H77">
        <v>999900209</v>
      </c>
      <c r="I77" t="str">
        <v>Incident/Accident Report</v>
      </c>
      <c r="J77" t="str">
        <v>VALID</v>
      </c>
      <c r="K77" t="str">
        <v>GA0000008</v>
      </c>
      <c r="L77">
        <v>46566</v>
      </c>
      <c r="M77">
        <v>46499</v>
      </c>
      <c r="N77">
        <v>46484</v>
      </c>
      <c r="O77" t="str">
        <v>No major incidents recorded in last 90 days.</v>
      </c>
      <c r="P77" t="str">
        <v>Brown</v>
      </c>
      <c r="Q77" t="str">
        <v>Hazel</v>
      </c>
      <c r="R77" t="str">
        <v>5'-5"</v>
      </c>
      <c r="S77">
        <v>148</v>
      </c>
      <c r="T77" t="str">
        <v>F</v>
      </c>
      <c r="U77">
        <v>24838</v>
      </c>
      <c r="V77" t="str">
        <v>DRV-011.png</v>
      </c>
      <c r="W77" t="str">
        <v>South Asian</v>
      </c>
      <c r="X77" t="str">
        <v>olee@example.com</v>
      </c>
      <c r="Y77" t="str">
        <v>900 Demo Street</v>
      </c>
      <c r="Z77" t="str">
        <v>Atlanta</v>
      </c>
      <c r="AA77" t="str">
        <v>GA</v>
      </c>
      <c r="AB77">
        <v>30308</v>
      </c>
      <c r="AC77" t="str">
        <v>GA</v>
      </c>
      <c r="AD77" t="str">
        <v>Class A</v>
      </c>
      <c r="AE77">
        <v>44744</v>
      </c>
      <c r="AF77" t="str">
        <v>N,T</v>
      </c>
      <c r="AH77">
        <v>45769</v>
      </c>
      <c r="AI77" t="str">
        <v>MC-0110314</v>
      </c>
      <c r="AJ77" t="str">
        <v>Dr. Melissa Tran</v>
      </c>
      <c r="AK77" t="str">
        <v>ME100011</v>
      </c>
      <c r="AM77" t="str">
        <v>Qualified</v>
      </c>
      <c r="AN77">
        <v>46454</v>
      </c>
      <c r="AO77">
        <v>0</v>
      </c>
      <c r="AP77">
        <v>0</v>
      </c>
      <c r="AR77" t="str">
        <v>Clear</v>
      </c>
      <c r="AS77">
        <v>45551</v>
      </c>
      <c r="AT77" t="str">
        <v>Authorized to Work</v>
      </c>
      <c r="AU77" t="str">
        <v>U.S. Passport</v>
      </c>
      <c r="AX77">
        <v>45551</v>
      </c>
      <c r="AY77" t="str">
        <v>BOF Onboarding Team</v>
      </c>
      <c r="AZ77" t="str">
        <v>Complete</v>
      </c>
      <c r="BB77" t="str">
        <v>Individual/Sole Proprietor</v>
      </c>
      <c r="BC77" t="str">
        <v>SSN</v>
      </c>
      <c r="BD77" t="str">
        <v>***-**-0111</v>
      </c>
      <c r="BF77">
        <v>45551</v>
      </c>
      <c r="BG77" t="str">
        <v>Received</v>
      </c>
      <c r="BH77" t="str">
        <v>Savings</v>
      </c>
      <c r="BI77" t="str">
        <v>Direct Deposit</v>
      </c>
      <c r="BJ77">
        <v>45551</v>
      </c>
      <c r="BK77" t="str">
        <v>Verified</v>
      </c>
      <c r="BL77">
        <v>45544</v>
      </c>
      <c r="BM77" t="str">
        <v>C. Nguyen</v>
      </c>
      <c r="BN77" t="str">
        <v>Day cab tractor</v>
      </c>
      <c r="BO77" t="str">
        <v>53 ft dry van</v>
      </c>
      <c r="BP77" t="str">
        <v>Atlanta, GA</v>
      </c>
      <c r="BQ77">
        <v>5</v>
      </c>
      <c r="BR77">
        <v>5</v>
      </c>
      <c r="BS77">
        <v>4</v>
      </c>
      <c r="BT77">
        <v>5</v>
      </c>
      <c r="BU77">
        <v>5</v>
      </c>
      <c r="BV77">
        <v>5</v>
      </c>
      <c r="BW77">
        <v>4</v>
      </c>
      <c r="BX77">
        <v>5</v>
      </c>
      <c r="BY77">
        <v>5</v>
      </c>
      <c r="BZ77" t="str">
        <v>Pass</v>
      </c>
      <c r="CB77" t="str">
        <v>Passed</v>
      </c>
      <c r="CC77" t="str">
        <v>Enrolled</v>
      </c>
      <c r="CD77" t="str">
        <v>Query Completed</v>
      </c>
      <c r="CE77">
        <v>46037</v>
      </c>
      <c r="CF77">
        <v>46218</v>
      </c>
      <c r="CH77" t="str">
        <v>Compliant</v>
      </c>
      <c r="CJ77" t="str">
        <v>Olivia</v>
      </c>
      <c r="CK77" t="str">
        <v>Lee</v>
      </c>
      <c r="CL77" t="str">
        <v>GA0000025</v>
      </c>
      <c r="CM77" t="str">
        <v>GA</v>
      </c>
      <c r="CN77" t="str">
        <v>CDL Holder</v>
      </c>
      <c r="CO77" t="str">
        <v>Olivia Lee</v>
      </c>
      <c r="CP77">
        <v>45769</v>
      </c>
      <c r="CQ77">
        <v>46499</v>
      </c>
      <c r="CR77" t="str">
        <v>(404) 555-0100</v>
      </c>
      <c r="CS77" t="str">
        <v>Dr. Melissa Tran</v>
      </c>
      <c r="CT77">
        <v>45769</v>
      </c>
      <c r="CU77" t="str">
        <v>GA-ME-601747</v>
      </c>
      <c r="CV77" t="str">
        <v>ME100011</v>
      </c>
      <c r="CW77" t="str">
        <v>Advanced Practice Nurse</v>
      </c>
      <c r="CX77" t="str">
        <v>GA</v>
      </c>
      <c r="CY77" t="str">
        <v>Federal Motor Carrier Safety Regulations</v>
      </c>
      <c r="DA77" t="str">
        <v>No</v>
      </c>
      <c r="DB77" t="str">
        <v>No</v>
      </c>
      <c r="DC77" t="str">
        <v>No</v>
      </c>
      <c r="DD77" t="str">
        <v>No</v>
      </c>
      <c r="DE77" t="str">
        <v>No</v>
      </c>
      <c r="DF77" t="str">
        <v>No</v>
      </c>
      <c r="DG77" t="str">
        <v>Jane Doe</v>
      </c>
      <c r="DH77" t="str">
        <v>Sister</v>
      </c>
      <c r="DI77" t="str">
        <v>555-555-5555</v>
      </c>
      <c r="DJ77" t="str">
        <v>No</v>
      </c>
      <c r="DK77" t="str">
        <v>No</v>
      </c>
      <c r="DL77" t="str">
        <v>No</v>
      </c>
      <c r="DM77" t="str">
        <v>No</v>
      </c>
      <c r="DN77" t="str">
        <v>Yes - Appendectomy (2005)</v>
      </c>
      <c r="DO77" t="str">
        <v>20/20</v>
      </c>
      <c r="DP77" t="str">
        <v>20/20</v>
      </c>
      <c r="DQ77" t="str">
        <v>Pass</v>
      </c>
      <c r="DR77" t="str">
        <v>118</v>
      </c>
      <c r="DS77" t="str">
        <v>78</v>
      </c>
      <c r="DT77" t="str">
        <v>72</v>
      </c>
      <c r="DU77" t="str">
        <v>Normal</v>
      </c>
      <c r="DV77">
        <v>45392</v>
      </c>
      <c r="DW77">
        <v>45394</v>
      </c>
      <c r="DX77" t="str">
        <v>Negative</v>
      </c>
      <c r="DY77">
        <v>45397</v>
      </c>
      <c r="DZ77" t="str">
        <v>BOF Fleet Safety &amp; Compliance Policy 2024</v>
      </c>
      <c r="EA77" t="str">
        <v>Complete</v>
      </c>
      <c r="EB77">
        <v>45413</v>
      </c>
    </row>
    <row r="78">
      <c r="A78" t="str">
        <v>DRV-011</v>
      </c>
      <c r="B78" t="str">
        <v>Olivia Lee</v>
      </c>
      <c r="C78" t="str">
        <v>900 Demo Street, Atlanta, GA 30308</v>
      </c>
      <c r="D78" t="str">
        <v>337-555-0100</v>
      </c>
      <c r="E78" t="str">
        <v>***-**-0111</v>
      </c>
      <c r="F78" t="str">
        <v>Bank of America</v>
      </c>
      <c r="G78">
        <v>000000102</v>
      </c>
      <c r="H78">
        <v>999900209</v>
      </c>
      <c r="I78" t="str">
        <v>Direct Deposit Form</v>
      </c>
      <c r="J78" t="str">
        <v>VALID</v>
      </c>
      <c r="K78" t="str">
        <v>GA0000003</v>
      </c>
      <c r="L78">
        <v>46566</v>
      </c>
      <c r="M78">
        <v>46499</v>
      </c>
      <c r="N78">
        <v>46484</v>
      </c>
      <c r="P78" t="str">
        <v>Brown</v>
      </c>
      <c r="Q78" t="str">
        <v>Hazel</v>
      </c>
      <c r="R78" t="str">
        <v>5'-5"</v>
      </c>
      <c r="S78">
        <v>148</v>
      </c>
      <c r="T78" t="str">
        <v>F</v>
      </c>
      <c r="U78">
        <v>24838</v>
      </c>
      <c r="V78" t="str">
        <v>DRV-011.png</v>
      </c>
      <c r="W78" t="str">
        <v>South Asian</v>
      </c>
      <c r="X78" t="str">
        <v>olee@example.com</v>
      </c>
      <c r="Y78" t="str">
        <v>900 Demo Street</v>
      </c>
      <c r="Z78" t="str">
        <v>Atlanta</v>
      </c>
      <c r="AA78" t="str">
        <v>GA</v>
      </c>
      <c r="AB78">
        <v>30308</v>
      </c>
      <c r="AC78" t="str">
        <v>GA</v>
      </c>
      <c r="AD78" t="str">
        <v>Class A</v>
      </c>
      <c r="AE78">
        <v>44744</v>
      </c>
      <c r="AF78" t="str">
        <v>N,T</v>
      </c>
      <c r="AH78">
        <v>45769</v>
      </c>
      <c r="AI78" t="str">
        <v>MC-0110314</v>
      </c>
      <c r="AJ78" t="str">
        <v>Dr. Melissa Tran</v>
      </c>
      <c r="AK78" t="str">
        <v>ME100011</v>
      </c>
      <c r="AM78" t="str">
        <v>Qualified</v>
      </c>
      <c r="AN78">
        <v>46454</v>
      </c>
      <c r="AO78">
        <v>0</v>
      </c>
      <c r="AP78">
        <v>0</v>
      </c>
      <c r="AR78" t="str">
        <v>Clear</v>
      </c>
      <c r="AS78">
        <v>45551</v>
      </c>
      <c r="AT78" t="str">
        <v>Authorized to Work</v>
      </c>
      <c r="AU78" t="str">
        <v>U.S. Passport</v>
      </c>
      <c r="AX78">
        <v>45551</v>
      </c>
      <c r="AY78" t="str">
        <v>BOF Onboarding Team</v>
      </c>
      <c r="AZ78" t="str">
        <v>Complete</v>
      </c>
      <c r="BB78" t="str">
        <v>Individual/Sole Proprietor</v>
      </c>
      <c r="BC78" t="str">
        <v>SSN</v>
      </c>
      <c r="BD78" t="str">
        <v>***-**-0111</v>
      </c>
      <c r="BF78">
        <v>45551</v>
      </c>
      <c r="BG78" t="str">
        <v>Received</v>
      </c>
      <c r="BH78" t="str">
        <v>Savings</v>
      </c>
      <c r="BI78" t="str">
        <v>Direct Deposit</v>
      </c>
      <c r="BJ78">
        <v>45551</v>
      </c>
      <c r="BK78" t="str">
        <v>Verified</v>
      </c>
      <c r="BL78">
        <v>45544</v>
      </c>
      <c r="BM78" t="str">
        <v>C. Nguyen</v>
      </c>
      <c r="BN78" t="str">
        <v>Day cab tractor</v>
      </c>
      <c r="BO78" t="str">
        <v>53 ft dry van</v>
      </c>
      <c r="BP78" t="str">
        <v>Atlanta, GA</v>
      </c>
      <c r="BQ78">
        <v>5</v>
      </c>
      <c r="BR78">
        <v>5</v>
      </c>
      <c r="BS78">
        <v>4</v>
      </c>
      <c r="BT78">
        <v>5</v>
      </c>
      <c r="BU78">
        <v>5</v>
      </c>
      <c r="BV78">
        <v>5</v>
      </c>
      <c r="BW78">
        <v>4</v>
      </c>
      <c r="BX78">
        <v>5</v>
      </c>
      <c r="BY78">
        <v>5</v>
      </c>
      <c r="BZ78" t="str">
        <v>Pass</v>
      </c>
      <c r="CB78" t="str">
        <v>Passed</v>
      </c>
      <c r="CC78" t="str">
        <v>Enrolled</v>
      </c>
      <c r="CD78" t="str">
        <v>Query Completed</v>
      </c>
      <c r="CE78">
        <v>46037</v>
      </c>
      <c r="CF78">
        <v>46218</v>
      </c>
      <c r="CH78" t="str">
        <v>Compliant</v>
      </c>
      <c r="CJ78" t="str">
        <v>Olivia</v>
      </c>
      <c r="CK78" t="str">
        <v>Lee</v>
      </c>
      <c r="CL78" t="str">
        <v>GA0000026</v>
      </c>
      <c r="CM78" t="str">
        <v>GA</v>
      </c>
      <c r="CN78" t="str">
        <v>CDL Holder</v>
      </c>
      <c r="CO78" t="str">
        <v>Olivia Lee</v>
      </c>
      <c r="CP78">
        <v>45769</v>
      </c>
      <c r="CQ78">
        <v>46499</v>
      </c>
      <c r="CR78" t="str">
        <v>(404) 555-0100</v>
      </c>
      <c r="CS78" t="str">
        <v>Dr. Melissa Tran</v>
      </c>
      <c r="CT78">
        <v>45769</v>
      </c>
      <c r="CU78" t="str">
        <v>GA-ME-601747</v>
      </c>
      <c r="CV78" t="str">
        <v>ME100011</v>
      </c>
      <c r="CW78" t="str">
        <v>Advanced Practice Nurse</v>
      </c>
      <c r="CX78" t="str">
        <v>GA</v>
      </c>
      <c r="CY78" t="str">
        <v>Federal Motor Carrier Safety Regulations</v>
      </c>
      <c r="DA78" t="str">
        <v>No</v>
      </c>
      <c r="DB78" t="str">
        <v>No</v>
      </c>
      <c r="DC78" t="str">
        <v>No</v>
      </c>
      <c r="DD78" t="str">
        <v>No</v>
      </c>
      <c r="DE78" t="str">
        <v>No</v>
      </c>
      <c r="DF78" t="str">
        <v>No</v>
      </c>
      <c r="DG78" t="str">
        <v>Jane Doe</v>
      </c>
      <c r="DH78" t="str">
        <v>Sister</v>
      </c>
      <c r="DI78" t="str">
        <v>555-555-5555</v>
      </c>
      <c r="DJ78" t="str">
        <v>No</v>
      </c>
      <c r="DK78" t="str">
        <v>No</v>
      </c>
      <c r="DL78" t="str">
        <v>No</v>
      </c>
      <c r="DM78" t="str">
        <v>No</v>
      </c>
      <c r="DN78" t="str">
        <v>Yes - Appendectomy (2005)</v>
      </c>
      <c r="DO78" t="str">
        <v>20/20</v>
      </c>
      <c r="DP78" t="str">
        <v>20/20</v>
      </c>
      <c r="DQ78" t="str">
        <v>Pass</v>
      </c>
      <c r="DR78" t="str">
        <v>118</v>
      </c>
      <c r="DS78" t="str">
        <v>78</v>
      </c>
      <c r="DT78" t="str">
        <v>72</v>
      </c>
      <c r="DU78" t="str">
        <v>Normal</v>
      </c>
      <c r="DV78">
        <v>45392</v>
      </c>
      <c r="DW78">
        <v>45394</v>
      </c>
      <c r="DX78" t="str">
        <v>Negative</v>
      </c>
      <c r="DY78">
        <v>45397</v>
      </c>
      <c r="DZ78" t="str">
        <v>BOF Fleet Safety &amp; Compliance Policy 2024</v>
      </c>
      <c r="EA78" t="str">
        <v>Complete</v>
      </c>
      <c r="EB78">
        <v>45413</v>
      </c>
    </row>
    <row r="79">
      <c r="A79" t="str">
        <v>DRV-012</v>
      </c>
      <c r="B79" t="str">
        <v>Robert Johnson</v>
      </c>
      <c r="C79" t="str">
        <v>920 Demo Street, Chicago, IL 60605</v>
      </c>
      <c r="D79" t="str">
        <v>618-555-0101</v>
      </c>
      <c r="E79" t="str">
        <v>***-**-0114</v>
      </c>
      <c r="F79" t="str">
        <v>Wells Fargo</v>
      </c>
      <c r="G79">
        <v>000000109</v>
      </c>
      <c r="H79">
        <v>999900205</v>
      </c>
      <c r="I79" t="str">
        <v>CDL Summary</v>
      </c>
      <c r="J79" t="str">
        <v>VALID</v>
      </c>
      <c r="K79" t="str">
        <v>IL0000030</v>
      </c>
      <c r="L79">
        <v>46706</v>
      </c>
      <c r="M79">
        <v>46609</v>
      </c>
      <c r="N79">
        <v>46519</v>
      </c>
      <c r="P79" t="str">
        <v>Blonde</v>
      </c>
      <c r="Q79" t="str">
        <v>Green</v>
      </c>
      <c r="R79" t="str">
        <v>6'-1"</v>
      </c>
      <c r="S79">
        <v>209</v>
      </c>
      <c r="T79" t="str">
        <v>M</v>
      </c>
      <c r="U79">
        <v>32874</v>
      </c>
      <c r="V79" t="str">
        <v>DRV-012.png</v>
      </c>
      <c r="W79" t="str">
        <v>Caucasian</v>
      </c>
      <c r="X79" t="str">
        <v>robertjohnson@example.com</v>
      </c>
      <c r="Y79" t="str">
        <v>920 Demo Street</v>
      </c>
      <c r="Z79" t="str">
        <v>Chicago</v>
      </c>
      <c r="AA79" t="str">
        <v>IL</v>
      </c>
      <c r="AB79">
        <v>60605</v>
      </c>
      <c r="AC79" t="str">
        <v>IL</v>
      </c>
      <c r="AD79" t="str">
        <v>Class A</v>
      </c>
      <c r="AE79">
        <v>44884</v>
      </c>
      <c r="AG79" t="str">
        <v>Corrective lenses</v>
      </c>
      <c r="AH79">
        <v>45879</v>
      </c>
      <c r="AI79" t="str">
        <v>MC-0120411</v>
      </c>
      <c r="AJ79" t="str">
        <v>Dr. Victor Reed</v>
      </c>
      <c r="AK79" t="str">
        <v>ME100012</v>
      </c>
      <c r="AL79" t="str">
        <v>Corrective lenses</v>
      </c>
      <c r="AM79" t="str">
        <v>Qualified</v>
      </c>
      <c r="AN79">
        <v>46489</v>
      </c>
      <c r="AO79">
        <v>1</v>
      </c>
      <c r="AP79">
        <v>1</v>
      </c>
      <c r="AQ79" t="str">
        <v>Corrective lenses</v>
      </c>
      <c r="AR79" t="str">
        <v>Reviewed - Clear to Drive</v>
      </c>
      <c r="AS79">
        <v>45579</v>
      </c>
      <c r="AT79" t="str">
        <v>Authorized to Work</v>
      </c>
      <c r="AU79" t="str">
        <v>U.S. Passport</v>
      </c>
      <c r="AX79">
        <v>45579</v>
      </c>
      <c r="AY79" t="str">
        <v>BOF Onboarding Team</v>
      </c>
      <c r="AZ79" t="str">
        <v>Complete</v>
      </c>
      <c r="BB79" t="str">
        <v>Individual/Sole Proprietor</v>
      </c>
      <c r="BC79" t="str">
        <v>SSN</v>
      </c>
      <c r="BD79" t="str">
        <v>***-**-0114</v>
      </c>
      <c r="BF79">
        <v>45579</v>
      </c>
      <c r="BG79" t="str">
        <v>Received</v>
      </c>
      <c r="BH79" t="str">
        <v>Checking</v>
      </c>
      <c r="BI79" t="str">
        <v>Direct Deposit</v>
      </c>
      <c r="BJ79">
        <v>45579</v>
      </c>
      <c r="BK79" t="str">
        <v>Verified</v>
      </c>
      <c r="BL79">
        <v>45572</v>
      </c>
      <c r="BM79" t="str">
        <v>E. Barnes</v>
      </c>
      <c r="BN79" t="str">
        <v>Sleeper tractor</v>
      </c>
      <c r="BO79" t="str">
        <v>53 ft dry van</v>
      </c>
      <c r="BP79" t="str">
        <v>Chicago, IL</v>
      </c>
      <c r="BQ79">
        <v>4</v>
      </c>
      <c r="BR79">
        <v>4</v>
      </c>
      <c r="BS79">
        <v>4</v>
      </c>
      <c r="BT79">
        <v>4</v>
      </c>
      <c r="BU79">
        <v>4</v>
      </c>
      <c r="BV79">
        <v>4</v>
      </c>
      <c r="BW79">
        <v>4</v>
      </c>
      <c r="BX79">
        <v>4</v>
      </c>
      <c r="BY79">
        <v>4</v>
      </c>
      <c r="BZ79" t="str">
        <v>Pass</v>
      </c>
      <c r="CA79" t="str">
        <v>Corrective lenses</v>
      </c>
      <c r="CB79" t="str">
        <v>Passed</v>
      </c>
      <c r="CC79" t="str">
        <v>Enrolled</v>
      </c>
      <c r="CD79" t="str">
        <v>Query Completed</v>
      </c>
      <c r="CE79">
        <v>46037</v>
      </c>
      <c r="CF79">
        <v>46218</v>
      </c>
      <c r="CH79" t="str">
        <v>Compliant</v>
      </c>
      <c r="CJ79" t="str">
        <v>Robert</v>
      </c>
      <c r="CK79" t="str">
        <v>Johnson</v>
      </c>
      <c r="CL79" t="str">
        <v>IL0000030</v>
      </c>
      <c r="CM79" t="str">
        <v>IL</v>
      </c>
      <c r="CN79" t="str">
        <v>CDL Holder</v>
      </c>
      <c r="CO79" t="str">
        <v>Robert Johnson</v>
      </c>
      <c r="CP79">
        <v>45879</v>
      </c>
      <c r="CQ79">
        <v>46609</v>
      </c>
      <c r="CR79" t="str">
        <v>(312) 555-0103</v>
      </c>
      <c r="CS79" t="str">
        <v>Dr. Victor Reed</v>
      </c>
      <c r="CT79">
        <v>45879</v>
      </c>
      <c r="CU79" t="str">
        <v>IL-ME-120233</v>
      </c>
      <c r="CV79" t="str">
        <v>ME100012</v>
      </c>
      <c r="CW79" t="str">
        <v>DO</v>
      </c>
      <c r="CX79" t="str">
        <v>IL</v>
      </c>
      <c r="CY79" t="str">
        <v>Federal Motor Carrier Safety Regulations</v>
      </c>
      <c r="DA79" t="str">
        <v>No</v>
      </c>
      <c r="DB79" t="str">
        <v>No</v>
      </c>
      <c r="DC79" t="str">
        <v>No</v>
      </c>
      <c r="DD79" t="str">
        <v>No</v>
      </c>
      <c r="DE79" t="str">
        <v>Yes</v>
      </c>
      <c r="DF79" t="str">
        <v>No</v>
      </c>
      <c r="DG79" t="str">
        <v>Jane Doe</v>
      </c>
      <c r="DH79" t="str">
        <v>Sister</v>
      </c>
      <c r="DI79" t="str">
        <v>555-555-5555</v>
      </c>
      <c r="DJ79" t="str">
        <v>No</v>
      </c>
      <c r="DK79" t="str">
        <v>No</v>
      </c>
      <c r="DL79" t="str">
        <v>No</v>
      </c>
      <c r="DM79" t="str">
        <v>No</v>
      </c>
      <c r="DN79" t="str">
        <v>Yes - Appendectomy (2005)</v>
      </c>
      <c r="DO79" t="str">
        <v>20/20</v>
      </c>
      <c r="DP79" t="str">
        <v>20/20</v>
      </c>
      <c r="DQ79" t="str">
        <v>Pass</v>
      </c>
      <c r="DR79" t="str">
        <v>118</v>
      </c>
      <c r="DS79" t="str">
        <v>78</v>
      </c>
      <c r="DT79" t="str">
        <v>72</v>
      </c>
      <c r="DU79" t="str">
        <v>Normal</v>
      </c>
      <c r="DV79">
        <v>45392</v>
      </c>
      <c r="DW79">
        <v>45394</v>
      </c>
      <c r="DX79" t="str">
        <v>Negative</v>
      </c>
      <c r="DY79">
        <v>45397</v>
      </c>
      <c r="DZ79" t="str">
        <v>BOF Fleet Safety &amp; Compliance Policy 2024</v>
      </c>
      <c r="EA79" t="str">
        <v>Complete</v>
      </c>
      <c r="EB79">
        <v>45413</v>
      </c>
    </row>
    <row r="80">
      <c r="A80" t="str">
        <v>DRV-012</v>
      </c>
      <c r="B80" t="str">
        <v>Robert Johnson</v>
      </c>
      <c r="C80" t="str">
        <v>920 Demo Street, Chicago, IL 60605</v>
      </c>
      <c r="D80" t="str">
        <v>618-555-0101</v>
      </c>
      <c r="E80" t="str">
        <v>***-**-0114</v>
      </c>
      <c r="F80" t="str">
        <v>Wells Fargo</v>
      </c>
      <c r="G80">
        <v>000000109</v>
      </c>
      <c r="H80">
        <v>999900205</v>
      </c>
      <c r="I80" t="str">
        <v>Medical Certification</v>
      </c>
      <c r="J80" t="str">
        <v>VALID</v>
      </c>
      <c r="K80" t="str">
        <v>IL0000062</v>
      </c>
      <c r="L80">
        <v>46706</v>
      </c>
      <c r="M80">
        <v>46609</v>
      </c>
      <c r="N80">
        <v>46519</v>
      </c>
      <c r="P80" t="str">
        <v>Blonde</v>
      </c>
      <c r="Q80" t="str">
        <v>Green</v>
      </c>
      <c r="R80" t="str">
        <v>6'-1"</v>
      </c>
      <c r="S80">
        <v>209</v>
      </c>
      <c r="T80" t="str">
        <v>M</v>
      </c>
      <c r="U80">
        <v>32874</v>
      </c>
      <c r="V80" t="str">
        <v>DRV-012.png</v>
      </c>
      <c r="W80" t="str">
        <v>Caucasian</v>
      </c>
      <c r="X80" t="str">
        <v>robertjohnson@example.com</v>
      </c>
      <c r="Y80" t="str">
        <v>920 Demo Street</v>
      </c>
      <c r="Z80" t="str">
        <v>Chicago</v>
      </c>
      <c r="AA80" t="str">
        <v>IL</v>
      </c>
      <c r="AB80">
        <v>60605</v>
      </c>
      <c r="AC80" t="str">
        <v>IL</v>
      </c>
      <c r="AD80" t="str">
        <v>Class A</v>
      </c>
      <c r="AE80">
        <v>44884</v>
      </c>
      <c r="AG80" t="str">
        <v>Corrective lenses</v>
      </c>
      <c r="AH80">
        <v>45879</v>
      </c>
      <c r="AI80" t="str">
        <v>MC-0120411</v>
      </c>
      <c r="AJ80" t="str">
        <v>Dr. Victor Reed</v>
      </c>
      <c r="AK80" t="str">
        <v>ME100012</v>
      </c>
      <c r="AL80" t="str">
        <v>Corrective lenses</v>
      </c>
      <c r="AM80" t="str">
        <v>Qualified</v>
      </c>
      <c r="AN80">
        <v>46489</v>
      </c>
      <c r="AO80">
        <v>1</v>
      </c>
      <c r="AP80">
        <v>1</v>
      </c>
      <c r="AQ80" t="str">
        <v>Corrective lenses</v>
      </c>
      <c r="AR80" t="str">
        <v>Reviewed - Clear to Drive</v>
      </c>
      <c r="AS80">
        <v>45579</v>
      </c>
      <c r="AT80" t="str">
        <v>Authorized to Work</v>
      </c>
      <c r="AU80" t="str">
        <v>U.S. Passport</v>
      </c>
      <c r="AX80">
        <v>45579</v>
      </c>
      <c r="AY80" t="str">
        <v>BOF Onboarding Team</v>
      </c>
      <c r="AZ80" t="str">
        <v>Complete</v>
      </c>
      <c r="BB80" t="str">
        <v>Individual/Sole Proprietor</v>
      </c>
      <c r="BC80" t="str">
        <v>SSN</v>
      </c>
      <c r="BD80" t="str">
        <v>***-**-0114</v>
      </c>
      <c r="BF80">
        <v>45579</v>
      </c>
      <c r="BG80" t="str">
        <v>Received</v>
      </c>
      <c r="BH80" t="str">
        <v>Checking</v>
      </c>
      <c r="BI80" t="str">
        <v>Direct Deposit</v>
      </c>
      <c r="BJ80">
        <v>45579</v>
      </c>
      <c r="BK80" t="str">
        <v>Verified</v>
      </c>
      <c r="BL80">
        <v>45572</v>
      </c>
      <c r="BM80" t="str">
        <v>E. Barnes</v>
      </c>
      <c r="BN80" t="str">
        <v>Sleeper tractor</v>
      </c>
      <c r="BO80" t="str">
        <v>53 ft dry van</v>
      </c>
      <c r="BP80" t="str">
        <v>Chicago, IL</v>
      </c>
      <c r="BQ80">
        <v>4</v>
      </c>
      <c r="BR80">
        <v>4</v>
      </c>
      <c r="BS80">
        <v>4</v>
      </c>
      <c r="BT80">
        <v>4</v>
      </c>
      <c r="BU80">
        <v>4</v>
      </c>
      <c r="BV80">
        <v>4</v>
      </c>
      <c r="BW80">
        <v>4</v>
      </c>
      <c r="BX80">
        <v>4</v>
      </c>
      <c r="BY80">
        <v>4</v>
      </c>
      <c r="BZ80" t="str">
        <v>Pass</v>
      </c>
      <c r="CA80" t="str">
        <v>Corrective lenses</v>
      </c>
      <c r="CB80" t="str">
        <v>Passed</v>
      </c>
      <c r="CC80" t="str">
        <v>Enrolled</v>
      </c>
      <c r="CD80" t="str">
        <v>Query Completed</v>
      </c>
      <c r="CE80">
        <v>46037</v>
      </c>
      <c r="CF80">
        <v>46218</v>
      </c>
      <c r="CH80" t="str">
        <v>Compliant</v>
      </c>
      <c r="CJ80" t="str">
        <v>Robert</v>
      </c>
      <c r="CK80" t="str">
        <v>Johnson</v>
      </c>
      <c r="CL80" t="str">
        <v>IL0000031</v>
      </c>
      <c r="CM80" t="str">
        <v>IL</v>
      </c>
      <c r="CN80" t="str">
        <v>CDL Holder</v>
      </c>
      <c r="CO80" t="str">
        <v>Robert Johnson</v>
      </c>
      <c r="CP80">
        <v>45879</v>
      </c>
      <c r="CQ80">
        <v>46609</v>
      </c>
      <c r="CR80" t="str">
        <v>(312) 555-0103</v>
      </c>
      <c r="CS80" t="str">
        <v>Dr. Victor Reed</v>
      </c>
      <c r="CT80">
        <v>45879</v>
      </c>
      <c r="CU80" t="str">
        <v>IL-ME-120233</v>
      </c>
      <c r="CV80" t="str">
        <v>ME100012</v>
      </c>
      <c r="CW80" t="str">
        <v>DO</v>
      </c>
      <c r="CX80" t="str">
        <v>IL</v>
      </c>
      <c r="CY80" t="str">
        <v>Federal Motor Carrier Safety Regulations</v>
      </c>
      <c r="DA80" t="str">
        <v>No</v>
      </c>
      <c r="DB80" t="str">
        <v>No</v>
      </c>
      <c r="DC80" t="str">
        <v>No</v>
      </c>
      <c r="DD80" t="str">
        <v>No</v>
      </c>
      <c r="DE80" t="str">
        <v>Yes</v>
      </c>
      <c r="DF80" t="str">
        <v>No</v>
      </c>
      <c r="DG80" t="str">
        <v>Jane Doe</v>
      </c>
      <c r="DH80" t="str">
        <v>Sister</v>
      </c>
      <c r="DI80" t="str">
        <v>555-555-5555</v>
      </c>
      <c r="DJ80" t="str">
        <v>No</v>
      </c>
      <c r="DK80" t="str">
        <v>No</v>
      </c>
      <c r="DL80" t="str">
        <v>No</v>
      </c>
      <c r="DM80" t="str">
        <v>No</v>
      </c>
      <c r="DN80" t="str">
        <v>Yes - Appendectomy (2005)</v>
      </c>
      <c r="DO80" t="str">
        <v>20/20</v>
      </c>
      <c r="DP80" t="str">
        <v>20/20</v>
      </c>
      <c r="DQ80" t="str">
        <v>Pass</v>
      </c>
      <c r="DR80" t="str">
        <v>118</v>
      </c>
      <c r="DS80" t="str">
        <v>78</v>
      </c>
      <c r="DT80" t="str">
        <v>72</v>
      </c>
      <c r="DU80" t="str">
        <v>Normal</v>
      </c>
      <c r="DV80">
        <v>45392</v>
      </c>
      <c r="DW80">
        <v>45394</v>
      </c>
      <c r="DX80" t="str">
        <v>Negative</v>
      </c>
      <c r="DY80">
        <v>45397</v>
      </c>
      <c r="DZ80" t="str">
        <v>BOF Fleet Safety &amp; Compliance Policy 2024</v>
      </c>
      <c r="EA80" t="str">
        <v>Complete</v>
      </c>
      <c r="EB80">
        <v>45413</v>
      </c>
    </row>
    <row r="81">
      <c r="A81" t="str">
        <v>DRV-012</v>
      </c>
      <c r="B81" t="str">
        <v>Robert Johnson</v>
      </c>
      <c r="C81" t="str">
        <v>920 Demo Street, Chicago, IL 60605</v>
      </c>
      <c r="D81" t="str">
        <v>618-555-0101</v>
      </c>
      <c r="E81" t="str">
        <v>***-**-0114</v>
      </c>
      <c r="F81" t="str">
        <v>Wells Fargo</v>
      </c>
      <c r="G81">
        <v>000000109</v>
      </c>
      <c r="H81">
        <v>999900205</v>
      </c>
      <c r="I81" t="str">
        <v>MVR Background Report</v>
      </c>
      <c r="J81" t="str">
        <v>VALID</v>
      </c>
      <c r="K81" t="str">
        <v>IL0000040</v>
      </c>
      <c r="L81">
        <v>46706</v>
      </c>
      <c r="M81">
        <v>46609</v>
      </c>
      <c r="N81">
        <v>46519</v>
      </c>
      <c r="P81" t="str">
        <v>Blonde</v>
      </c>
      <c r="Q81" t="str">
        <v>Green</v>
      </c>
      <c r="R81" t="str">
        <v>6'-1"</v>
      </c>
      <c r="S81">
        <v>209</v>
      </c>
      <c r="T81" t="str">
        <v>M</v>
      </c>
      <c r="U81">
        <v>32874</v>
      </c>
      <c r="V81" t="str">
        <v>DRV-012.png</v>
      </c>
      <c r="W81" t="str">
        <v>Caucasian</v>
      </c>
      <c r="X81" t="str">
        <v>robertjohnson@example.com</v>
      </c>
      <c r="Y81" t="str">
        <v>920 Demo Street</v>
      </c>
      <c r="Z81" t="str">
        <v>Chicago</v>
      </c>
      <c r="AA81" t="str">
        <v>IL</v>
      </c>
      <c r="AB81">
        <v>60605</v>
      </c>
      <c r="AC81" t="str">
        <v>IL</v>
      </c>
      <c r="AD81" t="str">
        <v>Class A</v>
      </c>
      <c r="AE81">
        <v>44884</v>
      </c>
      <c r="AG81" t="str">
        <v>Corrective lenses</v>
      </c>
      <c r="AH81">
        <v>45879</v>
      </c>
      <c r="AI81" t="str">
        <v>MC-0120411</v>
      </c>
      <c r="AJ81" t="str">
        <v>Dr. Victor Reed</v>
      </c>
      <c r="AK81" t="str">
        <v>ME100012</v>
      </c>
      <c r="AL81" t="str">
        <v>Corrective lenses</v>
      </c>
      <c r="AM81" t="str">
        <v>Qualified</v>
      </c>
      <c r="AN81">
        <v>46489</v>
      </c>
      <c r="AO81">
        <v>1</v>
      </c>
      <c r="AP81">
        <v>1</v>
      </c>
      <c r="AQ81" t="str">
        <v>Corrective lenses</v>
      </c>
      <c r="AR81" t="str">
        <v>Reviewed - Clear to Drive</v>
      </c>
      <c r="AS81">
        <v>45579</v>
      </c>
      <c r="AT81" t="str">
        <v>Authorized to Work</v>
      </c>
      <c r="AU81" t="str">
        <v>U.S. Passport</v>
      </c>
      <c r="AX81">
        <v>45579</v>
      </c>
      <c r="AY81" t="str">
        <v>BOF Onboarding Team</v>
      </c>
      <c r="AZ81" t="str">
        <v>Complete</v>
      </c>
      <c r="BB81" t="str">
        <v>Individual/Sole Proprietor</v>
      </c>
      <c r="BC81" t="str">
        <v>SSN</v>
      </c>
      <c r="BD81" t="str">
        <v>***-**-0114</v>
      </c>
      <c r="BF81">
        <v>45579</v>
      </c>
      <c r="BG81" t="str">
        <v>Received</v>
      </c>
      <c r="BH81" t="str">
        <v>Checking</v>
      </c>
      <c r="BI81" t="str">
        <v>Direct Deposit</v>
      </c>
      <c r="BJ81">
        <v>45579</v>
      </c>
      <c r="BK81" t="str">
        <v>Verified</v>
      </c>
      <c r="BL81">
        <v>45572</v>
      </c>
      <c r="BM81" t="str">
        <v>E. Barnes</v>
      </c>
      <c r="BN81" t="str">
        <v>Sleeper tractor</v>
      </c>
      <c r="BO81" t="str">
        <v>53 ft dry van</v>
      </c>
      <c r="BP81" t="str">
        <v>Chicago, IL</v>
      </c>
      <c r="BQ81">
        <v>4</v>
      </c>
      <c r="BR81">
        <v>4</v>
      </c>
      <c r="BS81">
        <v>4</v>
      </c>
      <c r="BT81">
        <v>4</v>
      </c>
      <c r="BU81">
        <v>4</v>
      </c>
      <c r="BV81">
        <v>4</v>
      </c>
      <c r="BW81">
        <v>4</v>
      </c>
      <c r="BX81">
        <v>4</v>
      </c>
      <c r="BY81">
        <v>4</v>
      </c>
      <c r="BZ81" t="str">
        <v>Pass</v>
      </c>
      <c r="CA81" t="str">
        <v>Corrective lenses</v>
      </c>
      <c r="CB81" t="str">
        <v>Passed</v>
      </c>
      <c r="CC81" t="str">
        <v>Enrolled</v>
      </c>
      <c r="CD81" t="str">
        <v>Query Completed</v>
      </c>
      <c r="CE81">
        <v>46037</v>
      </c>
      <c r="CF81">
        <v>46218</v>
      </c>
      <c r="CH81" t="str">
        <v>Compliant</v>
      </c>
      <c r="CJ81" t="str">
        <v>Robert</v>
      </c>
      <c r="CK81" t="str">
        <v>Johnson</v>
      </c>
      <c r="CL81" t="str">
        <v>IL0000032</v>
      </c>
      <c r="CM81" t="str">
        <v>IL</v>
      </c>
      <c r="CN81" t="str">
        <v>CDL Holder</v>
      </c>
      <c r="CO81" t="str">
        <v>Robert Johnson</v>
      </c>
      <c r="CP81">
        <v>45879</v>
      </c>
      <c r="CQ81">
        <v>46609</v>
      </c>
      <c r="CR81" t="str">
        <v>(312) 555-0103</v>
      </c>
      <c r="CS81" t="str">
        <v>Dr. Victor Reed</v>
      </c>
      <c r="CT81">
        <v>45879</v>
      </c>
      <c r="CU81" t="str">
        <v>IL-ME-120233</v>
      </c>
      <c r="CV81" t="str">
        <v>ME100012</v>
      </c>
      <c r="CW81" t="str">
        <v>DO</v>
      </c>
      <c r="CX81" t="str">
        <v>IL</v>
      </c>
      <c r="CY81" t="str">
        <v>Federal Motor Carrier Safety Regulations</v>
      </c>
      <c r="DA81" t="str">
        <v>No</v>
      </c>
      <c r="DB81" t="str">
        <v>No</v>
      </c>
      <c r="DC81" t="str">
        <v>No</v>
      </c>
      <c r="DD81" t="str">
        <v>No</v>
      </c>
      <c r="DE81" t="str">
        <v>Yes</v>
      </c>
      <c r="DF81" t="str">
        <v>No</v>
      </c>
      <c r="DG81" t="str">
        <v>Jane Doe</v>
      </c>
      <c r="DH81" t="str">
        <v>Sister</v>
      </c>
      <c r="DI81" t="str">
        <v>555-555-5555</v>
      </c>
      <c r="DJ81" t="str">
        <v>No</v>
      </c>
      <c r="DK81" t="str">
        <v>No</v>
      </c>
      <c r="DL81" t="str">
        <v>No</v>
      </c>
      <c r="DM81" t="str">
        <v>No</v>
      </c>
      <c r="DN81" t="str">
        <v>Yes - Appendectomy (2005)</v>
      </c>
      <c r="DO81" t="str">
        <v>20/20</v>
      </c>
      <c r="DP81" t="str">
        <v>20/20</v>
      </c>
      <c r="DQ81" t="str">
        <v>Pass</v>
      </c>
      <c r="DR81" t="str">
        <v>118</v>
      </c>
      <c r="DS81" t="str">
        <v>78</v>
      </c>
      <c r="DT81" t="str">
        <v>72</v>
      </c>
      <c r="DU81" t="str">
        <v>Normal</v>
      </c>
      <c r="DV81">
        <v>45392</v>
      </c>
      <c r="DW81">
        <v>45394</v>
      </c>
      <c r="DX81" t="str">
        <v>Negative</v>
      </c>
      <c r="DY81">
        <v>45397</v>
      </c>
      <c r="DZ81" t="str">
        <v>BOF Fleet Safety &amp; Compliance Policy 2024</v>
      </c>
      <c r="EA81" t="str">
        <v>Complete</v>
      </c>
      <c r="EB81">
        <v>45413</v>
      </c>
    </row>
    <row r="82">
      <c r="A82" t="str">
        <v>DRV-012</v>
      </c>
      <c r="B82" t="str">
        <v>Robert Johnson</v>
      </c>
      <c r="C82" t="str">
        <v>920 Demo Street, Chicago, IL 60605</v>
      </c>
      <c r="D82" t="str">
        <v>618-555-0101</v>
      </c>
      <c r="E82" t="str">
        <v>***-**-0114</v>
      </c>
      <c r="F82" t="str">
        <v>Wells Fargo</v>
      </c>
      <c r="G82">
        <v>000000109</v>
      </c>
      <c r="H82">
        <v>999900205</v>
      </c>
      <c r="I82" t="str">
        <v>Driver Application</v>
      </c>
      <c r="J82" t="str">
        <v>VALID</v>
      </c>
      <c r="K82" t="str">
        <v>IL0000057</v>
      </c>
      <c r="L82">
        <v>46706</v>
      </c>
      <c r="M82">
        <v>46609</v>
      </c>
      <c r="N82">
        <v>46519</v>
      </c>
      <c r="P82" t="str">
        <v>Blonde</v>
      </c>
      <c r="Q82" t="str">
        <v>Green</v>
      </c>
      <c r="R82" t="str">
        <v>6'-1"</v>
      </c>
      <c r="S82">
        <v>209</v>
      </c>
      <c r="T82" t="str">
        <v>M</v>
      </c>
      <c r="U82">
        <v>32874</v>
      </c>
      <c r="V82" t="str">
        <v>DRV-012.png</v>
      </c>
      <c r="W82" t="str">
        <v>Caucasian</v>
      </c>
      <c r="X82" t="str">
        <v>robertjohnson@example.com</v>
      </c>
      <c r="Y82" t="str">
        <v>920 Demo Street</v>
      </c>
      <c r="Z82" t="str">
        <v>Chicago</v>
      </c>
      <c r="AA82" t="str">
        <v>IL</v>
      </c>
      <c r="AB82">
        <v>60605</v>
      </c>
      <c r="AC82" t="str">
        <v>IL</v>
      </c>
      <c r="AD82" t="str">
        <v>Class A</v>
      </c>
      <c r="AE82">
        <v>44884</v>
      </c>
      <c r="AG82" t="str">
        <v>Corrective lenses</v>
      </c>
      <c r="AH82">
        <v>45879</v>
      </c>
      <c r="AI82" t="str">
        <v>MC-0120411</v>
      </c>
      <c r="AJ82" t="str">
        <v>Dr. Victor Reed</v>
      </c>
      <c r="AK82" t="str">
        <v>ME100012</v>
      </c>
      <c r="AL82" t="str">
        <v>Corrective lenses</v>
      </c>
      <c r="AM82" t="str">
        <v>Qualified</v>
      </c>
      <c r="AN82">
        <v>46489</v>
      </c>
      <c r="AO82">
        <v>1</v>
      </c>
      <c r="AP82">
        <v>1</v>
      </c>
      <c r="AQ82" t="str">
        <v>Corrective lenses</v>
      </c>
      <c r="AR82" t="str">
        <v>Reviewed - Clear to Drive</v>
      </c>
      <c r="AS82">
        <v>45579</v>
      </c>
      <c r="AT82" t="str">
        <v>Authorized to Work</v>
      </c>
      <c r="AU82" t="str">
        <v>U.S. Passport</v>
      </c>
      <c r="AX82">
        <v>45579</v>
      </c>
      <c r="AY82" t="str">
        <v>BOF Onboarding Team</v>
      </c>
      <c r="AZ82" t="str">
        <v>Complete</v>
      </c>
      <c r="BB82" t="str">
        <v>Individual/Sole Proprietor</v>
      </c>
      <c r="BC82" t="str">
        <v>SSN</v>
      </c>
      <c r="BD82" t="str">
        <v>***-**-0114</v>
      </c>
      <c r="BF82">
        <v>45579</v>
      </c>
      <c r="BG82" t="str">
        <v>Received</v>
      </c>
      <c r="BH82" t="str">
        <v>Checking</v>
      </c>
      <c r="BI82" t="str">
        <v>Direct Deposit</v>
      </c>
      <c r="BJ82">
        <v>45579</v>
      </c>
      <c r="BK82" t="str">
        <v>Verified</v>
      </c>
      <c r="BL82">
        <v>45572</v>
      </c>
      <c r="BM82" t="str">
        <v>E. Barnes</v>
      </c>
      <c r="BN82" t="str">
        <v>Sleeper tractor</v>
      </c>
      <c r="BO82" t="str">
        <v>53 ft dry van</v>
      </c>
      <c r="BP82" t="str">
        <v>Chicago, IL</v>
      </c>
      <c r="BQ82">
        <v>4</v>
      </c>
      <c r="BR82">
        <v>4</v>
      </c>
      <c r="BS82">
        <v>4</v>
      </c>
      <c r="BT82">
        <v>4</v>
      </c>
      <c r="BU82">
        <v>4</v>
      </c>
      <c r="BV82">
        <v>4</v>
      </c>
      <c r="BW82">
        <v>4</v>
      </c>
      <c r="BX82">
        <v>4</v>
      </c>
      <c r="BY82">
        <v>4</v>
      </c>
      <c r="BZ82" t="str">
        <v>Pass</v>
      </c>
      <c r="CA82" t="str">
        <v>Corrective lenses</v>
      </c>
      <c r="CB82" t="str">
        <v>Passed</v>
      </c>
      <c r="CC82" t="str">
        <v>Enrolled</v>
      </c>
      <c r="CD82" t="str">
        <v>Query Completed</v>
      </c>
      <c r="CE82">
        <v>46037</v>
      </c>
      <c r="CF82">
        <v>46218</v>
      </c>
      <c r="CH82" t="str">
        <v>Compliant</v>
      </c>
      <c r="CJ82" t="str">
        <v>Robert</v>
      </c>
      <c r="CK82" t="str">
        <v>Johnson</v>
      </c>
      <c r="CL82" t="str">
        <v>IL0000033</v>
      </c>
      <c r="CM82" t="str">
        <v>IL</v>
      </c>
      <c r="CN82" t="str">
        <v>CDL Holder</v>
      </c>
      <c r="CO82" t="str">
        <v>Robert Johnson</v>
      </c>
      <c r="CP82">
        <v>45879</v>
      </c>
      <c r="CQ82">
        <v>46609</v>
      </c>
      <c r="CR82" t="str">
        <v>(312) 555-0103</v>
      </c>
      <c r="CS82" t="str">
        <v>Dr. Victor Reed</v>
      </c>
      <c r="CT82">
        <v>45879</v>
      </c>
      <c r="CU82" t="str">
        <v>IL-ME-120233</v>
      </c>
      <c r="CV82" t="str">
        <v>ME100012</v>
      </c>
      <c r="CW82" t="str">
        <v>DO</v>
      </c>
      <c r="CX82" t="str">
        <v>IL</v>
      </c>
      <c r="CY82" t="str">
        <v>Federal Motor Carrier Safety Regulations</v>
      </c>
      <c r="DA82" t="str">
        <v>No</v>
      </c>
      <c r="DB82" t="str">
        <v>No</v>
      </c>
      <c r="DC82" t="str">
        <v>No</v>
      </c>
      <c r="DD82" t="str">
        <v>No</v>
      </c>
      <c r="DE82" t="str">
        <v>Yes</v>
      </c>
      <c r="DF82" t="str">
        <v>No</v>
      </c>
      <c r="DG82" t="str">
        <v>Jane Doe</v>
      </c>
      <c r="DH82" t="str">
        <v>Sister</v>
      </c>
      <c r="DI82" t="str">
        <v>555-555-5555</v>
      </c>
      <c r="DJ82" t="str">
        <v>No</v>
      </c>
      <c r="DK82" t="str">
        <v>No</v>
      </c>
      <c r="DL82" t="str">
        <v>No</v>
      </c>
      <c r="DM82" t="str">
        <v>No</v>
      </c>
      <c r="DN82" t="str">
        <v>Yes - Appendectomy (2005)</v>
      </c>
      <c r="DO82" t="str">
        <v>20/20</v>
      </c>
      <c r="DP82" t="str">
        <v>20/20</v>
      </c>
      <c r="DQ82" t="str">
        <v>Pass</v>
      </c>
      <c r="DR82" t="str">
        <v>118</v>
      </c>
      <c r="DS82" t="str">
        <v>78</v>
      </c>
      <c r="DT82" t="str">
        <v>72</v>
      </c>
      <c r="DU82" t="str">
        <v>Normal</v>
      </c>
      <c r="DV82">
        <v>45392</v>
      </c>
      <c r="DW82">
        <v>45394</v>
      </c>
      <c r="DX82" t="str">
        <v>Negative</v>
      </c>
      <c r="DY82">
        <v>45397</v>
      </c>
      <c r="DZ82" t="str">
        <v>BOF Fleet Safety &amp; Compliance Policy 2024</v>
      </c>
      <c r="EA82" t="str">
        <v>Complete</v>
      </c>
      <c r="EB82">
        <v>45413</v>
      </c>
    </row>
    <row r="83">
      <c r="A83" t="str">
        <v>DRV-012</v>
      </c>
      <c r="B83" t="str">
        <v>Robert Johnson</v>
      </c>
      <c r="C83" t="str">
        <v>920 Demo Street, Chicago, IL 60605</v>
      </c>
      <c r="D83" t="str">
        <v>618-555-0101</v>
      </c>
      <c r="E83" t="str">
        <v>***-**-0114</v>
      </c>
      <c r="F83" t="str">
        <v>Wells Fargo</v>
      </c>
      <c r="G83">
        <v>000000109</v>
      </c>
      <c r="H83">
        <v>999900205</v>
      </c>
      <c r="I83" t="str">
        <v>Road Test Certificate</v>
      </c>
      <c r="J83" t="str">
        <v>VALID</v>
      </c>
      <c r="K83" t="str">
        <v>IL0000066</v>
      </c>
      <c r="L83">
        <v>46706</v>
      </c>
      <c r="M83">
        <v>46609</v>
      </c>
      <c r="N83">
        <v>46519</v>
      </c>
      <c r="P83" t="str">
        <v>Blonde</v>
      </c>
      <c r="Q83" t="str">
        <v>Green</v>
      </c>
      <c r="R83" t="str">
        <v>6'-1"</v>
      </c>
      <c r="S83">
        <v>209</v>
      </c>
      <c r="T83" t="str">
        <v>M</v>
      </c>
      <c r="U83">
        <v>32874</v>
      </c>
      <c r="V83" t="str">
        <v>DRV-012.png</v>
      </c>
      <c r="W83" t="str">
        <v>Caucasian</v>
      </c>
      <c r="X83" t="str">
        <v>robertjohnson@example.com</v>
      </c>
      <c r="Y83" t="str">
        <v>920 Demo Street</v>
      </c>
      <c r="Z83" t="str">
        <v>Chicago</v>
      </c>
      <c r="AA83" t="str">
        <v>IL</v>
      </c>
      <c r="AB83">
        <v>60605</v>
      </c>
      <c r="AC83" t="str">
        <v>IL</v>
      </c>
      <c r="AD83" t="str">
        <v>Class A</v>
      </c>
      <c r="AE83">
        <v>44884</v>
      </c>
      <c r="AG83" t="str">
        <v>Corrective lenses</v>
      </c>
      <c r="AH83">
        <v>45879</v>
      </c>
      <c r="AI83" t="str">
        <v>MC-0120411</v>
      </c>
      <c r="AJ83" t="str">
        <v>Dr. Victor Reed</v>
      </c>
      <c r="AK83" t="str">
        <v>ME100012</v>
      </c>
      <c r="AL83" t="str">
        <v>Corrective lenses</v>
      </c>
      <c r="AM83" t="str">
        <v>Qualified</v>
      </c>
      <c r="AN83">
        <v>46489</v>
      </c>
      <c r="AO83">
        <v>1</v>
      </c>
      <c r="AP83">
        <v>1</v>
      </c>
      <c r="AQ83" t="str">
        <v>Corrective lenses</v>
      </c>
      <c r="AR83" t="str">
        <v>Reviewed - Clear to Drive</v>
      </c>
      <c r="AS83">
        <v>45579</v>
      </c>
      <c r="AT83" t="str">
        <v>Authorized to Work</v>
      </c>
      <c r="AU83" t="str">
        <v>U.S. Passport</v>
      </c>
      <c r="AX83">
        <v>45579</v>
      </c>
      <c r="AY83" t="str">
        <v>BOF Onboarding Team</v>
      </c>
      <c r="AZ83" t="str">
        <v>Complete</v>
      </c>
      <c r="BB83" t="str">
        <v>Individual/Sole Proprietor</v>
      </c>
      <c r="BC83" t="str">
        <v>SSN</v>
      </c>
      <c r="BD83" t="str">
        <v>***-**-0114</v>
      </c>
      <c r="BF83">
        <v>45579</v>
      </c>
      <c r="BG83" t="str">
        <v>Received</v>
      </c>
      <c r="BH83" t="str">
        <v>Checking</v>
      </c>
      <c r="BI83" t="str">
        <v>Direct Deposit</v>
      </c>
      <c r="BJ83">
        <v>45579</v>
      </c>
      <c r="BK83" t="str">
        <v>Verified</v>
      </c>
      <c r="BL83">
        <v>45572</v>
      </c>
      <c r="BM83" t="str">
        <v>E. Barnes</v>
      </c>
      <c r="BN83" t="str">
        <v>Sleeper tractor</v>
      </c>
      <c r="BO83" t="str">
        <v>53 ft dry van</v>
      </c>
      <c r="BP83" t="str">
        <v>Chicago, IL</v>
      </c>
      <c r="BQ83">
        <v>4</v>
      </c>
      <c r="BR83">
        <v>4</v>
      </c>
      <c r="BS83">
        <v>4</v>
      </c>
      <c r="BT83">
        <v>4</v>
      </c>
      <c r="BU83">
        <v>4</v>
      </c>
      <c r="BV83">
        <v>4</v>
      </c>
      <c r="BW83">
        <v>4</v>
      </c>
      <c r="BX83">
        <v>4</v>
      </c>
      <c r="BY83">
        <v>4</v>
      </c>
      <c r="BZ83" t="str">
        <v>Pass</v>
      </c>
      <c r="CA83" t="str">
        <v>Corrective lenses</v>
      </c>
      <c r="CB83" t="str">
        <v>Passed</v>
      </c>
      <c r="CC83" t="str">
        <v>Enrolled</v>
      </c>
      <c r="CD83" t="str">
        <v>Query Completed</v>
      </c>
      <c r="CE83">
        <v>46037</v>
      </c>
      <c r="CF83">
        <v>46218</v>
      </c>
      <c r="CH83" t="str">
        <v>Compliant</v>
      </c>
      <c r="CJ83" t="str">
        <v>Robert</v>
      </c>
      <c r="CK83" t="str">
        <v>Johnson</v>
      </c>
      <c r="CL83" t="str">
        <v>IL0000034</v>
      </c>
      <c r="CM83" t="str">
        <v>IL</v>
      </c>
      <c r="CN83" t="str">
        <v>CDL Holder</v>
      </c>
      <c r="CO83" t="str">
        <v>Robert Johnson</v>
      </c>
      <c r="CP83">
        <v>45879</v>
      </c>
      <c r="CQ83">
        <v>46609</v>
      </c>
      <c r="CR83" t="str">
        <v>(312) 555-0103</v>
      </c>
      <c r="CS83" t="str">
        <v>Dr. Victor Reed</v>
      </c>
      <c r="CT83">
        <v>45879</v>
      </c>
      <c r="CU83" t="str">
        <v>IL-ME-120233</v>
      </c>
      <c r="CV83" t="str">
        <v>ME100012</v>
      </c>
      <c r="CW83" t="str">
        <v>DO</v>
      </c>
      <c r="CX83" t="str">
        <v>IL</v>
      </c>
      <c r="CY83" t="str">
        <v>Federal Motor Carrier Safety Regulations</v>
      </c>
      <c r="DA83" t="str">
        <v>No</v>
      </c>
      <c r="DB83" t="str">
        <v>No</v>
      </c>
      <c r="DC83" t="str">
        <v>No</v>
      </c>
      <c r="DD83" t="str">
        <v>No</v>
      </c>
      <c r="DE83" t="str">
        <v>Yes</v>
      </c>
      <c r="DF83" t="str">
        <v>No</v>
      </c>
      <c r="DG83" t="str">
        <v>Jane Doe</v>
      </c>
      <c r="DH83" t="str">
        <v>Sister</v>
      </c>
      <c r="DI83" t="str">
        <v>555-555-5555</v>
      </c>
      <c r="DJ83" t="str">
        <v>No</v>
      </c>
      <c r="DK83" t="str">
        <v>No</v>
      </c>
      <c r="DL83" t="str">
        <v>No</v>
      </c>
      <c r="DM83" t="str">
        <v>No</v>
      </c>
      <c r="DN83" t="str">
        <v>Yes - Appendectomy (2005)</v>
      </c>
      <c r="DO83" t="str">
        <v>20/20</v>
      </c>
      <c r="DP83" t="str">
        <v>20/20</v>
      </c>
      <c r="DQ83" t="str">
        <v>Pass</v>
      </c>
      <c r="DR83" t="str">
        <v>118</v>
      </c>
      <c r="DS83" t="str">
        <v>78</v>
      </c>
      <c r="DT83" t="str">
        <v>72</v>
      </c>
      <c r="DU83" t="str">
        <v>Normal</v>
      </c>
      <c r="DV83">
        <v>45392</v>
      </c>
      <c r="DW83">
        <v>45394</v>
      </c>
      <c r="DX83" t="str">
        <v>Negative</v>
      </c>
      <c r="DY83">
        <v>45397</v>
      </c>
      <c r="DZ83" t="str">
        <v>BOF Fleet Safety &amp; Compliance Policy 2024</v>
      </c>
      <c r="EA83" t="str">
        <v>Complete</v>
      </c>
      <c r="EB83">
        <v>45413</v>
      </c>
    </row>
    <row r="84">
      <c r="A84" t="str">
        <v>DRV-012</v>
      </c>
      <c r="B84" t="str">
        <v>Robert Johnson</v>
      </c>
      <c r="C84" t="str">
        <v>920 Demo Street, Chicago, IL 60605</v>
      </c>
      <c r="D84" t="str">
        <v>618-555-0101</v>
      </c>
      <c r="E84" t="str">
        <v>***-**-0114</v>
      </c>
      <c r="F84" t="str">
        <v>Wells Fargo</v>
      </c>
      <c r="G84">
        <v>000000109</v>
      </c>
      <c r="H84">
        <v>999900205</v>
      </c>
      <c r="I84" t="str">
        <v>Incident/Accident Report</v>
      </c>
      <c r="J84" t="str">
        <v>VALID</v>
      </c>
      <c r="K84" t="str">
        <v>IL0000048</v>
      </c>
      <c r="L84">
        <v>46706</v>
      </c>
      <c r="M84">
        <v>46609</v>
      </c>
      <c r="N84">
        <v>46519</v>
      </c>
      <c r="O84" t="str">
        <v>Load L-512: Seal broken upon arrival. Theft suspected.</v>
      </c>
      <c r="P84" t="str">
        <v>Blonde</v>
      </c>
      <c r="Q84" t="str">
        <v>Green</v>
      </c>
      <c r="R84" t="str">
        <v>6'-1"</v>
      </c>
      <c r="S84">
        <v>209</v>
      </c>
      <c r="T84" t="str">
        <v>M</v>
      </c>
      <c r="U84">
        <v>32874</v>
      </c>
      <c r="V84" t="str">
        <v>DRV-012.png</v>
      </c>
      <c r="W84" t="str">
        <v>Caucasian</v>
      </c>
      <c r="X84" t="str">
        <v>robertjohnson@example.com</v>
      </c>
      <c r="Y84" t="str">
        <v>920 Demo Street</v>
      </c>
      <c r="Z84" t="str">
        <v>Chicago</v>
      </c>
      <c r="AA84" t="str">
        <v>IL</v>
      </c>
      <c r="AB84">
        <v>60605</v>
      </c>
      <c r="AC84" t="str">
        <v>IL</v>
      </c>
      <c r="AD84" t="str">
        <v>Class A</v>
      </c>
      <c r="AE84">
        <v>44884</v>
      </c>
      <c r="AG84" t="str">
        <v>Corrective lenses</v>
      </c>
      <c r="AH84">
        <v>45879</v>
      </c>
      <c r="AI84" t="str">
        <v>MC-0120411</v>
      </c>
      <c r="AJ84" t="str">
        <v>Dr. Victor Reed</v>
      </c>
      <c r="AK84" t="str">
        <v>ME100012</v>
      </c>
      <c r="AL84" t="str">
        <v>Corrective lenses</v>
      </c>
      <c r="AM84" t="str">
        <v>Qualified</v>
      </c>
      <c r="AN84">
        <v>46489</v>
      </c>
      <c r="AO84">
        <v>1</v>
      </c>
      <c r="AP84">
        <v>1</v>
      </c>
      <c r="AQ84" t="str">
        <v>Corrective lenses</v>
      </c>
      <c r="AR84" t="str">
        <v>Reviewed - Clear to Drive</v>
      </c>
      <c r="AS84">
        <v>45579</v>
      </c>
      <c r="AT84" t="str">
        <v>Authorized to Work</v>
      </c>
      <c r="AU84" t="str">
        <v>U.S. Passport</v>
      </c>
      <c r="AX84">
        <v>45579</v>
      </c>
      <c r="AY84" t="str">
        <v>BOF Onboarding Team</v>
      </c>
      <c r="AZ84" t="str">
        <v>Complete</v>
      </c>
      <c r="BB84" t="str">
        <v>Individual/Sole Proprietor</v>
      </c>
      <c r="BC84" t="str">
        <v>SSN</v>
      </c>
      <c r="BD84" t="str">
        <v>***-**-0114</v>
      </c>
      <c r="BF84">
        <v>45579</v>
      </c>
      <c r="BG84" t="str">
        <v>Received</v>
      </c>
      <c r="BH84" t="str">
        <v>Checking</v>
      </c>
      <c r="BI84" t="str">
        <v>Direct Deposit</v>
      </c>
      <c r="BJ84">
        <v>45579</v>
      </c>
      <c r="BK84" t="str">
        <v>Verified</v>
      </c>
      <c r="BL84">
        <v>45572</v>
      </c>
      <c r="BM84" t="str">
        <v>E. Barnes</v>
      </c>
      <c r="BN84" t="str">
        <v>Sleeper tractor</v>
      </c>
      <c r="BO84" t="str">
        <v>53 ft dry van</v>
      </c>
      <c r="BP84" t="str">
        <v>Chicago, IL</v>
      </c>
      <c r="BQ84">
        <v>4</v>
      </c>
      <c r="BR84">
        <v>4</v>
      </c>
      <c r="BS84">
        <v>4</v>
      </c>
      <c r="BT84">
        <v>4</v>
      </c>
      <c r="BU84">
        <v>4</v>
      </c>
      <c r="BV84">
        <v>4</v>
      </c>
      <c r="BW84">
        <v>4</v>
      </c>
      <c r="BX84">
        <v>4</v>
      </c>
      <c r="BY84">
        <v>4</v>
      </c>
      <c r="BZ84" t="str">
        <v>Pass</v>
      </c>
      <c r="CA84" t="str">
        <v>Corrective lenses</v>
      </c>
      <c r="CB84" t="str">
        <v>Passed</v>
      </c>
      <c r="CC84" t="str">
        <v>Enrolled</v>
      </c>
      <c r="CD84" t="str">
        <v>Query Completed</v>
      </c>
      <c r="CE84">
        <v>46037</v>
      </c>
      <c r="CF84">
        <v>46218</v>
      </c>
      <c r="CH84" t="str">
        <v>Compliant</v>
      </c>
      <c r="CJ84" t="str">
        <v>Robert</v>
      </c>
      <c r="CK84" t="str">
        <v>Johnson</v>
      </c>
      <c r="CL84" t="str">
        <v>IL0000035</v>
      </c>
      <c r="CM84" t="str">
        <v>IL</v>
      </c>
      <c r="CN84" t="str">
        <v>CDL Holder</v>
      </c>
      <c r="CO84" t="str">
        <v>Robert Johnson</v>
      </c>
      <c r="CP84">
        <v>45879</v>
      </c>
      <c r="CQ84">
        <v>46609</v>
      </c>
      <c r="CR84" t="str">
        <v>(312) 555-0103</v>
      </c>
      <c r="CS84" t="str">
        <v>Dr. Victor Reed</v>
      </c>
      <c r="CT84">
        <v>45879</v>
      </c>
      <c r="CU84" t="str">
        <v>IL-ME-120233</v>
      </c>
      <c r="CV84" t="str">
        <v>ME100012</v>
      </c>
      <c r="CW84" t="str">
        <v>DO</v>
      </c>
      <c r="CX84" t="str">
        <v>IL</v>
      </c>
      <c r="CY84" t="str">
        <v>Federal Motor Carrier Safety Regulations</v>
      </c>
      <c r="DA84" t="str">
        <v>No</v>
      </c>
      <c r="DB84" t="str">
        <v>No</v>
      </c>
      <c r="DC84" t="str">
        <v>No</v>
      </c>
      <c r="DD84" t="str">
        <v>No</v>
      </c>
      <c r="DE84" t="str">
        <v>Yes</v>
      </c>
      <c r="DF84" t="str">
        <v>No</v>
      </c>
      <c r="DG84" t="str">
        <v>Jane Doe</v>
      </c>
      <c r="DH84" t="str">
        <v>Sister</v>
      </c>
      <c r="DI84" t="str">
        <v>555-555-5555</v>
      </c>
      <c r="DJ84" t="str">
        <v>No</v>
      </c>
      <c r="DK84" t="str">
        <v>No</v>
      </c>
      <c r="DL84" t="str">
        <v>No</v>
      </c>
      <c r="DM84" t="str">
        <v>No</v>
      </c>
      <c r="DN84" t="str">
        <v>Yes - Appendectomy (2005)</v>
      </c>
      <c r="DO84" t="str">
        <v>20/20</v>
      </c>
      <c r="DP84" t="str">
        <v>20/20</v>
      </c>
      <c r="DQ84" t="str">
        <v>Pass</v>
      </c>
      <c r="DR84" t="str">
        <v>118</v>
      </c>
      <c r="DS84" t="str">
        <v>78</v>
      </c>
      <c r="DT84" t="str">
        <v>72</v>
      </c>
      <c r="DU84" t="str">
        <v>Normal</v>
      </c>
      <c r="DV84">
        <v>45392</v>
      </c>
      <c r="DW84">
        <v>45394</v>
      </c>
      <c r="DX84" t="str">
        <v>Negative</v>
      </c>
      <c r="DY84">
        <v>45397</v>
      </c>
      <c r="DZ84" t="str">
        <v>BOF Fleet Safety &amp; Compliance Policy 2024</v>
      </c>
      <c r="EA84" t="str">
        <v>Complete</v>
      </c>
      <c r="EB84">
        <v>45413</v>
      </c>
    </row>
    <row r="85">
      <c r="A85" t="str">
        <v>DRV-012</v>
      </c>
      <c r="B85" t="str">
        <v>Robert Johnson</v>
      </c>
      <c r="C85" t="str">
        <v>920 Demo Street, Chicago, IL 60605</v>
      </c>
      <c r="D85" t="str">
        <v>618-555-0101</v>
      </c>
      <c r="E85" t="str">
        <v>***-**-0114</v>
      </c>
      <c r="F85" t="str">
        <v>Wells Fargo</v>
      </c>
      <c r="G85">
        <v>000000109</v>
      </c>
      <c r="H85">
        <v>999900205</v>
      </c>
      <c r="I85" t="str">
        <v>Direct Deposit Form</v>
      </c>
      <c r="J85" t="str">
        <v>VALID</v>
      </c>
      <c r="K85" t="str">
        <v>IL0000039</v>
      </c>
      <c r="L85">
        <v>46706</v>
      </c>
      <c r="M85">
        <v>46609</v>
      </c>
      <c r="N85">
        <v>46519</v>
      </c>
      <c r="P85" t="str">
        <v>Blonde</v>
      </c>
      <c r="Q85" t="str">
        <v>Green</v>
      </c>
      <c r="R85" t="str">
        <v>6'-1"</v>
      </c>
      <c r="S85">
        <v>209</v>
      </c>
      <c r="T85" t="str">
        <v>M</v>
      </c>
      <c r="U85">
        <v>32874</v>
      </c>
      <c r="V85" t="str">
        <v>DRV-012.png</v>
      </c>
      <c r="W85" t="str">
        <v>Caucasian</v>
      </c>
      <c r="X85" t="str">
        <v>robertjohnson@example.com</v>
      </c>
      <c r="Y85" t="str">
        <v>920 Demo Street</v>
      </c>
      <c r="Z85" t="str">
        <v>Chicago</v>
      </c>
      <c r="AA85" t="str">
        <v>IL</v>
      </c>
      <c r="AB85">
        <v>60605</v>
      </c>
      <c r="AC85" t="str">
        <v>IL</v>
      </c>
      <c r="AD85" t="str">
        <v>Class A</v>
      </c>
      <c r="AE85">
        <v>44884</v>
      </c>
      <c r="AG85" t="str">
        <v>Corrective lenses</v>
      </c>
      <c r="AH85">
        <v>45879</v>
      </c>
      <c r="AI85" t="str">
        <v>MC-0120411</v>
      </c>
      <c r="AJ85" t="str">
        <v>Dr. Victor Reed</v>
      </c>
      <c r="AK85" t="str">
        <v>ME100012</v>
      </c>
      <c r="AL85" t="str">
        <v>Corrective lenses</v>
      </c>
      <c r="AM85" t="str">
        <v>Qualified</v>
      </c>
      <c r="AN85">
        <v>46489</v>
      </c>
      <c r="AO85">
        <v>1</v>
      </c>
      <c r="AP85">
        <v>1</v>
      </c>
      <c r="AQ85" t="str">
        <v>Corrective lenses</v>
      </c>
      <c r="AR85" t="str">
        <v>Reviewed - Clear to Drive</v>
      </c>
      <c r="AS85">
        <v>45579</v>
      </c>
      <c r="AT85" t="str">
        <v>Authorized to Work</v>
      </c>
      <c r="AU85" t="str">
        <v>U.S. Passport</v>
      </c>
      <c r="AX85">
        <v>45579</v>
      </c>
      <c r="AY85" t="str">
        <v>BOF Onboarding Team</v>
      </c>
      <c r="AZ85" t="str">
        <v>Complete</v>
      </c>
      <c r="BB85" t="str">
        <v>Individual/Sole Proprietor</v>
      </c>
      <c r="BC85" t="str">
        <v>SSN</v>
      </c>
      <c r="BD85" t="str">
        <v>***-**-0114</v>
      </c>
      <c r="BF85">
        <v>45579</v>
      </c>
      <c r="BG85" t="str">
        <v>Received</v>
      </c>
      <c r="BH85" t="str">
        <v>Checking</v>
      </c>
      <c r="BI85" t="str">
        <v>Direct Deposit</v>
      </c>
      <c r="BJ85">
        <v>45579</v>
      </c>
      <c r="BK85" t="str">
        <v>Verified</v>
      </c>
      <c r="BL85">
        <v>45572</v>
      </c>
      <c r="BM85" t="str">
        <v>E. Barnes</v>
      </c>
      <c r="BN85" t="str">
        <v>Sleeper tractor</v>
      </c>
      <c r="BO85" t="str">
        <v>53 ft dry van</v>
      </c>
      <c r="BP85" t="str">
        <v>Chicago, IL</v>
      </c>
      <c r="BQ85">
        <v>4</v>
      </c>
      <c r="BR85">
        <v>4</v>
      </c>
      <c r="BS85">
        <v>4</v>
      </c>
      <c r="BT85">
        <v>4</v>
      </c>
      <c r="BU85">
        <v>4</v>
      </c>
      <c r="BV85">
        <v>4</v>
      </c>
      <c r="BW85">
        <v>4</v>
      </c>
      <c r="BX85">
        <v>4</v>
      </c>
      <c r="BY85">
        <v>4</v>
      </c>
      <c r="BZ85" t="str">
        <v>Pass</v>
      </c>
      <c r="CA85" t="str">
        <v>Corrective lenses</v>
      </c>
      <c r="CB85" t="str">
        <v>Passed</v>
      </c>
      <c r="CC85" t="str">
        <v>Enrolled</v>
      </c>
      <c r="CD85" t="str">
        <v>Query Completed</v>
      </c>
      <c r="CE85">
        <v>46037</v>
      </c>
      <c r="CF85">
        <v>46218</v>
      </c>
      <c r="CH85" t="str">
        <v>Compliant</v>
      </c>
      <c r="CJ85" t="str">
        <v>Robert</v>
      </c>
      <c r="CK85" t="str">
        <v>Johnson</v>
      </c>
      <c r="CL85" t="str">
        <v>IL0000036</v>
      </c>
      <c r="CM85" t="str">
        <v>IL</v>
      </c>
      <c r="CN85" t="str">
        <v>CDL Holder</v>
      </c>
      <c r="CO85" t="str">
        <v>Robert Johnson</v>
      </c>
      <c r="CP85">
        <v>45879</v>
      </c>
      <c r="CQ85">
        <v>46609</v>
      </c>
      <c r="CR85" t="str">
        <v>(312) 555-0103</v>
      </c>
      <c r="CS85" t="str">
        <v>Dr. Victor Reed</v>
      </c>
      <c r="CT85">
        <v>45879</v>
      </c>
      <c r="CU85" t="str">
        <v>IL-ME-120233</v>
      </c>
      <c r="CV85" t="str">
        <v>ME100012</v>
      </c>
      <c r="CW85" t="str">
        <v>DO</v>
      </c>
      <c r="CX85" t="str">
        <v>IL</v>
      </c>
      <c r="CY85" t="str">
        <v>Federal Motor Carrier Safety Regulations</v>
      </c>
      <c r="DA85" t="str">
        <v>No</v>
      </c>
      <c r="DB85" t="str">
        <v>No</v>
      </c>
      <c r="DC85" t="str">
        <v>No</v>
      </c>
      <c r="DD85" t="str">
        <v>No</v>
      </c>
      <c r="DE85" t="str">
        <v>Yes</v>
      </c>
      <c r="DF85" t="str">
        <v>No</v>
      </c>
      <c r="DG85" t="str">
        <v>Jane Doe</v>
      </c>
      <c r="DH85" t="str">
        <v>Sister</v>
      </c>
      <c r="DI85" t="str">
        <v>555-555-5555</v>
      </c>
      <c r="DJ85" t="str">
        <v>No</v>
      </c>
      <c r="DK85" t="str">
        <v>No</v>
      </c>
      <c r="DL85" t="str">
        <v>No</v>
      </c>
      <c r="DM85" t="str">
        <v>No</v>
      </c>
      <c r="DN85" t="str">
        <v>Yes - Appendectomy (2005)</v>
      </c>
      <c r="DO85" t="str">
        <v>20/20</v>
      </c>
      <c r="DP85" t="str">
        <v>20/20</v>
      </c>
      <c r="DQ85" t="str">
        <v>Pass</v>
      </c>
      <c r="DR85" t="str">
        <v>118</v>
      </c>
      <c r="DS85" t="str">
        <v>78</v>
      </c>
      <c r="DT85" t="str">
        <v>72</v>
      </c>
      <c r="DU85" t="str">
        <v>Normal</v>
      </c>
      <c r="DV85">
        <v>45392</v>
      </c>
      <c r="DW85">
        <v>45394</v>
      </c>
      <c r="DX85" t="str">
        <v>Negative</v>
      </c>
      <c r="DY85">
        <v>45397</v>
      </c>
      <c r="DZ85" t="str">
        <v>BOF Fleet Safety &amp; Compliance Policy 2024</v>
      </c>
      <c r="EA85" t="str">
        <v>Complete</v>
      </c>
      <c r="EB85">
        <v>45413</v>
      </c>
    </row>
    <row r="87">
      <c r="A87" t="str">
        <v>DRV-001    900-00-0123</v>
      </c>
      <c r="D87" t="str">
        <v>John T. Carter</v>
      </c>
    </row>
    <row r="88">
      <c r="A88" t="str">
        <v>DRV-002    900-00-0105</v>
      </c>
      <c r="D88" t="str">
        <v>Maria E. Lopez</v>
      </c>
    </row>
    <row r="89">
      <c r="A89" t="str">
        <v>DRV-003    900-00-0116</v>
      </c>
      <c r="D89" t="str">
        <v>Alex J. Kim</v>
      </c>
    </row>
    <row r="90">
      <c r="A90" t="str">
        <v>DRV-004    900-00-0119</v>
      </c>
      <c r="D90" t="str">
        <v>Priya A. Patel</v>
      </c>
    </row>
    <row r="91">
      <c r="A91" t="str">
        <v>DRV-005    900-00-0102</v>
      </c>
      <c r="D91" t="str">
        <v>Kenji H. Tanaka</v>
      </c>
    </row>
    <row r="92">
      <c r="A92" t="str">
        <v>DRV-006    900-00-0101</v>
      </c>
      <c r="D92" t="str">
        <v>Marcus W. Chen</v>
      </c>
    </row>
    <row r="93">
      <c r="A93" t="str">
        <v>DRV-007    900-00-0109</v>
      </c>
      <c r="D93" t="str">
        <v>Sofia I. Gomez</v>
      </c>
    </row>
    <row r="94">
      <c r="A94" t="str">
        <v>DRV-008    900-00-0108</v>
      </c>
      <c r="D94" t="str">
        <v>Liam P. Smith</v>
      </c>
    </row>
    <row r="95">
      <c r="A95" t="str">
        <v>DRV-009    900-00-0124</v>
      </c>
      <c r="D95" t="str">
        <v>Emma C. Brown</v>
      </c>
    </row>
    <row r="96">
      <c r="A96" t="str">
        <v>DRV-010    900-00-0112</v>
      </c>
      <c r="D96" t="str">
        <v>Noah R. Wilson</v>
      </c>
    </row>
    <row r="97">
      <c r="A97" t="str">
        <v>DRV-011    900-00-0111</v>
      </c>
      <c r="D97" t="str">
        <v>Olivia M. Lee</v>
      </c>
    </row>
    <row r="98">
      <c r="A98" t="str">
        <v>DRV-012    900-00-0114</v>
      </c>
      <c r="D98" t="str">
        <v>Robert D. Johnson</v>
      </c>
    </row>
  </sheetData>
  <pageMargins left="0.7" right="0.7" top="0.75" bottom="0.75" header="0.3" footer="0.3"/>
  <ignoredErrors>
    <ignoredError numberStoredAsText="1" sqref="A1:EB9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G13"/>
  <sheetViews>
    <sheetView workbookViewId="0" rightToLeft="0"/>
  </sheetViews>
  <sheetData>
    <row r="1">
      <c r="A1" t="str">
        <v>Load ID</v>
      </c>
      <c r="B1" t="str">
        <v>Driver ID</v>
      </c>
      <c r="C1" t="str">
        <v>Driver Name</v>
      </c>
      <c r="D1" t="str">
        <v>Asset ID</v>
      </c>
      <c r="E1" t="str">
        <v>Revenue</v>
      </c>
      <c r="F1" t="str">
        <v>Backhaul Pay</v>
      </c>
      <c r="G1" t="str">
        <v>Driver Signature?</v>
      </c>
      <c r="H1" t="str">
        <v>Load Status</v>
      </c>
      <c r="I1" t="str">
        <v>Reason for Pending Status</v>
      </c>
      <c r="J1" t="str">
        <v>Seal Number (Pickup)</v>
      </c>
      <c r="K1" t="str">
        <v>Seal Photo (Pickup)</v>
      </c>
      <c r="L1" t="str">
        <v>Seal Number (Delivery)</v>
      </c>
      <c r="M1" t="str">
        <v>Seal Photo (Delivery)</v>
      </c>
      <c r="N1" t="str">
        <v>Seal Status</v>
      </c>
      <c r="O1" t="str">
        <v>Exception Flag</v>
      </c>
      <c r="P1" t="str">
        <v>Override Reason</v>
      </c>
      <c r="Q1" t="str">
        <v>Audit Log</v>
      </c>
      <c r="R1" t="str">
        <v>Compliance Lock</v>
      </c>
      <c r="S1" t="str">
        <v>Seal Issue Type</v>
      </c>
      <c r="T1" t="str">
        <v>Photo Required?</v>
      </c>
      <c r="U1" t="str">
        <v>Review Status</v>
      </c>
      <c r="V1" t="str">
        <v>Legacy Driver ID</v>
      </c>
      <c r="W1" t="str">
        <v>Revenue Status</v>
      </c>
      <c r="X1" t="str">
        <v>Export Load Status</v>
      </c>
      <c r="Y1" t="str">
        <v>Rate Confirmation URL</v>
      </c>
      <c r="Z1" t="str">
        <v>BOL URL</v>
      </c>
      <c r="AA1" t="str">
        <v>Pickup Seal Photo URL</v>
      </c>
      <c r="AB1" t="str">
        <v>Delivery Seal Photo URL</v>
      </c>
      <c r="AC1" t="str">
        <v>Driver Photo URL</v>
      </c>
      <c r="AD1" t="str">
        <v>POD Image URL</v>
      </c>
      <c r="AE1" t="str">
        <v>Pickup Image URL</v>
      </c>
      <c r="AF1" t="str">
        <v>Delivery Image URL</v>
      </c>
      <c r="AG1" t="str">
        <v>Lumper Image URL</v>
      </c>
      <c r="AH1" t="str">
        <v>Dispatcher Name</v>
      </c>
      <c r="AI1" t="str">
        <v>Broker Name</v>
      </c>
      <c r="AJ1" t="str">
        <v>Broker MC Number</v>
      </c>
      <c r="AK1" t="str">
        <v>Shipper Name</v>
      </c>
      <c r="AL1" t="str">
        <v>Pickup Address</v>
      </c>
      <c r="AM1" t="str">
        <v>Pickup City</v>
      </c>
      <c r="AN1" t="str">
        <v>Pickup State</v>
      </c>
      <c r="AO1" t="str">
        <v>Pickup Appointment</v>
      </c>
      <c r="AP1" t="str">
        <v>Consignee Name</v>
      </c>
      <c r="AQ1" t="str">
        <v>Delivery Address</v>
      </c>
      <c r="AR1" t="str">
        <v>Delivery City</v>
      </c>
      <c r="AS1" t="str">
        <v>Delivery State</v>
      </c>
      <c r="AT1" t="str">
        <v>Delivery Appointment</v>
      </c>
      <c r="AU1" t="str">
        <v>Commodity</v>
      </c>
      <c r="AV1" t="str">
        <v>Weight (lbs)</v>
      </c>
      <c r="AW1" t="str">
        <v>Pallet Count</v>
      </c>
      <c r="AX1" t="str">
        <v>Piece Count</v>
      </c>
      <c r="AY1" t="str">
        <v>Trailer Number</v>
      </c>
      <c r="AZ1" t="str">
        <v>Rate Confirmation Number</v>
      </c>
      <c r="BA1" t="str">
        <v>BOL Number</v>
      </c>
      <c r="BB1" t="str">
        <v>POD Received?</v>
      </c>
      <c r="BC1" t="str">
        <v>POD Received Timestamp</v>
      </c>
      <c r="BD1" t="str">
        <v>Lumper Amount</v>
      </c>
      <c r="BE1" t="str">
        <v>RFID Tag ID</v>
      </c>
      <c r="BF1" t="str">
        <v>RFID Pickup Read Time</v>
      </c>
      <c r="BG1" t="str">
        <v>RFID Delivery Read Time</v>
      </c>
      <c r="BH1" t="str">
        <v>RFID Reader Location</v>
      </c>
      <c r="BI1" t="str">
        <v>RFID Scan Status</v>
      </c>
      <c r="BJ1" t="str">
        <v>RFID Exception</v>
      </c>
      <c r="BK1" t="str">
        <v>Insurance Claim ID</v>
      </c>
      <c r="BL1" t="str">
        <v>Claim Status</v>
      </c>
      <c r="BM1" t="str">
        <v>Claim Type</v>
      </c>
      <c r="BN1" t="str">
        <v>Date of Loss</v>
      </c>
      <c r="BO1" t="str">
        <v>Claim Amount</v>
      </c>
      <c r="BP1" t="str">
        <v>Deductible Amount</v>
      </c>
      <c r="BQ1" t="str">
        <v>Adjuster Name</v>
      </c>
      <c r="BR1" t="str">
        <v>Insurer Name</v>
      </c>
      <c r="BS1" t="str">
        <v>Policy Number</v>
      </c>
      <c r="BT1" t="str">
        <v>Origin</v>
      </c>
      <c r="BU1" t="str">
        <v>Destination</v>
      </c>
      <c r="BV1" t="str">
        <v>Pickup Date</v>
      </c>
      <c r="BW1" t="str">
        <v>Delivery Date</v>
      </c>
      <c r="BX1" t="str">
        <v>Pickup Time Window</v>
      </c>
      <c r="BY1" t="str">
        <v>Delivery Time Window</v>
      </c>
      <c r="BZ1" t="str">
        <v>Total Pay</v>
      </c>
      <c r="CA1" t="str">
        <v>Linehaul Rate</v>
      </c>
      <c r="CB1" t="str">
        <v>Fuel Surcharge</v>
      </c>
      <c r="CC1" t="str">
        <v>Detention Pay</v>
      </c>
      <c r="CD1" t="str">
        <v>Accessorial Pay</v>
      </c>
      <c r="CE1" t="str">
        <v>Miles</v>
      </c>
      <c r="CF1" t="str">
        <v>Broker Load Number</v>
      </c>
      <c r="CG1" t="str">
        <v>Customer PO Number</v>
      </c>
      <c r="CH1" t="str">
        <v>POD Status</v>
      </c>
      <c r="CI1" t="str">
        <v>POD URL</v>
      </c>
      <c r="CJ1" t="str">
        <v>POD Signed By</v>
      </c>
      <c r="CK1" t="str">
        <v>BOL Status</v>
      </c>
      <c r="CL1" t="str">
        <v>BOL Generated Date</v>
      </c>
      <c r="CM1" t="str">
        <v>Rate Confirmation Status</v>
      </c>
      <c r="CN1" t="str">
        <v>Rate Confirmation Date</v>
      </c>
      <c r="CO1" t="str">
        <v>RFID Trailer Tag ID</v>
      </c>
      <c r="CP1" t="str">
        <v>RFID Cargo Tag ID</v>
      </c>
      <c r="CQ1" t="str">
        <v>RFID Last Scan Time</v>
      </c>
      <c r="CR1" t="str">
        <v>RFID Last Scan Location</v>
      </c>
      <c r="CS1" t="str">
        <v>Insurance Required?</v>
      </c>
      <c r="CT1" t="str">
        <v>Claim Notes</v>
      </c>
      <c r="CU1" t="str">
        <v>Claim Reserve Amount</v>
      </c>
      <c r="CV1" t="str">
        <v>Estimated Claim Exposure</v>
      </c>
      <c r="CW1" t="str">
        <v>Insurance Coverage Type</v>
      </c>
      <c r="CX1" t="str">
        <v>Incident Report Linked?</v>
      </c>
      <c r="CY1" t="str">
        <v>Proof Bundle Complete?</v>
      </c>
      <c r="CZ1" t="str">
        <v>Total Revenue</v>
      </c>
      <c r="DA1" t="str">
        <v>Driver Pay</v>
      </c>
      <c r="DB1" t="str">
        <v>Settlement Hold?</v>
      </c>
      <c r="DC1" t="str">
        <v>Settlement Hold Reason</v>
      </c>
      <c r="DD1" t="str">
        <v>Proof Status</v>
      </c>
      <c r="DE1" t="str">
        <v>Origin State</v>
      </c>
      <c r="DF1" t="str">
        <v>Destination State</v>
      </c>
      <c r="DG1" t="str">
        <v>Linehaul Revenue</v>
      </c>
      <c r="DH1" t="str">
        <v xml:space="preserve"> Fuel Surcharge Revenue</v>
      </c>
      <c r="DI1" t="str">
        <v xml:space="preserve"> Accessorial Revenue</v>
      </c>
      <c r="DJ1" t="str">
        <v xml:space="preserve"> Driver Linehaul Pay</v>
      </c>
      <c r="DK1" t="str">
        <v xml:space="preserve"> Driver FSC Pay</v>
      </c>
      <c r="DL1" t="str">
        <v xml:space="preserve"> Driver Accessorial Pay</v>
      </c>
      <c r="DM1" t="str">
        <v xml:space="preserve"> Detention Hours</v>
      </c>
      <c r="DN1" t="str">
        <v xml:space="preserve"> Detention Pay</v>
      </c>
      <c r="DO1" t="str">
        <v xml:space="preserve"> Layover Days</v>
      </c>
      <c r="DP1" t="str">
        <v xml:space="preserve"> Layover Pay</v>
      </c>
      <c r="DQ1" t="str">
        <v xml:space="preserve"> Breakdown Pay</v>
      </c>
      <c r="DR1" t="str">
        <v xml:space="preserve"> Stop Count</v>
      </c>
      <c r="DS1" t="str">
        <v xml:space="preserve"> Stop Pay</v>
      </c>
      <c r="DT1" t="str">
        <v xml:space="preserve"> Tarp Pay</v>
      </c>
      <c r="DU1" t="str">
        <v xml:space="preserve"> Reimbursement Items</v>
      </c>
      <c r="DV1" t="str">
        <v xml:space="preserve"> Reimbursement Amount</v>
      </c>
      <c r="DW1" t="str">
        <v xml:space="preserve"> POD Received (Y/N)</v>
      </c>
      <c r="DX1" t="str">
        <v xml:space="preserve"> BOL Received (Y/N)</v>
      </c>
      <c r="DY1" t="str">
        <v xml:space="preserve"> Rate Confirmation Received (Y/N)</v>
      </c>
      <c r="DZ1" t="str">
        <v xml:space="preserve"> Seal Photos Received (Y/N)</v>
      </c>
      <c r="EA1" t="str">
        <v xml:space="preserve"> Lumper Receipt Received (Y/N)</v>
      </c>
      <c r="EB1" t="str">
        <v xml:space="preserve"> Fuel Receipts Received (Y/N)</v>
      </c>
      <c r="EC1" t="str">
        <v>Settlement Hold Reason_1</v>
      </c>
      <c r="ED1" t="str">
        <v>Settlement Release Date</v>
      </c>
      <c r="EE1" t="str">
        <v>Settlement Hold</v>
      </c>
      <c r="EF1" t="str">
        <v>Document Status</v>
      </c>
      <c r="EG1" t="str">
        <v>Exception Reason</v>
      </c>
    </row>
    <row r="2">
      <c r="A2" t="str">
        <v>L-501</v>
      </c>
      <c r="B2" t="str">
        <v>DRV-001</v>
      </c>
      <c r="C2" t="str">
        <v>John Carter</v>
      </c>
      <c r="D2" t="str">
        <v>T-102</v>
      </c>
      <c r="E2">
        <v>2000</v>
      </c>
      <c r="F2">
        <v>65</v>
      </c>
      <c r="G2" t="str">
        <v>NO</v>
      </c>
      <c r="H2" t="str">
        <v>DELIVERED</v>
      </c>
      <c r="I2" t="str">
        <v/>
      </c>
      <c r="J2" t="str">
        <v>SEAL-83921</v>
      </c>
      <c r="K2" t="str">
        <v>pickup_photo_01.jpg</v>
      </c>
      <c r="L2" t="str">
        <v>SEAL-83920</v>
      </c>
      <c r="M2" t="str">
        <v>delivery_photo_01.jpg</v>
      </c>
      <c r="N2" t="str">
        <v>MISMATCH</v>
      </c>
      <c r="O2" t="str">
        <v>SEAL_MISMATCH</v>
      </c>
      <c r="P2" t="str">
        <v/>
      </c>
      <c r="Q2" t="str">
        <v>Pickup:SEAL-83921 | Delivery:SEAL-83920 | Override:NONE</v>
      </c>
      <c r="R2" t="str">
        <v>LOCKED</v>
      </c>
      <c r="S2" t="str">
        <v>SEAL_MISMATCH</v>
      </c>
      <c r="T2" t="str">
        <v>YES</v>
      </c>
      <c r="U2" t="str">
        <v>OPEN</v>
      </c>
      <c r="V2" t="str">
        <v>Driver 1</v>
      </c>
      <c r="W2" t="str">
        <v>READY</v>
      </c>
      <c r="X2" t="str">
        <v>DELIVERED</v>
      </c>
      <c r="Y2" t="str">
        <v>/documents/loads/L-501_RC.pdf</v>
      </c>
      <c r="Z2" t="str">
        <v>/documents/loads/L-501_BOL.pdf</v>
      </c>
      <c r="AA2" t="str">
        <v>/documents/loads/L-501_PICKUP_SEAL.jpg</v>
      </c>
      <c r="AB2" t="str">
        <v>/documents/loads/L-501_DELIVERY_SEAL.jpg</v>
      </c>
      <c r="AC2" t="str">
        <v>/drivers/DRV-001.jpg</v>
      </c>
      <c r="AD2" t="str">
        <v>/images/pod/L-501_POD.jpg</v>
      </c>
      <c r="AE2" t="str">
        <v>/images/pickup/L-501_PICKUP.jpg</v>
      </c>
      <c r="AF2" t="str">
        <v>/images/delivery/L-501_DELIVERY.jpg</v>
      </c>
      <c r="AG2" t="str">
        <v>/images/lumper/L-501_LUMPER.jpg</v>
      </c>
      <c r="AH2" t="str">
        <v>Tina Brooks</v>
      </c>
      <c r="AI2" t="str">
        <v>BlueLine Logistics</v>
      </c>
      <c r="AJ2" t="str">
        <v>MC-782104</v>
      </c>
      <c r="AK2" t="str">
        <v>Peachtree Foods</v>
      </c>
      <c r="AL2" t="str">
        <v>1450 Industrial Pkwy</v>
      </c>
      <c r="AM2" t="str">
        <v>Atlanta</v>
      </c>
      <c r="AN2" t="str">
        <v>GA</v>
      </c>
      <c r="AO2">
        <v>45839.41666666666</v>
      </c>
      <c r="AP2" t="str">
        <v>Desert Valley Grocers</v>
      </c>
      <c r="AQ2" t="str">
        <v>504 Mesa Park</v>
      </c>
      <c r="AR2" t="str">
        <v>Phoenix</v>
      </c>
      <c r="AS2" t="str">
        <v>AZ</v>
      </c>
      <c r="AT2">
        <v>45842.75</v>
      </c>
      <c r="AU2" t="str">
        <v>Frozen foods</v>
      </c>
      <c r="AV2">
        <v>26024</v>
      </c>
      <c r="AW2">
        <v>19</v>
      </c>
      <c r="AX2">
        <v>456</v>
      </c>
      <c r="AY2" t="str">
        <v>TRL-2854</v>
      </c>
      <c r="AZ2" t="str">
        <v>RC-501-204</v>
      </c>
      <c r="BA2" t="str">
        <v>BOL-501-9935</v>
      </c>
      <c r="BB2" t="str">
        <v>YES</v>
      </c>
      <c r="BC2">
        <v>45842.79166666666</v>
      </c>
      <c r="BD2">
        <v>315</v>
      </c>
      <c r="BE2" t="str">
        <v>RFID-501-65302</v>
      </c>
      <c r="BF2">
        <v>45839.42152777778</v>
      </c>
      <c r="BG2">
        <v>45842.75763888889</v>
      </c>
      <c r="BH2" t="str">
        <v>Atlanta Yard Gate 1</v>
      </c>
      <c r="BI2" t="str">
        <v>VERIFIED</v>
      </c>
      <c r="BJ2" t="str">
        <v>1016</v>
      </c>
      <c r="BK2" t="str">
        <v>1016</v>
      </c>
      <c r="BL2" t="str">
        <v>NO_CLAIM</v>
      </c>
      <c r="BM2" t="str">
        <v>1016</v>
      </c>
      <c r="BN2" t="str">
        <v/>
      </c>
      <c r="BO2">
        <v>0</v>
      </c>
      <c r="BP2">
        <v>500</v>
      </c>
      <c r="BQ2" t="str">
        <v>1016</v>
      </c>
      <c r="BR2" t="str">
        <v>Progressive Commercial</v>
      </c>
      <c r="BS2" t="str">
        <v>POL-660002</v>
      </c>
      <c r="BT2" t="str">
        <v>Acme Distribution - Cleveland, OH</v>
      </c>
      <c r="BU2" t="str">
        <v>Metro Fulfillment - Dallas, TX</v>
      </c>
      <c r="BV2">
        <v>46204</v>
      </c>
      <c r="BW2">
        <v>46205</v>
      </c>
      <c r="BX2" t="str">
        <v>10:00-13:00</v>
      </c>
      <c r="BY2" t="str">
        <v>09:00-13:00</v>
      </c>
      <c r="BZ2">
        <v>2065</v>
      </c>
      <c r="CA2">
        <v>1640</v>
      </c>
      <c r="CB2">
        <v>240</v>
      </c>
      <c r="CC2">
        <v>0</v>
      </c>
      <c r="CD2">
        <v>120</v>
      </c>
      <c r="CE2">
        <v>240</v>
      </c>
      <c r="CF2" t="str">
        <v>BLN-100500</v>
      </c>
      <c r="CG2" t="str">
        <v>PO-84000</v>
      </c>
      <c r="CH2" t="str">
        <v>RECEIVED</v>
      </c>
      <c r="CI2" t="str">
        <v>/images/pod/L-501_POD.jpg</v>
      </c>
      <c r="CJ2" t="str">
        <v>Warehouse Clerk</v>
      </c>
      <c r="CK2" t="str">
        <v>UPLOADED</v>
      </c>
      <c r="CL2">
        <v>46204</v>
      </c>
      <c r="CM2" t="str">
        <v>UPLOADED</v>
      </c>
      <c r="CN2">
        <v>46203</v>
      </c>
      <c r="CO2" t="str">
        <v>TRAIL-2002</v>
      </c>
      <c r="CP2" t="str">
        <v>CARGO-5002</v>
      </c>
      <c r="CQ2">
        <v>46205.42708333334</v>
      </c>
      <c r="CR2" t="str">
        <v>Dock Door 3</v>
      </c>
      <c r="CS2" t="str">
        <v>NO</v>
      </c>
      <c r="CT2" t="str">
        <v>No active claim</v>
      </c>
      <c r="CU2">
        <v>0</v>
      </c>
      <c r="CV2">
        <v>0</v>
      </c>
      <c r="CW2" t="str">
        <v>Motor Truck Cargo</v>
      </c>
      <c r="CX2" t="str">
        <v>NO</v>
      </c>
      <c r="CY2" t="str">
        <v>NO</v>
      </c>
      <c r="CZ2">
        <v>2065</v>
      </c>
      <c r="DA2">
        <v>560</v>
      </c>
      <c r="DB2" t="str">
        <v>YES</v>
      </c>
      <c r="DC2" t="str">
        <v>Delivery seal mismatch requires manager review</v>
      </c>
      <c r="DD2" t="str">
        <v>NEEDS_REVIEW</v>
      </c>
      <c r="DE2" t="str">
        <v>GA</v>
      </c>
      <c r="DF2" t="str">
        <v>AZ</v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>Delivery seal mismatch requires manager review</v>
      </c>
      <c r="ED2" t="str">
        <v/>
      </c>
    </row>
    <row r="3">
      <c r="A3" t="str">
        <v>L-502</v>
      </c>
      <c r="B3" t="str">
        <v>DRV-002</v>
      </c>
      <c r="C3" t="str">
        <v>Maria Lopez</v>
      </c>
      <c r="D3" t="str">
        <v>T-101</v>
      </c>
      <c r="E3">
        <v>1800</v>
      </c>
      <c r="F3">
        <v>95</v>
      </c>
      <c r="G3" t="str">
        <v>NO</v>
      </c>
      <c r="H3" t="str">
        <v>IN_TRANSIT</v>
      </c>
      <c r="I3" t="str">
        <v/>
      </c>
      <c r="J3" t="str">
        <v>SEAL-55219</v>
      </c>
      <c r="K3" t="str">
        <v>pickup_photo_02.jpg</v>
      </c>
      <c r="L3" t="str">
        <v>SEAL-55219</v>
      </c>
      <c r="M3" t="str">
        <v>delivery_photo_02.jpg</v>
      </c>
      <c r="N3" t="str">
        <v>VERIFIED</v>
      </c>
      <c r="O3" t="str">
        <v/>
      </c>
      <c r="P3" t="str">
        <v/>
      </c>
      <c r="Q3" t="str">
        <v/>
      </c>
      <c r="R3" t="str">
        <v>CLEAR</v>
      </c>
      <c r="S3" t="str">
        <v>VERIFIED</v>
      </c>
      <c r="T3" t="str">
        <v>NO</v>
      </c>
      <c r="U3" t="str">
        <v>CLOSED</v>
      </c>
      <c r="V3" t="str">
        <v>Driver 2</v>
      </c>
      <c r="W3" t="str">
        <v>PENDING</v>
      </c>
      <c r="X3" t="str">
        <v>IN_TRANSIT</v>
      </c>
      <c r="Y3" t="str">
        <v>/documents/loads/L-502_RC.pdf</v>
      </c>
      <c r="Z3" t="str">
        <v>/documents/loads/L-502_BOL.pdf</v>
      </c>
      <c r="AA3" t="str">
        <v>/documents/loads/L-502_PICKUP_SEAL.jpg</v>
      </c>
      <c r="AB3" t="str">
        <v>/documents/loads/L-502_DELIVERY_SEAL.jpg</v>
      </c>
      <c r="AC3" t="str">
        <v>/drivers/DRV-002.jpg</v>
      </c>
      <c r="AD3" t="str">
        <v>/images/pod/L-502_POD.jpg</v>
      </c>
      <c r="AE3" t="str">
        <v>/images/pickup/L-502_PICKUP.jpg</v>
      </c>
      <c r="AF3" t="str">
        <v>/images/delivery/L-502_DELIVERY.jpg</v>
      </c>
      <c r="AG3" t="str">
        <v>/images/lumper/L-502_LUMPER.jpg</v>
      </c>
      <c r="AH3" t="str">
        <v>Jamal Reeves</v>
      </c>
      <c r="AI3" t="str">
        <v>Summit Freight</v>
      </c>
      <c r="AJ3" t="str">
        <v>MC-641255</v>
      </c>
      <c r="AK3" t="str">
        <v>Lakeside Plastics</v>
      </c>
      <c r="AL3" t="str">
        <v>880 Harbor Dr</v>
      </c>
      <c r="AM3" t="str">
        <v>Cleveland</v>
      </c>
      <c r="AN3" t="str">
        <v>OH</v>
      </c>
      <c r="AO3">
        <v>45841.5</v>
      </c>
      <c r="AP3" t="str">
        <v>Great Lakes Foods</v>
      </c>
      <c r="AQ3" t="str">
        <v>109 Shoreline Dr</v>
      </c>
      <c r="AR3" t="str">
        <v>Detroit</v>
      </c>
      <c r="AS3" t="str">
        <v>MI</v>
      </c>
      <c r="AT3">
        <v>45845.08333333334</v>
      </c>
      <c r="AU3" t="str">
        <v>Dry groceries</v>
      </c>
      <c r="AV3">
        <v>40981</v>
      </c>
      <c r="AW3">
        <v>25</v>
      </c>
      <c r="AX3">
        <v>675</v>
      </c>
      <c r="AY3" t="str">
        <v>TRL-2559</v>
      </c>
      <c r="AZ3" t="str">
        <v>RC-502-703</v>
      </c>
      <c r="BA3" t="str">
        <v>BOL-502-5557</v>
      </c>
      <c r="BB3" t="str">
        <v>PENDING</v>
      </c>
      <c r="BC3">
        <v>46207.45833333334</v>
      </c>
      <c r="BD3">
        <v>0</v>
      </c>
      <c r="BE3" t="str">
        <v>RFID-502-30926</v>
      </c>
      <c r="BF3">
        <v>45841.52222222222</v>
      </c>
      <c r="BG3">
        <v>46207.41666666666</v>
      </c>
      <c r="BH3" t="str">
        <v>Cleveland Yard Gate 3</v>
      </c>
      <c r="BI3" t="str">
        <v>PENDING_DELIVERY</v>
      </c>
      <c r="BJ3" t="str">
        <v>1016</v>
      </c>
      <c r="BK3" t="str">
        <v>1016</v>
      </c>
      <c r="BL3" t="str">
        <v>NO_CLAIM</v>
      </c>
      <c r="BM3" t="str">
        <v/>
      </c>
      <c r="BN3" t="str">
        <v/>
      </c>
      <c r="BO3">
        <v>0</v>
      </c>
      <c r="BP3">
        <v>500</v>
      </c>
      <c r="BQ3" t="str">
        <v>1016</v>
      </c>
      <c r="BR3" t="str">
        <v>Great West Casualty</v>
      </c>
      <c r="BS3" t="str">
        <v>POL-660003</v>
      </c>
      <c r="BT3" t="str">
        <v>Midwest Foods - Chicago, IL</v>
      </c>
      <c r="BU3" t="str">
        <v>South Hub DC - Memphis, TN</v>
      </c>
      <c r="BV3">
        <v>46206</v>
      </c>
      <c r="BW3">
        <v>46207</v>
      </c>
      <c r="BX3" t="str">
        <v>08:00-11:00</v>
      </c>
      <c r="BY3" t="str">
        <v>10:00-14:00</v>
      </c>
      <c r="BZ3">
        <v>1895</v>
      </c>
      <c r="CA3">
        <v>1476</v>
      </c>
      <c r="CB3">
        <v>216</v>
      </c>
      <c r="CC3">
        <v>50</v>
      </c>
      <c r="CD3">
        <v>58</v>
      </c>
      <c r="CE3">
        <v>297</v>
      </c>
      <c r="CF3" t="str">
        <v>BLN-100501</v>
      </c>
      <c r="CG3" t="str">
        <v>PO-84001</v>
      </c>
      <c r="CH3" t="str">
        <v>PENDING</v>
      </c>
      <c r="CI3" t="str">
        <v>/images/pod/L-502_POD.jpg</v>
      </c>
      <c r="CJ3" t="str">
        <v>Receiver</v>
      </c>
      <c r="CK3" t="str">
        <v>UPLOADED</v>
      </c>
      <c r="CL3">
        <v>46206</v>
      </c>
      <c r="CM3" t="str">
        <v>UPLOADED</v>
      </c>
      <c r="CN3">
        <v>46205</v>
      </c>
      <c r="CO3" t="str">
        <v>TRAIL-2003</v>
      </c>
      <c r="CP3" t="str">
        <v>CARGO-5003</v>
      </c>
      <c r="CQ3">
        <v>46207.42708333334</v>
      </c>
      <c r="CR3" t="str">
        <v>Yard Gate A</v>
      </c>
      <c r="CS3" t="str">
        <v>NO</v>
      </c>
      <c r="CT3" t="str">
        <v>No active claim</v>
      </c>
      <c r="CU3">
        <v>0</v>
      </c>
      <c r="CV3">
        <v>0</v>
      </c>
      <c r="CW3" t="str">
        <v>Auto Liability</v>
      </c>
      <c r="CX3" t="str">
        <v>NO</v>
      </c>
      <c r="CY3" t="str">
        <v>YES</v>
      </c>
      <c r="CZ3">
        <v>1895</v>
      </c>
      <c r="DA3">
        <v>504</v>
      </c>
      <c r="DB3" t="str">
        <v>NO</v>
      </c>
      <c r="DC3" t="str">
        <v/>
      </c>
      <c r="DD3" t="str">
        <v>COMPLETE</v>
      </c>
      <c r="DE3" t="str">
        <v>OH</v>
      </c>
      <c r="DF3" t="str">
        <v>MI</v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 t="str">
        <v/>
      </c>
    </row>
    <row r="4">
      <c r="A4" t="str">
        <v>L-503</v>
      </c>
      <c r="B4" t="str">
        <v>DRV-003</v>
      </c>
      <c r="C4" t="str">
        <v>Alex Kim</v>
      </c>
      <c r="D4" t="str">
        <v>T-107</v>
      </c>
      <c r="E4">
        <v>2100</v>
      </c>
      <c r="F4">
        <v>45</v>
      </c>
      <c r="G4" t="str">
        <v>NO</v>
      </c>
      <c r="H4" t="str">
        <v>DELIVERED</v>
      </c>
      <c r="I4" t="str">
        <v/>
      </c>
      <c r="J4" t="str">
        <v>SEAL-77102</v>
      </c>
      <c r="K4" t="str">
        <v>pickup_photo_03.jpg</v>
      </c>
      <c r="L4" t="str">
        <v>SEAL-77102</v>
      </c>
      <c r="M4" t="str">
        <v/>
      </c>
      <c r="N4" t="str">
        <v>VERIFIED</v>
      </c>
      <c r="O4" t="str">
        <v/>
      </c>
      <c r="P4" t="str">
        <v/>
      </c>
      <c r="Q4" t="str">
        <v>Pickup:SEAL-77102 | Delivery: | Override:NONE</v>
      </c>
      <c r="R4" t="str">
        <v>CLEAR</v>
      </c>
      <c r="S4" t="str">
        <v>VERIFIED</v>
      </c>
      <c r="T4" t="str">
        <v>NO</v>
      </c>
      <c r="U4" t="str">
        <v>CLOSED</v>
      </c>
      <c r="V4" t="str">
        <v>Driver 3</v>
      </c>
      <c r="W4" t="str">
        <v>READY</v>
      </c>
      <c r="X4" t="str">
        <v>DELIVERED</v>
      </c>
      <c r="Y4" t="str">
        <v>/documents/loads/L-503_RC.pdf</v>
      </c>
      <c r="Z4" t="str">
        <v>/documents/loads/L-503_BOL.pdf</v>
      </c>
      <c r="AA4" t="str">
        <v>/documents/loads/L-503_PICKUP_SEAL.jpg</v>
      </c>
      <c r="AB4" t="str">
        <v>/documents/loads/L-503_DELIVERY_SEAL.jpg</v>
      </c>
      <c r="AC4" t="str">
        <v>/drivers/DRV-003.jpg</v>
      </c>
      <c r="AD4" t="str">
        <v>/images/pod/L-503_POD.jpg</v>
      </c>
      <c r="AE4" t="str">
        <v>/images/pickup/L-503_PICKUP.jpg</v>
      </c>
      <c r="AF4" t="str">
        <v>/images/delivery/L-503_DELIVERY.jpg</v>
      </c>
      <c r="AG4" t="str">
        <v>/images/lumper/L-503_LUMPER.jpg</v>
      </c>
      <c r="AH4" t="str">
        <v>Morgan Patel</v>
      </c>
      <c r="AI4" t="str">
        <v>IronRoute Transport</v>
      </c>
      <c r="AJ4" t="str">
        <v>MC-518903</v>
      </c>
      <c r="AK4" t="str">
        <v>Midwest Paper Co.</v>
      </c>
      <c r="AL4" t="str">
        <v>2210 Mill Rd</v>
      </c>
      <c r="AM4" t="str">
        <v>Columbus</v>
      </c>
      <c r="AN4" t="str">
        <v>OH</v>
      </c>
      <c r="AO4">
        <v>45843.625</v>
      </c>
      <c r="AP4" t="str">
        <v>Capital Retail Hub</v>
      </c>
      <c r="AQ4" t="str">
        <v>755 Market Loop</v>
      </c>
      <c r="AR4" t="str">
        <v>Indianapolis</v>
      </c>
      <c r="AS4" t="str">
        <v>IN</v>
      </c>
      <c r="AT4">
        <v>45845.04166666666</v>
      </c>
      <c r="AU4" t="str">
        <v>Plastic resins</v>
      </c>
      <c r="AV4">
        <v>21169</v>
      </c>
      <c r="AW4">
        <v>23</v>
      </c>
      <c r="AX4">
        <v>1081</v>
      </c>
      <c r="AY4" t="str">
        <v>TRL-2452</v>
      </c>
      <c r="AZ4" t="str">
        <v>RC-503-718</v>
      </c>
      <c r="BA4" t="str">
        <v>BOL-503-5333</v>
      </c>
      <c r="BB4" t="str">
        <v>YES</v>
      </c>
      <c r="BC4">
        <v>45845.08333333334</v>
      </c>
      <c r="BD4">
        <v>240</v>
      </c>
      <c r="BE4" t="str">
        <v>RFID-503-80284</v>
      </c>
      <c r="BF4">
        <v>45843.63333333333</v>
      </c>
      <c r="BG4">
        <v>45845.08958333333</v>
      </c>
      <c r="BH4" t="str">
        <v>Columbus Yard Gate 4</v>
      </c>
      <c r="BI4" t="str">
        <v>VERIFIED</v>
      </c>
      <c r="BJ4" t="str">
        <v>MISREAD_AT_GATE</v>
      </c>
      <c r="BK4" t="str">
        <v>CLM-2026004</v>
      </c>
      <c r="BL4" t="str">
        <v>NO_CLAIM</v>
      </c>
      <c r="BM4" t="str">
        <v/>
      </c>
      <c r="BN4">
        <v>46209</v>
      </c>
      <c r="BO4">
        <v>0</v>
      </c>
      <c r="BP4">
        <v>500</v>
      </c>
      <c r="BQ4" t="str">
        <v>Jordan Patel</v>
      </c>
      <c r="BR4" t="str">
        <v>Travelers</v>
      </c>
      <c r="BS4" t="str">
        <v>POL-660004</v>
      </c>
      <c r="BT4" t="str">
        <v>BlueLine Retail - Indianapolis, IN</v>
      </c>
      <c r="BU4" t="str">
        <v>Lakeside Grocery - Atlanta, GA</v>
      </c>
      <c r="BV4">
        <v>46208</v>
      </c>
      <c r="BW4">
        <v>46209</v>
      </c>
      <c r="BX4" t="str">
        <v>09:00-12:00</v>
      </c>
      <c r="BY4" t="str">
        <v>11:00-15:00</v>
      </c>
      <c r="BZ4">
        <v>2145</v>
      </c>
      <c r="CA4">
        <v>1722</v>
      </c>
      <c r="CB4">
        <v>252</v>
      </c>
      <c r="CC4">
        <v>75</v>
      </c>
      <c r="CD4">
        <v>51</v>
      </c>
      <c r="CE4">
        <v>354</v>
      </c>
      <c r="CF4" t="str">
        <v>BLN-100502</v>
      </c>
      <c r="CG4" t="str">
        <v>PO-84002</v>
      </c>
      <c r="CH4" t="str">
        <v>RECEIVED</v>
      </c>
      <c r="CI4" t="str">
        <v>/images/pod/L-503_POD.jpg</v>
      </c>
      <c r="CJ4" t="str">
        <v>Dock Supervisor</v>
      </c>
      <c r="CK4" t="str">
        <v>MISSING</v>
      </c>
      <c r="CL4">
        <v>46208</v>
      </c>
      <c r="CM4" t="str">
        <v>UPLOADED</v>
      </c>
      <c r="CN4">
        <v>46207</v>
      </c>
      <c r="CO4" t="str">
        <v>TRAIL-2004</v>
      </c>
      <c r="CP4" t="str">
        <v>CARGO-5004</v>
      </c>
      <c r="CQ4">
        <v>46209.42708333334</v>
      </c>
      <c r="CR4" t="str">
        <v>Warehouse South</v>
      </c>
      <c r="CS4" t="str">
        <v>NO</v>
      </c>
      <c r="CT4" t="str">
        <v>No active claim</v>
      </c>
      <c r="CU4">
        <v>0</v>
      </c>
      <c r="CV4">
        <v>0</v>
      </c>
      <c r="CW4" t="str">
        <v>General Liability</v>
      </c>
      <c r="CX4" t="str">
        <v>NO</v>
      </c>
      <c r="CY4" t="str">
        <v>YES</v>
      </c>
      <c r="CZ4">
        <v>2145</v>
      </c>
      <c r="DA4">
        <v>588</v>
      </c>
      <c r="DB4" t="str">
        <v>NO</v>
      </c>
      <c r="DC4" t="str">
        <v/>
      </c>
      <c r="DD4" t="str">
        <v>COMPLETE</v>
      </c>
      <c r="DE4" t="str">
        <v>OH</v>
      </c>
      <c r="DF4" t="str">
        <v>IN</v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 t="str">
        <v/>
      </c>
    </row>
    <row r="5">
      <c r="A5" t="str">
        <v>L-504</v>
      </c>
      <c r="B5" t="str">
        <v>DRV-004</v>
      </c>
      <c r="C5" t="str">
        <v>Priya Patel</v>
      </c>
      <c r="D5" t="str">
        <v>T-108</v>
      </c>
      <c r="E5">
        <v>1950</v>
      </c>
      <c r="F5">
        <v>88</v>
      </c>
      <c r="G5" t="str">
        <v>YES</v>
      </c>
      <c r="H5" t="str">
        <v>PENDING</v>
      </c>
      <c r="I5" t="str">
        <v>Awaiting POD</v>
      </c>
      <c r="J5" t="str">
        <v>SEAL-61044</v>
      </c>
      <c r="K5" t="str">
        <v>pickup_photo_04.jpg</v>
      </c>
      <c r="L5" t="str">
        <v>SEAL-61044</v>
      </c>
      <c r="M5" t="str">
        <v>delivery_photo_04.jpg</v>
      </c>
      <c r="N5" t="str">
        <v>VERIFIED</v>
      </c>
      <c r="O5" t="str">
        <v/>
      </c>
      <c r="P5" t="str">
        <v>Dock supervisor approved</v>
      </c>
      <c r="Q5" t="str">
        <v>Pickup:SEAL-61044 | Delivery:SEAL-61043 | Override:Dock supervisor approved</v>
      </c>
      <c r="R5" t="str">
        <v>CLEAR</v>
      </c>
      <c r="S5" t="str">
        <v>VERIFIED</v>
      </c>
      <c r="T5" t="str">
        <v>NO</v>
      </c>
      <c r="U5" t="str">
        <v>CLOSED</v>
      </c>
      <c r="V5" t="str">
        <v>Driver 4</v>
      </c>
      <c r="W5" t="str">
        <v>PENDING</v>
      </c>
      <c r="X5" t="str">
        <v>PENDING</v>
      </c>
      <c r="Y5" t="str">
        <v>/documents/loads/L-504_RC.pdf</v>
      </c>
      <c r="Z5" t="str">
        <v>/documents/loads/L-504_BOL.pdf</v>
      </c>
      <c r="AA5" t="str">
        <v>/documents/loads/L-504_PICKUP_SEAL.jpg</v>
      </c>
      <c r="AB5" t="str">
        <v>/documents/loads/L-504_DELIVERY_SEAL.jpg</v>
      </c>
      <c r="AC5" t="str">
        <v>/drivers/DRV-004.jpg</v>
      </c>
      <c r="AD5" t="str">
        <v>/images/pod/L-504_POD.jpg</v>
      </c>
      <c r="AE5" t="str">
        <v>/images/pickup/L-504_PICKUP.jpg</v>
      </c>
      <c r="AF5" t="str">
        <v>/images/delivery/L-504_DELIVERY.jpg</v>
      </c>
      <c r="AG5" t="str">
        <v>/images/lumper/L-504_LUMPER.jpg</v>
      </c>
      <c r="AH5" t="str">
        <v>Avery Collins</v>
      </c>
      <c r="AI5" t="str">
        <v>NorthStar 3PL</v>
      </c>
      <c r="AJ5" t="str">
        <v>MC-774221</v>
      </c>
      <c r="AK5" t="str">
        <v>Sunbelt Beverages</v>
      </c>
      <c r="AL5" t="str">
        <v>9900 Commerce Blvd</v>
      </c>
      <c r="AM5" t="str">
        <v>Charlotte</v>
      </c>
      <c r="AN5" t="str">
        <v>NC</v>
      </c>
      <c r="AO5">
        <v>45845.70833333334</v>
      </c>
      <c r="AP5" t="str">
        <v>Bayport Imports</v>
      </c>
      <c r="AQ5" t="str">
        <v>330 Dockside Ln</v>
      </c>
      <c r="AR5" t="str">
        <v>Savannah</v>
      </c>
      <c r="AS5" t="str">
        <v>GA</v>
      </c>
      <c r="AT5">
        <v>45848.91666666666</v>
      </c>
      <c r="AU5" t="str">
        <v>Building materials</v>
      </c>
      <c r="AV5">
        <v>19501</v>
      </c>
      <c r="AW5">
        <v>19</v>
      </c>
      <c r="AX5">
        <v>836</v>
      </c>
      <c r="AY5" t="str">
        <v>TRL-2396</v>
      </c>
      <c r="AZ5" t="str">
        <v>RC-504-181</v>
      </c>
      <c r="BA5" t="str">
        <v>BOL-504-4814</v>
      </c>
      <c r="BB5" t="str">
        <v>NO</v>
      </c>
      <c r="BC5">
        <v>46211.45833333334</v>
      </c>
      <c r="BD5">
        <v>0</v>
      </c>
      <c r="BE5" t="str">
        <v>RFID-504-59823</v>
      </c>
      <c r="BF5">
        <v>45845.72361111111</v>
      </c>
      <c r="BG5">
        <v>46211.41666666666</v>
      </c>
      <c r="BH5" t="str">
        <v>Charlotte Yard Gate 4</v>
      </c>
      <c r="BI5" t="str">
        <v>VERIFIED</v>
      </c>
      <c r="BJ5" t="str">
        <v>MISREAD</v>
      </c>
      <c r="BK5" t="str">
        <v>CLM-504-4432</v>
      </c>
      <c r="BL5" t="str">
        <v>NO_CLAIM</v>
      </c>
      <c r="BM5" t="str">
        <v/>
      </c>
      <c r="BN5">
        <v>45845</v>
      </c>
      <c r="BO5">
        <v>0</v>
      </c>
      <c r="BP5">
        <v>1500</v>
      </c>
      <c r="BQ5" t="str">
        <v>Kelly Moore</v>
      </c>
      <c r="BR5" t="str">
        <v>Travelers Inland Marine</v>
      </c>
      <c r="BS5" t="str">
        <v>POL-660086</v>
      </c>
      <c r="BT5" t="str">
        <v>NorthStar Paper - Dallas, TX</v>
      </c>
      <c r="BU5" t="str">
        <v>Cleveland Receiver - St. Louis, MO</v>
      </c>
      <c r="BV5">
        <v>46210</v>
      </c>
      <c r="BW5">
        <v>46211</v>
      </c>
      <c r="BX5" t="str">
        <v>10:00-13:00</v>
      </c>
      <c r="BY5" t="str">
        <v>09:00-13:00</v>
      </c>
      <c r="BZ5">
        <v>2038</v>
      </c>
      <c r="CA5">
        <v>1599</v>
      </c>
      <c r="CB5">
        <v>234</v>
      </c>
      <c r="CC5">
        <v>0</v>
      </c>
      <c r="CD5">
        <v>117</v>
      </c>
      <c r="CE5">
        <v>411</v>
      </c>
      <c r="CF5" t="str">
        <v>BLN-100503</v>
      </c>
      <c r="CG5" t="str">
        <v>PO-84003</v>
      </c>
      <c r="CH5" t="str">
        <v>RECEIVED</v>
      </c>
      <c r="CI5" t="str">
        <v>/images/pod/L-504_POD.jpg</v>
      </c>
      <c r="CJ5" t="str">
        <v>Inventory Lead</v>
      </c>
      <c r="CK5" t="str">
        <v>UPLOADED</v>
      </c>
      <c r="CL5">
        <v>46210</v>
      </c>
      <c r="CM5" t="str">
        <v>UPLOADED</v>
      </c>
      <c r="CN5">
        <v>46209</v>
      </c>
      <c r="CO5" t="str">
        <v>TRAIL-2005</v>
      </c>
      <c r="CP5" t="str">
        <v>CARGO-5005</v>
      </c>
      <c r="CQ5">
        <v>46211.42708333334</v>
      </c>
      <c r="CR5" t="str">
        <v>Crossdock Bay 2</v>
      </c>
      <c r="CS5" t="str">
        <v>NO</v>
      </c>
      <c r="CT5" t="str">
        <v>Shortage under review</v>
      </c>
      <c r="CU5">
        <v>0</v>
      </c>
      <c r="CV5">
        <v>0</v>
      </c>
      <c r="CW5" t="str">
        <v>Motor Truck Cargo</v>
      </c>
      <c r="CX5" t="str">
        <v>NO</v>
      </c>
      <c r="CY5" t="str">
        <v>YES</v>
      </c>
      <c r="CZ5">
        <v>2038</v>
      </c>
      <c r="DA5">
        <v>546</v>
      </c>
      <c r="DB5" t="str">
        <v>NO</v>
      </c>
      <c r="DC5" t="str">
        <v/>
      </c>
      <c r="DD5" t="str">
        <v>COMPLETE</v>
      </c>
      <c r="DE5" t="str">
        <v>NC</v>
      </c>
      <c r="DF5" t="str">
        <v>GA</v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 t="str">
        <v/>
      </c>
    </row>
    <row r="6">
      <c r="A6" t="str">
        <v>L-505</v>
      </c>
      <c r="B6" t="str">
        <v>DRV-005</v>
      </c>
      <c r="C6" t="str">
        <v>Kenji Tanaka</v>
      </c>
      <c r="D6" t="str">
        <v>T-104</v>
      </c>
      <c r="E6">
        <v>2200</v>
      </c>
      <c r="F6">
        <v>45</v>
      </c>
      <c r="G6" t="str">
        <v>NO</v>
      </c>
      <c r="H6" t="str">
        <v>DELIVERED</v>
      </c>
      <c r="I6" t="str">
        <v/>
      </c>
      <c r="J6" t="str">
        <v>SEAL-44018</v>
      </c>
      <c r="K6" t="str">
        <v>pickup_photo_05.jpg</v>
      </c>
      <c r="L6" t="str">
        <v>SEAL-44018</v>
      </c>
      <c r="M6" t="str">
        <v>delivery_photo_05.jpg</v>
      </c>
      <c r="N6" t="str">
        <v>VERIFIED</v>
      </c>
      <c r="O6" t="str">
        <v/>
      </c>
      <c r="P6" t="str">
        <v/>
      </c>
      <c r="Q6" t="str">
        <v/>
      </c>
      <c r="R6" t="str">
        <v>CLEAR</v>
      </c>
      <c r="S6" t="str">
        <v>VERIFIED</v>
      </c>
      <c r="T6" t="str">
        <v>NO</v>
      </c>
      <c r="U6" t="str">
        <v>CLOSED</v>
      </c>
      <c r="V6" t="str">
        <v>Driver 5</v>
      </c>
      <c r="W6" t="str">
        <v>READY</v>
      </c>
      <c r="X6" t="str">
        <v>DELIVERED</v>
      </c>
      <c r="Y6" t="str">
        <v>/documents/loads/L-505_RC.pdf</v>
      </c>
      <c r="Z6" t="str">
        <v>/documents/loads/L-505_BOL.pdf</v>
      </c>
      <c r="AA6" t="str">
        <v>/documents/loads/L-505_PICKUP_SEAL.jpg</v>
      </c>
      <c r="AB6" t="str">
        <v>/documents/loads/L-505_DELIVERY_SEAL.jpg</v>
      </c>
      <c r="AC6" t="str">
        <v>/drivers/DRV-005.jpg</v>
      </c>
      <c r="AD6" t="str">
        <v>/images/pod/L-505_POD.jpg</v>
      </c>
      <c r="AE6" t="str">
        <v>/images/pickup/L-505_PICKUP.jpg</v>
      </c>
      <c r="AF6" t="str">
        <v>/images/delivery/L-505_DELIVERY.jpg</v>
      </c>
      <c r="AG6" t="str">
        <v>/images/lumper/L-505_LUMPER.jpg</v>
      </c>
      <c r="AH6" t="str">
        <v>Nina Harris</v>
      </c>
      <c r="AI6" t="str">
        <v>Pioneer Brokerage</v>
      </c>
      <c r="AJ6" t="str">
        <v>MC-699114</v>
      </c>
      <c r="AK6" t="str">
        <v>Frontier Retail DC</v>
      </c>
      <c r="AL6" t="str">
        <v>5600 Warehouse Way</v>
      </c>
      <c r="AM6" t="str">
        <v>Dallas</v>
      </c>
      <c r="AN6" t="str">
        <v>TX</v>
      </c>
      <c r="AO6">
        <v>45847.58333333334</v>
      </c>
      <c r="AP6" t="str">
        <v>Metro Supply Chain</v>
      </c>
      <c r="AQ6" t="str">
        <v>120 Junction Rd</v>
      </c>
      <c r="AR6" t="str">
        <v>Chicago</v>
      </c>
      <c r="AS6" t="str">
        <v>IL</v>
      </c>
      <c r="AT6">
        <v>45850</v>
      </c>
      <c r="AU6" t="str">
        <v>Paper products</v>
      </c>
      <c r="AV6">
        <v>26845</v>
      </c>
      <c r="AW6">
        <v>19</v>
      </c>
      <c r="AX6">
        <v>779</v>
      </c>
      <c r="AY6" t="str">
        <v>TRL-2432</v>
      </c>
      <c r="AZ6" t="str">
        <v>RC-505-963</v>
      </c>
      <c r="BA6" t="str">
        <v>BOL-505-1916</v>
      </c>
      <c r="BB6" t="str">
        <v>YES</v>
      </c>
      <c r="BC6">
        <v>45850.08333333334</v>
      </c>
      <c r="BD6">
        <v>0</v>
      </c>
      <c r="BE6" t="str">
        <v>RFID-505-51347</v>
      </c>
      <c r="BF6">
        <v>45847.60416666666</v>
      </c>
      <c r="BG6">
        <v>45850.01875</v>
      </c>
      <c r="BH6" t="str">
        <v>Dallas Yard Gate 1</v>
      </c>
      <c r="BI6" t="str">
        <v>VERIFIED</v>
      </c>
      <c r="BJ6" t="str">
        <v>1016</v>
      </c>
      <c r="BK6" t="str">
        <v>CLM-2026006</v>
      </c>
      <c r="BL6" t="str">
        <v>NO_CLAIM</v>
      </c>
      <c r="BM6" t="str">
        <v/>
      </c>
      <c r="BN6">
        <v>46213</v>
      </c>
      <c r="BO6">
        <v>0</v>
      </c>
      <c r="BP6">
        <v>500</v>
      </c>
      <c r="BQ6" t="str">
        <v>Alex Rivera</v>
      </c>
      <c r="BR6" t="str">
        <v>Zurich</v>
      </c>
      <c r="BS6" t="str">
        <v>POL-660006</v>
      </c>
      <c r="BT6" t="str">
        <v>Rapid Parts - Memphis, TN</v>
      </c>
      <c r="BU6" t="str">
        <v>Delta Retail DC - Nashville, TN</v>
      </c>
      <c r="BV6">
        <v>46212</v>
      </c>
      <c r="BW6">
        <v>46213</v>
      </c>
      <c r="BX6" t="str">
        <v>08:00-11:00</v>
      </c>
      <c r="BY6" t="str">
        <v>10:00-14:00</v>
      </c>
      <c r="BZ6">
        <v>2245</v>
      </c>
      <c r="CA6">
        <v>1804</v>
      </c>
      <c r="CB6">
        <v>264</v>
      </c>
      <c r="CC6">
        <v>25</v>
      </c>
      <c r="CD6">
        <v>107</v>
      </c>
      <c r="CE6">
        <v>468</v>
      </c>
      <c r="CF6" t="str">
        <v>BLN-100504</v>
      </c>
      <c r="CG6" t="str">
        <v>PO-84004</v>
      </c>
      <c r="CH6" t="str">
        <v>PENDING</v>
      </c>
      <c r="CI6" t="str">
        <v>/images/pod/L-505_POD.jpg</v>
      </c>
      <c r="CJ6" t="str">
        <v>Warehouse Clerk</v>
      </c>
      <c r="CK6" t="str">
        <v>UPLOADED</v>
      </c>
      <c r="CL6">
        <v>46212</v>
      </c>
      <c r="CM6" t="str">
        <v>UPLOADED</v>
      </c>
      <c r="CN6">
        <v>46211</v>
      </c>
      <c r="CO6" t="str">
        <v>TRAIL-2006</v>
      </c>
      <c r="CP6" t="str">
        <v>CARGO-5006</v>
      </c>
      <c r="CQ6">
        <v>46213.42708333334</v>
      </c>
      <c r="CR6" t="str">
        <v>Receiver Gate 1</v>
      </c>
      <c r="CS6" t="str">
        <v>NO</v>
      </c>
      <c r="CT6" t="str">
        <v>Cargo shift photos attached</v>
      </c>
      <c r="CU6">
        <v>0</v>
      </c>
      <c r="CV6">
        <v>0</v>
      </c>
      <c r="CW6" t="str">
        <v>Auto Liability</v>
      </c>
      <c r="CX6" t="str">
        <v>NO</v>
      </c>
      <c r="CY6" t="str">
        <v>YES</v>
      </c>
      <c r="CZ6">
        <v>2245</v>
      </c>
      <c r="DA6">
        <v>616</v>
      </c>
      <c r="DB6" t="str">
        <v>NO</v>
      </c>
      <c r="DC6" t="str">
        <v/>
      </c>
      <c r="DD6" t="str">
        <v>COMPLETE</v>
      </c>
      <c r="DE6" t="str">
        <v>TX</v>
      </c>
      <c r="DF6" t="str">
        <v>IL</v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str">
        <v/>
      </c>
      <c r="EB6" t="str">
        <v/>
      </c>
      <c r="EC6" t="str">
        <v/>
      </c>
      <c r="ED6" t="str">
        <v/>
      </c>
    </row>
    <row r="7">
      <c r="A7" t="str">
        <v>L-506</v>
      </c>
      <c r="B7" t="str">
        <v>DRV-006</v>
      </c>
      <c r="C7" t="str">
        <v>Marcus Chen</v>
      </c>
      <c r="D7" t="str">
        <v>T-103</v>
      </c>
      <c r="E7">
        <v>2050</v>
      </c>
      <c r="F7">
        <v>72</v>
      </c>
      <c r="G7" t="str">
        <v>YES</v>
      </c>
      <c r="H7" t="str">
        <v>DELIVERED</v>
      </c>
      <c r="I7" t="str">
        <v/>
      </c>
      <c r="J7" t="str">
        <v>SEAL-99871</v>
      </c>
      <c r="K7" t="str">
        <v>pickup_photo_06.jpg</v>
      </c>
      <c r="L7" t="str">
        <v>SEAL-99871</v>
      </c>
      <c r="M7" t="str">
        <v/>
      </c>
      <c r="N7" t="str">
        <v>VERIFIED</v>
      </c>
      <c r="O7" t="str">
        <v/>
      </c>
      <c r="P7" t="str">
        <v/>
      </c>
      <c r="Q7" t="str">
        <v>Pickup:SEAL-99871 | Delivery: | Override:NONE</v>
      </c>
      <c r="R7" t="str">
        <v>CLEAR</v>
      </c>
      <c r="S7" t="str">
        <v>VERIFIED</v>
      </c>
      <c r="T7" t="str">
        <v>NO</v>
      </c>
      <c r="U7" t="str">
        <v>CLOSED</v>
      </c>
      <c r="V7" t="str">
        <v>Driver 6</v>
      </c>
      <c r="W7" t="str">
        <v>READY</v>
      </c>
      <c r="X7" t="str">
        <v>DELIVERED</v>
      </c>
      <c r="Y7" t="str">
        <v>/documents/loads/L-506_RC.pdf</v>
      </c>
      <c r="Z7" t="str">
        <v>/documents/loads/L-506_BOL.pdf</v>
      </c>
      <c r="AA7" t="str">
        <v>/documents/loads/L-506_PICKUP_SEAL.jpg</v>
      </c>
      <c r="AB7" t="str">
        <v>/documents/loads/L-506_DELIVERY_SEAL.jpg</v>
      </c>
      <c r="AC7" t="str">
        <v>/drivers/DRV-006.jpg</v>
      </c>
      <c r="AD7" t="str">
        <v>/images/pod/L-506_POD.jpg</v>
      </c>
      <c r="AE7" t="str">
        <v>/images/pickup/L-506_PICKUP.jpg</v>
      </c>
      <c r="AF7" t="str">
        <v>/images/delivery/L-506_DELIVERY.jpg</v>
      </c>
      <c r="AG7" t="str">
        <v>/images/lumper/L-506_LUMPER.jpg</v>
      </c>
      <c r="AH7" t="str">
        <v>Tina Brooks</v>
      </c>
      <c r="AI7" t="str">
        <v>BlueLine Logistics</v>
      </c>
      <c r="AJ7" t="str">
        <v>MC-782104</v>
      </c>
      <c r="AK7" t="str">
        <v>Ozark Building Supply</v>
      </c>
      <c r="AL7" t="str">
        <v>710 Quarry Rd</v>
      </c>
      <c r="AM7" t="str">
        <v>Springfield</v>
      </c>
      <c r="AN7" t="str">
        <v>MO</v>
      </c>
      <c r="AO7">
        <v>45849.70833333334</v>
      </c>
      <c r="AP7" t="str">
        <v>River City Distribution</v>
      </c>
      <c r="AQ7" t="str">
        <v>2100 Depot Ave</v>
      </c>
      <c r="AR7" t="str">
        <v>Nashville</v>
      </c>
      <c r="AS7" t="str">
        <v>TN</v>
      </c>
      <c r="AT7">
        <v>45853.16666666666</v>
      </c>
      <c r="AU7" t="str">
        <v>Consumer packaged goods</v>
      </c>
      <c r="AV7">
        <v>30964</v>
      </c>
      <c r="AW7">
        <v>26</v>
      </c>
      <c r="AX7">
        <v>624</v>
      </c>
      <c r="AY7" t="str">
        <v>TRL-2371</v>
      </c>
      <c r="AZ7" t="str">
        <v>RC-506-242</v>
      </c>
      <c r="BA7" t="str">
        <v>BOL-506-5040</v>
      </c>
      <c r="BB7" t="str">
        <v>YES</v>
      </c>
      <c r="BC7">
        <v>45853.41666666666</v>
      </c>
      <c r="BD7">
        <v>315</v>
      </c>
      <c r="BE7" t="str">
        <v>RFID-506-80644</v>
      </c>
      <c r="BF7">
        <v>45849.72291666667</v>
      </c>
      <c r="BG7">
        <v>45853.20625</v>
      </c>
      <c r="BH7" t="str">
        <v>Springfield Yard Gate 4</v>
      </c>
      <c r="BI7" t="str">
        <v>VERIFIED</v>
      </c>
      <c r="BJ7" t="str">
        <v>NO_FINAL_SCAN</v>
      </c>
      <c r="BK7" t="str">
        <v>CLM-506-3266</v>
      </c>
      <c r="BL7" t="str">
        <v>NO_CLAIM</v>
      </c>
      <c r="BM7" t="str">
        <v/>
      </c>
      <c r="BN7">
        <v>45853</v>
      </c>
      <c r="BO7">
        <v>0</v>
      </c>
      <c r="BP7">
        <v>500</v>
      </c>
      <c r="BQ7" t="str">
        <v>Kelly Moore</v>
      </c>
      <c r="BR7" t="str">
        <v>Travelers Inland Marine</v>
      </c>
      <c r="BS7" t="str">
        <v>POL-757924</v>
      </c>
      <c r="BT7" t="str">
        <v>Prime Consumer - Atlanta, GA</v>
      </c>
      <c r="BU7" t="str">
        <v>Union Crossdock - Cleveland, OH</v>
      </c>
      <c r="BV7">
        <v>46214</v>
      </c>
      <c r="BW7">
        <v>46215</v>
      </c>
      <c r="BX7" t="str">
        <v>09:00-12:00</v>
      </c>
      <c r="BY7" t="str">
        <v>11:00-15:00</v>
      </c>
      <c r="BZ7">
        <v>2122</v>
      </c>
      <c r="CA7">
        <v>1681</v>
      </c>
      <c r="CB7">
        <v>246</v>
      </c>
      <c r="CC7">
        <v>0</v>
      </c>
      <c r="CD7">
        <v>123</v>
      </c>
      <c r="CE7">
        <v>525</v>
      </c>
      <c r="CF7" t="str">
        <v>BLN-100505</v>
      </c>
      <c r="CG7" t="str">
        <v>PO-84005</v>
      </c>
      <c r="CH7" t="str">
        <v>RECEIVED</v>
      </c>
      <c r="CI7" t="str">
        <v>/images/pod/L-506_POD.jpg</v>
      </c>
      <c r="CJ7" t="str">
        <v>Receiver</v>
      </c>
      <c r="CK7" t="str">
        <v>UPLOADED</v>
      </c>
      <c r="CL7">
        <v>46214</v>
      </c>
      <c r="CM7" t="str">
        <v>UPLOADED</v>
      </c>
      <c r="CN7">
        <v>46213</v>
      </c>
      <c r="CO7" t="str">
        <v>TRAIL-2007</v>
      </c>
      <c r="CP7" t="str">
        <v>CARGO-5007</v>
      </c>
      <c r="CQ7">
        <v>46215.42708333334</v>
      </c>
      <c r="CR7" t="str">
        <v>Dock Door 3</v>
      </c>
      <c r="CS7" t="str">
        <v>NO</v>
      </c>
      <c r="CT7" t="str">
        <v>Minor dock scrape</v>
      </c>
      <c r="CU7">
        <v>0</v>
      </c>
      <c r="CV7">
        <v>0</v>
      </c>
      <c r="CW7" t="str">
        <v>General Liability</v>
      </c>
      <c r="CX7" t="str">
        <v>NO</v>
      </c>
      <c r="CY7" t="str">
        <v>YES</v>
      </c>
      <c r="CZ7">
        <v>2122</v>
      </c>
      <c r="DA7">
        <v>574</v>
      </c>
      <c r="DB7" t="str">
        <v>NO</v>
      </c>
      <c r="DC7" t="str">
        <v/>
      </c>
      <c r="DD7" t="str">
        <v>COMPLETE</v>
      </c>
      <c r="DE7" t="str">
        <v>MO</v>
      </c>
      <c r="DF7" t="str">
        <v>TN</v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str">
        <v/>
      </c>
      <c r="EB7" t="str">
        <v/>
      </c>
      <c r="EC7" t="str">
        <v/>
      </c>
      <c r="ED7" t="str">
        <v/>
      </c>
    </row>
    <row r="8">
      <c r="A8" t="str">
        <v>L-507</v>
      </c>
      <c r="B8" t="str">
        <v>DRV-007</v>
      </c>
      <c r="C8" t="str">
        <v>Sofia Gomez</v>
      </c>
      <c r="D8" t="str">
        <v>T-109</v>
      </c>
      <c r="E8">
        <v>2300</v>
      </c>
      <c r="F8">
        <v>58</v>
      </c>
      <c r="G8" t="str">
        <v>NO</v>
      </c>
      <c r="H8" t="str">
        <v>DELIVERED</v>
      </c>
      <c r="I8" t="str">
        <v/>
      </c>
      <c r="J8" t="str">
        <v>SEAL-73005</v>
      </c>
      <c r="K8" t="str">
        <v>pickup_photo_07.jpg</v>
      </c>
      <c r="L8" t="str">
        <v>SEAL-73005</v>
      </c>
      <c r="M8" t="str">
        <v>delivery_photo_07.jpg</v>
      </c>
      <c r="N8" t="str">
        <v>VERIFIED</v>
      </c>
      <c r="O8" t="str">
        <v/>
      </c>
      <c r="P8" t="str">
        <v/>
      </c>
      <c r="Q8" t="str">
        <v>Pickup:SEAL-73005 | Delivery:SEAL-73099 | Override:NONE</v>
      </c>
      <c r="R8" t="str">
        <v>CLEAR</v>
      </c>
      <c r="S8" t="str">
        <v>VERIFIED</v>
      </c>
      <c r="T8" t="str">
        <v>NO</v>
      </c>
      <c r="U8" t="str">
        <v>CLOSED</v>
      </c>
      <c r="V8" t="str">
        <v>Driver 7</v>
      </c>
      <c r="W8" t="str">
        <v>PENDING</v>
      </c>
      <c r="X8" t="str">
        <v>DELIVERED</v>
      </c>
      <c r="Y8" t="str">
        <v>/documents/loads/L-507_RC.pdf</v>
      </c>
      <c r="Z8" t="str">
        <v>/documents/loads/L-507_BOL.pdf</v>
      </c>
      <c r="AA8" t="str">
        <v>/documents/loads/L-507_PICKUP_SEAL.jpg</v>
      </c>
      <c r="AB8" t="str">
        <v>/documents/loads/L-507_DELIVERY_SEAL.jpg</v>
      </c>
      <c r="AC8" t="str">
        <v>/drivers/DRV-007.jpg</v>
      </c>
      <c r="AD8" t="str">
        <v>/images/pod/L-507_POD.jpg</v>
      </c>
      <c r="AE8" t="str">
        <v>/images/pickup/L-507_PICKUP.jpg</v>
      </c>
      <c r="AF8" t="str">
        <v>/images/delivery/L-507_DELIVERY.jpg</v>
      </c>
      <c r="AG8" t="str">
        <v>/images/lumper/L-507_LUMPER.jpg</v>
      </c>
      <c r="AH8" t="str">
        <v>Jamal Reeves</v>
      </c>
      <c r="AI8" t="str">
        <v>Summit Freight</v>
      </c>
      <c r="AJ8" t="str">
        <v>MC-641255</v>
      </c>
      <c r="AK8" t="str">
        <v>Prairie Grain Co.</v>
      </c>
      <c r="AL8" t="str">
        <v>443 County Line Rd</v>
      </c>
      <c r="AM8" t="str">
        <v>Omaha</v>
      </c>
      <c r="AN8" t="str">
        <v>NE</v>
      </c>
      <c r="AO8">
        <v>45851.70833333334</v>
      </c>
      <c r="AP8" t="str">
        <v>Keystone Wholesale</v>
      </c>
      <c r="AQ8" t="str">
        <v>88 Liberty St</v>
      </c>
      <c r="AR8" t="str">
        <v>Pittsburgh</v>
      </c>
      <c r="AS8" t="str">
        <v>PA</v>
      </c>
      <c r="AT8">
        <v>45854.91666666666</v>
      </c>
      <c r="AU8" t="str">
        <v>Beverages</v>
      </c>
      <c r="AV8">
        <v>30608</v>
      </c>
      <c r="AW8">
        <v>24</v>
      </c>
      <c r="AX8">
        <v>936</v>
      </c>
      <c r="AY8" t="str">
        <v>TRL-2579</v>
      </c>
      <c r="AZ8" t="str">
        <v>RC-507-641</v>
      </c>
      <c r="BA8" t="str">
        <v>BOL-507-5119</v>
      </c>
      <c r="BB8" t="str">
        <v>YES</v>
      </c>
      <c r="BC8">
        <v>46217.45833333334</v>
      </c>
      <c r="BD8">
        <v>315</v>
      </c>
      <c r="BE8" t="str">
        <v>RFID-507-11504</v>
      </c>
      <c r="BF8">
        <v>45851.71666666667</v>
      </c>
      <c r="BG8">
        <v>46217.41666666666</v>
      </c>
      <c r="BH8" t="str">
        <v>Omaha Yard Gate 3</v>
      </c>
      <c r="BI8" t="str">
        <v>VERIFIED</v>
      </c>
      <c r="BJ8" t="str">
        <v>MISREAD_AT_GATE</v>
      </c>
      <c r="BK8" t="str">
        <v>1016</v>
      </c>
      <c r="BL8" t="str">
        <v>NO_CLAIM</v>
      </c>
      <c r="BM8" t="str">
        <v/>
      </c>
      <c r="BN8" t="str">
        <v/>
      </c>
      <c r="BO8">
        <v>0</v>
      </c>
      <c r="BP8">
        <v>500</v>
      </c>
      <c r="BQ8" t="str">
        <v>1016</v>
      </c>
      <c r="BR8" t="str">
        <v>Great West Casualty</v>
      </c>
      <c r="BS8" t="str">
        <v>POL-660008</v>
      </c>
      <c r="BT8" t="str">
        <v>Acme Distribution - St. Louis, MO</v>
      </c>
      <c r="BU8" t="str">
        <v>Metro Fulfillment - Chicago, IL</v>
      </c>
      <c r="BV8">
        <v>46216</v>
      </c>
      <c r="BW8">
        <v>46217</v>
      </c>
      <c r="BX8" t="str">
        <v>10:00-13:00</v>
      </c>
      <c r="BY8" t="str">
        <v>09:00-13:00</v>
      </c>
      <c r="BZ8">
        <v>2358</v>
      </c>
      <c r="CA8">
        <v>1886</v>
      </c>
      <c r="CB8">
        <v>276</v>
      </c>
      <c r="CC8">
        <v>50</v>
      </c>
      <c r="CD8">
        <v>88</v>
      </c>
      <c r="CE8">
        <v>582</v>
      </c>
      <c r="CF8" t="str">
        <v>BLN-100506</v>
      </c>
      <c r="CG8" t="str">
        <v>PO-84006</v>
      </c>
      <c r="CH8" t="str">
        <v>RECEIVED</v>
      </c>
      <c r="CI8" t="str">
        <v>/images/pod/L-507_POD.jpg</v>
      </c>
      <c r="CJ8" t="str">
        <v>Dock Supervisor</v>
      </c>
      <c r="CK8" t="str">
        <v>MISSING</v>
      </c>
      <c r="CL8">
        <v>46216</v>
      </c>
      <c r="CM8" t="str">
        <v>UPLOADED</v>
      </c>
      <c r="CN8">
        <v>46215</v>
      </c>
      <c r="CO8" t="str">
        <v>TRAIL-2008</v>
      </c>
      <c r="CP8" t="str">
        <v>CARGO-5008</v>
      </c>
      <c r="CQ8">
        <v>46217.42708333334</v>
      </c>
      <c r="CR8" t="str">
        <v>Yard Gate A</v>
      </c>
      <c r="CS8" t="str">
        <v>NO</v>
      </c>
      <c r="CT8" t="str">
        <v>No active claim</v>
      </c>
      <c r="CU8">
        <v>0</v>
      </c>
      <c r="CV8">
        <v>0</v>
      </c>
      <c r="CW8" t="str">
        <v>Motor Truck Cargo</v>
      </c>
      <c r="CX8" t="str">
        <v>NO</v>
      </c>
      <c r="CY8" t="str">
        <v>NO</v>
      </c>
      <c r="CZ8">
        <v>2358</v>
      </c>
      <c r="DA8">
        <v>644</v>
      </c>
      <c r="DB8" t="str">
        <v>YES</v>
      </c>
      <c r="DC8" t="str">
        <v>QR lumper authorization and Zelle payment closeout pending</v>
      </c>
      <c r="DD8" t="str">
        <v>NEEDS_REVIEW</v>
      </c>
      <c r="DE8" t="str">
        <v>NE</v>
      </c>
      <c r="DF8" t="str">
        <v>PA</v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  <c r="DR8" t="str">
        <v/>
      </c>
      <c r="DS8" t="str">
        <v/>
      </c>
      <c r="DT8" t="str">
        <v/>
      </c>
      <c r="DU8" t="str">
        <v/>
      </c>
      <c r="DV8" t="str">
        <v/>
      </c>
      <c r="DW8" t="str">
        <v/>
      </c>
      <c r="DX8" t="str">
        <v/>
      </c>
      <c r="DY8" t="str">
        <v/>
      </c>
      <c r="DZ8" t="str">
        <v/>
      </c>
      <c r="EA8" t="str">
        <v/>
      </c>
      <c r="EB8" t="str">
        <v/>
      </c>
      <c r="EC8" t="str">
        <v>Missing lumper receipt for reimbursement</v>
      </c>
      <c r="ED8" t="str">
        <v/>
      </c>
      <c r="EE8" t="str">
        <v>YES</v>
      </c>
      <c r="EF8" t="str">
        <v>NEEDS_REVIEW</v>
      </c>
      <c r="EG8" t="str">
        <v>QR lumper authorization/payment closeout pending</v>
      </c>
    </row>
    <row r="9">
      <c r="A9" t="str">
        <v>L-508</v>
      </c>
      <c r="B9" t="str">
        <v>DRV-008</v>
      </c>
      <c r="C9" t="str">
        <v>Liam Smith</v>
      </c>
      <c r="D9" t="str">
        <v>T-110</v>
      </c>
      <c r="E9">
        <v>1750</v>
      </c>
      <c r="F9">
        <v>81</v>
      </c>
      <c r="G9" t="str">
        <v>YES</v>
      </c>
      <c r="H9" t="str">
        <v>DELIVERED</v>
      </c>
      <c r="I9" t="str">
        <v/>
      </c>
      <c r="J9" t="str">
        <v>SEAL-18542</v>
      </c>
      <c r="K9" t="str">
        <v>pickup_photo_08.jpg</v>
      </c>
      <c r="L9" t="str">
        <v>SEAL-18542</v>
      </c>
      <c r="M9" t="str">
        <v>delivery_photo_08.jpg</v>
      </c>
      <c r="N9" t="str">
        <v>VERIFIED</v>
      </c>
      <c r="O9" t="str">
        <v/>
      </c>
      <c r="P9" t="str">
        <v/>
      </c>
      <c r="Q9" t="str">
        <v/>
      </c>
      <c r="R9" t="str">
        <v>CLEAR</v>
      </c>
      <c r="S9" t="str">
        <v>VERIFIED</v>
      </c>
      <c r="T9" t="str">
        <v>NO</v>
      </c>
      <c r="U9" t="str">
        <v>CLOSED</v>
      </c>
      <c r="V9" t="str">
        <v>Driver 8</v>
      </c>
      <c r="W9" t="str">
        <v>READY</v>
      </c>
      <c r="X9" t="str">
        <v>DELIVERED</v>
      </c>
      <c r="Y9" t="str">
        <v>/documents/loads/L-508_RC.pdf</v>
      </c>
      <c r="Z9" t="str">
        <v>/documents/loads/L-508_BOL.pdf</v>
      </c>
      <c r="AA9" t="str">
        <v>/documents/loads/L-508_PICKUP_SEAL.jpg</v>
      </c>
      <c r="AB9" t="str">
        <v>/documents/loads/L-508_DELIVERY_SEAL.jpg</v>
      </c>
      <c r="AC9" t="str">
        <v>/drivers/DRV-008.jpg</v>
      </c>
      <c r="AD9" t="str">
        <v>/images/pod/L-508_POD.jpg</v>
      </c>
      <c r="AE9" t="str">
        <v>/images/pickup/L-508_PICKUP.jpg</v>
      </c>
      <c r="AF9" t="str">
        <v>/images/delivery/L-508_DELIVERY.jpg</v>
      </c>
      <c r="AG9" t="str">
        <v>/images/lumper/L-508_LUMPER.jpg</v>
      </c>
      <c r="AH9" t="str">
        <v>Morgan Patel</v>
      </c>
      <c r="AI9" t="str">
        <v>IronRoute Transport</v>
      </c>
      <c r="AJ9" t="str">
        <v>MC-518903</v>
      </c>
      <c r="AK9" t="str">
        <v>Peachtree Foods</v>
      </c>
      <c r="AL9" t="str">
        <v>1450 Industrial Pkwy</v>
      </c>
      <c r="AM9" t="str">
        <v>Atlanta</v>
      </c>
      <c r="AN9" t="str">
        <v>GA</v>
      </c>
      <c r="AO9">
        <v>45853.75</v>
      </c>
      <c r="AP9" t="str">
        <v>Desert Valley Grocers</v>
      </c>
      <c r="AQ9" t="str">
        <v>504 Mesa Park</v>
      </c>
      <c r="AR9" t="str">
        <v>Phoenix</v>
      </c>
      <c r="AS9" t="str">
        <v>AZ</v>
      </c>
      <c r="AT9">
        <v>45855.08333333334</v>
      </c>
      <c r="AU9" t="str">
        <v>Auto parts</v>
      </c>
      <c r="AV9">
        <v>34403</v>
      </c>
      <c r="AW9">
        <v>17</v>
      </c>
      <c r="AX9">
        <v>612</v>
      </c>
      <c r="AY9" t="str">
        <v>TRL-2208</v>
      </c>
      <c r="AZ9" t="str">
        <v>RC-508-991</v>
      </c>
      <c r="BA9" t="str">
        <v>BOL-508-5889</v>
      </c>
      <c r="BB9" t="str">
        <v>YES</v>
      </c>
      <c r="BC9">
        <v>45855.33333333334</v>
      </c>
      <c r="BD9">
        <v>315</v>
      </c>
      <c r="BE9" t="str">
        <v>RFID-508-89818</v>
      </c>
      <c r="BF9">
        <v>45853.76180555556</v>
      </c>
      <c r="BG9">
        <v>45855.09652777778</v>
      </c>
      <c r="BH9" t="str">
        <v>Atlanta Yard Gate 3</v>
      </c>
      <c r="BI9" t="str">
        <v>VERIFIED</v>
      </c>
      <c r="BJ9" t="str">
        <v>DUPLICATE_SCAN</v>
      </c>
      <c r="BK9" t="str">
        <v>CLM-508-9689</v>
      </c>
      <c r="BL9" t="str">
        <v>NO_CLAIM</v>
      </c>
      <c r="BM9" t="str">
        <v/>
      </c>
      <c r="BN9">
        <v>45855</v>
      </c>
      <c r="BO9">
        <v>0</v>
      </c>
      <c r="BP9">
        <v>500</v>
      </c>
      <c r="BQ9" t="str">
        <v>Alicia Gomez</v>
      </c>
      <c r="BR9" t="str">
        <v>Great West Casualty</v>
      </c>
      <c r="BS9" t="str">
        <v>POL-351083</v>
      </c>
      <c r="BT9" t="str">
        <v>Midwest Foods - Nashville, TN</v>
      </c>
      <c r="BU9" t="str">
        <v>South Hub DC - Indianapolis, IN</v>
      </c>
      <c r="BV9">
        <v>46218</v>
      </c>
      <c r="BW9">
        <v>46219</v>
      </c>
      <c r="BX9" t="str">
        <v>08:00-11:00</v>
      </c>
      <c r="BY9" t="str">
        <v>10:00-14:00</v>
      </c>
      <c r="BZ9">
        <v>1831</v>
      </c>
      <c r="CA9">
        <v>1435</v>
      </c>
      <c r="CB9">
        <v>210</v>
      </c>
      <c r="CC9">
        <v>75</v>
      </c>
      <c r="CD9">
        <v>30</v>
      </c>
      <c r="CE9">
        <v>639</v>
      </c>
      <c r="CF9" t="str">
        <v>BLN-100507</v>
      </c>
      <c r="CG9" t="str">
        <v>PO-84007</v>
      </c>
      <c r="CH9" t="str">
        <v>PENDING</v>
      </c>
      <c r="CI9" t="str">
        <v>/images/pod/L-508_POD.jpg</v>
      </c>
      <c r="CJ9" t="str">
        <v>Inventory Lead</v>
      </c>
      <c r="CK9" t="str">
        <v>UPLOADED</v>
      </c>
      <c r="CL9">
        <v>46218</v>
      </c>
      <c r="CM9" t="str">
        <v>UPLOADED</v>
      </c>
      <c r="CN9">
        <v>46217</v>
      </c>
      <c r="CO9" t="str">
        <v>TRAIL-2009</v>
      </c>
      <c r="CP9" t="str">
        <v>CARGO-5009</v>
      </c>
      <c r="CQ9">
        <v>46219.42708333334</v>
      </c>
      <c r="CR9" t="str">
        <v>Warehouse South</v>
      </c>
      <c r="CS9" t="str">
        <v>NO</v>
      </c>
      <c r="CT9" t="str">
        <v>No active claim</v>
      </c>
      <c r="CU9">
        <v>0</v>
      </c>
      <c r="CV9">
        <v>0</v>
      </c>
      <c r="CW9" t="str">
        <v>Auto Liability</v>
      </c>
      <c r="CX9" t="str">
        <v>NO</v>
      </c>
      <c r="CY9" t="str">
        <v>YES</v>
      </c>
      <c r="CZ9">
        <v>1831</v>
      </c>
      <c r="DA9">
        <v>490</v>
      </c>
      <c r="DB9" t="str">
        <v>NO</v>
      </c>
      <c r="DC9" t="str">
        <v/>
      </c>
      <c r="DD9" t="str">
        <v>COMPLETE</v>
      </c>
      <c r="DE9" t="str">
        <v>GA</v>
      </c>
      <c r="DF9" t="str">
        <v>AZ</v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 t="str">
        <v/>
      </c>
      <c r="DX9" t="str">
        <v/>
      </c>
      <c r="DY9" t="str">
        <v/>
      </c>
      <c r="DZ9" t="str">
        <v/>
      </c>
      <c r="EA9" t="str">
        <v/>
      </c>
      <c r="EB9" t="str">
        <v/>
      </c>
      <c r="EC9" t="str">
        <v/>
      </c>
      <c r="ED9" t="str">
        <v/>
      </c>
    </row>
    <row r="10">
      <c r="A10" t="str">
        <v>L-509</v>
      </c>
      <c r="B10" t="str">
        <v>DRV-009</v>
      </c>
      <c r="C10" t="str">
        <v>Emma Brown</v>
      </c>
      <c r="D10" t="str">
        <v>T-111</v>
      </c>
      <c r="E10">
        <v>2400</v>
      </c>
      <c r="F10">
        <v>49</v>
      </c>
      <c r="G10" t="str">
        <v>NO</v>
      </c>
      <c r="H10" t="str">
        <v>PENDING</v>
      </c>
      <c r="I10" t="str">
        <v>Customer hold</v>
      </c>
      <c r="J10" t="str">
        <v>SEAL-26790</v>
      </c>
      <c r="K10" t="str">
        <v>pickup_photo_09.jpg</v>
      </c>
      <c r="L10" t="str">
        <v>SEAL-26790</v>
      </c>
      <c r="M10" t="str">
        <v>delivery_photo_09.jpg</v>
      </c>
      <c r="N10" t="str">
        <v>VERIFIED</v>
      </c>
      <c r="O10" t="str">
        <v/>
      </c>
      <c r="P10" t="str">
        <v>Carrier note logged</v>
      </c>
      <c r="Q10" t="str">
        <v>Pickup:SEAL-26790 | Delivery:SEAL-26791 | Override:Carrier note logged</v>
      </c>
      <c r="R10" t="str">
        <v>CLEAR</v>
      </c>
      <c r="S10" t="str">
        <v>VERIFIED</v>
      </c>
      <c r="T10" t="str">
        <v>NO</v>
      </c>
      <c r="U10" t="str">
        <v>CLOSED</v>
      </c>
      <c r="V10" t="str">
        <v>Driver 9</v>
      </c>
      <c r="W10" t="str">
        <v>PENDING</v>
      </c>
      <c r="X10" t="str">
        <v>PENDING</v>
      </c>
      <c r="Y10" t="str">
        <v>/documents/loads/L-509_RC.pdf</v>
      </c>
      <c r="Z10" t="str">
        <v>/documents/loads/L-509_BOL.pdf</v>
      </c>
      <c r="AA10" t="str">
        <v>/documents/loads/L-509_PICKUP_SEAL.jpg</v>
      </c>
      <c r="AB10" t="str">
        <v>/documents/loads/L-509_DELIVERY_SEAL.jpg</v>
      </c>
      <c r="AC10" t="str">
        <v>/drivers/DRV-009.jpg</v>
      </c>
      <c r="AD10" t="str">
        <v>/images/pod/L-509_POD.jpg</v>
      </c>
      <c r="AE10" t="str">
        <v>/images/pickup/L-509_PICKUP.jpg</v>
      </c>
      <c r="AF10" t="str">
        <v>/images/delivery/L-509_DELIVERY.jpg</v>
      </c>
      <c r="AG10" t="str">
        <v>/images/lumper/L-509_LUMPER.jpg</v>
      </c>
      <c r="AH10" t="str">
        <v>Avery Collins</v>
      </c>
      <c r="AI10" t="str">
        <v>NorthStar 3PL</v>
      </c>
      <c r="AJ10" t="str">
        <v>MC-774221</v>
      </c>
      <c r="AK10" t="str">
        <v>Lakeside Plastics</v>
      </c>
      <c r="AL10" t="str">
        <v>880 Harbor Dr</v>
      </c>
      <c r="AM10" t="str">
        <v>Cleveland</v>
      </c>
      <c r="AN10" t="str">
        <v>OH</v>
      </c>
      <c r="AO10">
        <v>45855.5</v>
      </c>
      <c r="AP10" t="str">
        <v>Great Lakes Foods</v>
      </c>
      <c r="AQ10" t="str">
        <v>109 Shoreline Dr</v>
      </c>
      <c r="AR10" t="str">
        <v>Detroit</v>
      </c>
      <c r="AS10" t="str">
        <v>MI</v>
      </c>
      <c r="AT10">
        <v>45858.70833333334</v>
      </c>
      <c r="AU10" t="str">
        <v>Frozen foods</v>
      </c>
      <c r="AV10">
        <v>20806</v>
      </c>
      <c r="AW10">
        <v>27</v>
      </c>
      <c r="AX10">
        <v>1242</v>
      </c>
      <c r="AY10" t="str">
        <v>TRL-2170</v>
      </c>
      <c r="AZ10" t="str">
        <v>RC-509-878</v>
      </c>
      <c r="BA10" t="str">
        <v>BOL-509-9727</v>
      </c>
      <c r="BB10" t="str">
        <v>NO</v>
      </c>
      <c r="BC10">
        <v>46221.45833333334</v>
      </c>
      <c r="BD10">
        <v>125</v>
      </c>
      <c r="BE10" t="str">
        <v>RFID-509-26828</v>
      </c>
      <c r="BF10">
        <v>45855.52430555555</v>
      </c>
      <c r="BG10">
        <v>46221.41666666666</v>
      </c>
      <c r="BH10" t="str">
        <v>Cleveland Yard Gate 2</v>
      </c>
      <c r="BI10" t="str">
        <v>PENDING_DELIVERY</v>
      </c>
      <c r="BJ10" t="str">
        <v>1016</v>
      </c>
      <c r="BK10" t="str">
        <v>1016</v>
      </c>
      <c r="BL10" t="str">
        <v>NO_CLAIM</v>
      </c>
      <c r="BM10" t="str">
        <v/>
      </c>
      <c r="BN10" t="str">
        <v/>
      </c>
      <c r="BO10">
        <v>0</v>
      </c>
      <c r="BP10">
        <v>500</v>
      </c>
      <c r="BQ10" t="str">
        <v>1016</v>
      </c>
      <c r="BR10" t="str">
        <v>Nationwide</v>
      </c>
      <c r="BS10" t="str">
        <v>POL-660010</v>
      </c>
      <c r="BT10" t="str">
        <v>BlueLine Retail - Cleveland, OH</v>
      </c>
      <c r="BU10" t="str">
        <v>Lakeside Grocery - Dallas, TX</v>
      </c>
      <c r="BV10">
        <v>46220</v>
      </c>
      <c r="BW10">
        <v>46221</v>
      </c>
      <c r="BX10" t="str">
        <v>09:00-12:00</v>
      </c>
      <c r="BY10" t="str">
        <v>11:00-15:00</v>
      </c>
      <c r="BZ10">
        <v>2449</v>
      </c>
      <c r="CA10">
        <v>1967</v>
      </c>
      <c r="CB10">
        <v>288</v>
      </c>
      <c r="CC10">
        <v>0</v>
      </c>
      <c r="CD10">
        <v>145</v>
      </c>
      <c r="CE10">
        <v>696</v>
      </c>
      <c r="CF10" t="str">
        <v>BLN-100508</v>
      </c>
      <c r="CG10" t="str">
        <v>PO-84008</v>
      </c>
      <c r="CH10" t="str">
        <v>RECEIVED</v>
      </c>
      <c r="CI10" t="str">
        <v>/images/pod/L-509_POD.jpg</v>
      </c>
      <c r="CJ10" t="str">
        <v>Warehouse Clerk</v>
      </c>
      <c r="CK10" t="str">
        <v>UPLOADED</v>
      </c>
      <c r="CL10">
        <v>46220</v>
      </c>
      <c r="CM10" t="str">
        <v>UPLOADED</v>
      </c>
      <c r="CN10">
        <v>46219</v>
      </c>
      <c r="CO10" t="str">
        <v>TRAIL-2010</v>
      </c>
      <c r="CP10" t="str">
        <v>CARGO-5010</v>
      </c>
      <c r="CQ10">
        <v>46221.42708333334</v>
      </c>
      <c r="CR10" t="str">
        <v>Crossdock Bay 2</v>
      </c>
      <c r="CS10" t="str">
        <v>NO</v>
      </c>
      <c r="CT10" t="str">
        <v>No active claim</v>
      </c>
      <c r="CU10">
        <v>0</v>
      </c>
      <c r="CV10">
        <v>0</v>
      </c>
      <c r="CW10" t="str">
        <v>General Liability</v>
      </c>
      <c r="CX10" t="str">
        <v>NO</v>
      </c>
      <c r="CY10" t="str">
        <v>YES</v>
      </c>
      <c r="CZ10">
        <v>2449</v>
      </c>
      <c r="DA10">
        <v>672</v>
      </c>
      <c r="DB10" t="str">
        <v>NO</v>
      </c>
      <c r="DC10" t="str">
        <v/>
      </c>
      <c r="DD10" t="str">
        <v>COMPLETE</v>
      </c>
      <c r="DE10" t="str">
        <v>OH</v>
      </c>
      <c r="DF10" t="str">
        <v>MI</v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 t="str">
        <v/>
      </c>
      <c r="DX10" t="str">
        <v/>
      </c>
      <c r="DY10" t="str">
        <v/>
      </c>
      <c r="DZ10" t="str">
        <v/>
      </c>
      <c r="EA10" t="str">
        <v/>
      </c>
      <c r="EB10" t="str">
        <v/>
      </c>
      <c r="EC10" t="str">
        <v/>
      </c>
      <c r="ED10" t="str">
        <v/>
      </c>
    </row>
    <row r="11">
      <c r="A11" t="str">
        <v>L-510</v>
      </c>
      <c r="B11" t="str">
        <v>DRV-010</v>
      </c>
      <c r="C11" t="str">
        <v>Noah Wilson</v>
      </c>
      <c r="D11" t="str">
        <v>T-105</v>
      </c>
      <c r="E11">
        <v>1900</v>
      </c>
      <c r="F11">
        <v>77</v>
      </c>
      <c r="G11" t="str">
        <v>YES</v>
      </c>
      <c r="H11" t="str">
        <v>DELIVERED</v>
      </c>
      <c r="I11" t="str">
        <v/>
      </c>
      <c r="J11" t="str">
        <v>SEAL-48113</v>
      </c>
      <c r="K11" t="str">
        <v>pickup_photo_10.jpg</v>
      </c>
      <c r="L11" t="str">
        <v>SEAL-48113</v>
      </c>
      <c r="M11" t="str">
        <v/>
      </c>
      <c r="N11" t="str">
        <v>VERIFIED</v>
      </c>
      <c r="O11" t="str">
        <v/>
      </c>
      <c r="P11" t="str">
        <v/>
      </c>
      <c r="Q11" t="str">
        <v>Pickup:SEAL-48113 | Delivery: | Override:NONE</v>
      </c>
      <c r="R11" t="str">
        <v>CLEAR</v>
      </c>
      <c r="S11" t="str">
        <v>VERIFIED</v>
      </c>
      <c r="T11" t="str">
        <v>NO</v>
      </c>
      <c r="U11" t="str">
        <v>CLOSED</v>
      </c>
      <c r="V11" t="str">
        <v>Driver 10</v>
      </c>
      <c r="W11" t="str">
        <v>READY</v>
      </c>
      <c r="X11" t="str">
        <v>DELIVERED</v>
      </c>
      <c r="Y11" t="str">
        <v>/documents/loads/L-510_RC.pdf</v>
      </c>
      <c r="Z11" t="str">
        <v>/documents/loads/L-510_BOL.pdf</v>
      </c>
      <c r="AA11" t="str">
        <v>/documents/loads/L-510_PICKUP_SEAL.jpg</v>
      </c>
      <c r="AB11" t="str">
        <v>/documents/loads/L-510_DELIVERY_SEAL.jpg</v>
      </c>
      <c r="AC11" t="str">
        <v>/drivers/DRV-010.jpg</v>
      </c>
      <c r="AD11" t="str">
        <v>/images/pod/L-510_POD.jpg</v>
      </c>
      <c r="AE11" t="str">
        <v>/images/pickup/L-510_PICKUP.jpg</v>
      </c>
      <c r="AF11" t="str">
        <v>/images/delivery/L-510_DELIVERY.jpg</v>
      </c>
      <c r="AG11" t="str">
        <v>/images/lumper/L-510_LUMPER.jpg</v>
      </c>
      <c r="AH11" t="str">
        <v>Nina Harris</v>
      </c>
      <c r="AI11" t="str">
        <v>Pioneer Brokerage</v>
      </c>
      <c r="AJ11" t="str">
        <v>MC-699114</v>
      </c>
      <c r="AK11" t="str">
        <v>Midwest Paper Co.</v>
      </c>
      <c r="AL11" t="str">
        <v>2210 Mill Rd</v>
      </c>
      <c r="AM11" t="str">
        <v>Columbus</v>
      </c>
      <c r="AN11" t="str">
        <v>OH</v>
      </c>
      <c r="AO11">
        <v>45857.625</v>
      </c>
      <c r="AP11" t="str">
        <v>Capital Retail Hub</v>
      </c>
      <c r="AQ11" t="str">
        <v>755 Market Loop</v>
      </c>
      <c r="AR11" t="str">
        <v>Indianapolis</v>
      </c>
      <c r="AS11" t="str">
        <v>IN</v>
      </c>
      <c r="AT11">
        <v>45860.95833333334</v>
      </c>
      <c r="AU11" t="str">
        <v>Dry groceries</v>
      </c>
      <c r="AV11">
        <v>31074</v>
      </c>
      <c r="AW11">
        <v>23</v>
      </c>
      <c r="AX11">
        <v>782</v>
      </c>
      <c r="AY11" t="str">
        <v>TRL-2629</v>
      </c>
      <c r="AZ11" t="str">
        <v>RC-510-562</v>
      </c>
      <c r="BA11" t="str">
        <v>BOL-510-2982</v>
      </c>
      <c r="BB11" t="str">
        <v>YES</v>
      </c>
      <c r="BC11">
        <v>45861.04166666666</v>
      </c>
      <c r="BD11">
        <v>125</v>
      </c>
      <c r="BE11" t="str">
        <v>RFID-510-18392</v>
      </c>
      <c r="BF11">
        <v>45857.64305555556</v>
      </c>
      <c r="BG11">
        <v>45860.96597222222</v>
      </c>
      <c r="BH11" t="str">
        <v>Columbus Yard Gate 2</v>
      </c>
      <c r="BI11" t="str">
        <v>VERIFIED</v>
      </c>
      <c r="BJ11" t="str">
        <v>1016</v>
      </c>
      <c r="BK11" t="str">
        <v>CLM-510-1964</v>
      </c>
      <c r="BL11" t="str">
        <v>NO_CLAIM</v>
      </c>
      <c r="BM11" t="str">
        <v/>
      </c>
      <c r="BN11">
        <v>45860</v>
      </c>
      <c r="BO11">
        <v>0</v>
      </c>
      <c r="BP11">
        <v>1000</v>
      </c>
      <c r="BQ11" t="str">
        <v>Kelly Moore</v>
      </c>
      <c r="BR11" t="str">
        <v>Travelers Inland Marine</v>
      </c>
      <c r="BS11" t="str">
        <v>POL-392004</v>
      </c>
      <c r="BT11" t="str">
        <v>NorthStar Paper - Chicago, IL</v>
      </c>
      <c r="BU11" t="str">
        <v>Cleveland Receiver - Memphis, TN</v>
      </c>
      <c r="BV11">
        <v>46222</v>
      </c>
      <c r="BW11">
        <v>46223</v>
      </c>
      <c r="BX11" t="str">
        <v>10:00-13:00</v>
      </c>
      <c r="BY11" t="str">
        <v>09:00-13:00</v>
      </c>
      <c r="BZ11">
        <v>1977</v>
      </c>
      <c r="CA11">
        <v>1558</v>
      </c>
      <c r="CB11">
        <v>228</v>
      </c>
      <c r="CC11">
        <v>25</v>
      </c>
      <c r="CD11">
        <v>89</v>
      </c>
      <c r="CE11">
        <v>753</v>
      </c>
      <c r="CF11" t="str">
        <v>BLN-100509</v>
      </c>
      <c r="CG11" t="str">
        <v>PO-84009</v>
      </c>
      <c r="CH11" t="str">
        <v>RECEIVED</v>
      </c>
      <c r="CI11" t="str">
        <v>/images/pod/L-510_POD.jpg</v>
      </c>
      <c r="CJ11" t="str">
        <v>Receiver</v>
      </c>
      <c r="CK11" t="str">
        <v>UPLOADED</v>
      </c>
      <c r="CL11">
        <v>46222</v>
      </c>
      <c r="CM11" t="str">
        <v>UPLOADED</v>
      </c>
      <c r="CN11">
        <v>46221</v>
      </c>
      <c r="CO11" t="str">
        <v>TRAIL-2011</v>
      </c>
      <c r="CP11" t="str">
        <v>CARGO-5011</v>
      </c>
      <c r="CQ11">
        <v>46223.42708333334</v>
      </c>
      <c r="CR11" t="str">
        <v>Receiver Gate 1</v>
      </c>
      <c r="CS11" t="str">
        <v>NO</v>
      </c>
      <c r="CT11" t="str">
        <v>Cargo shift photos attached</v>
      </c>
      <c r="CU11">
        <v>0</v>
      </c>
      <c r="CV11">
        <v>0</v>
      </c>
      <c r="CW11" t="str">
        <v>Motor Truck Cargo</v>
      </c>
      <c r="CX11" t="str">
        <v>NO</v>
      </c>
      <c r="CY11" t="str">
        <v>YES</v>
      </c>
      <c r="CZ11">
        <v>1977</v>
      </c>
      <c r="DA11">
        <v>532</v>
      </c>
      <c r="DB11" t="str">
        <v>YES</v>
      </c>
      <c r="DC11" t="str">
        <v>HOS coaching acknowledgment pending</v>
      </c>
      <c r="DD11" t="str">
        <v>COMPLETE</v>
      </c>
      <c r="DE11" t="str">
        <v>OH</v>
      </c>
      <c r="DF11" t="str">
        <v>IN</v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  <c r="DQ11" t="str">
        <v/>
      </c>
      <c r="DR11" t="str">
        <v/>
      </c>
      <c r="DS11" t="str">
        <v/>
      </c>
      <c r="DT11" t="str">
        <v/>
      </c>
      <c r="DU11" t="str">
        <v/>
      </c>
      <c r="DV11" t="str">
        <v/>
      </c>
      <c r="DW11" t="str">
        <v/>
      </c>
      <c r="DX11" t="str">
        <v/>
      </c>
      <c r="DY11" t="str">
        <v/>
      </c>
      <c r="DZ11" t="str">
        <v/>
      </c>
      <c r="EA11" t="str">
        <v/>
      </c>
      <c r="EB11" t="str">
        <v/>
      </c>
      <c r="EC11" t="str">
        <v>HOS coaching acknowledgment pending</v>
      </c>
      <c r="ED11" t="str">
        <v/>
      </c>
    </row>
    <row r="12">
      <c r="A12" t="str">
        <v>L-511</v>
      </c>
      <c r="B12" t="str">
        <v>DRV-011</v>
      </c>
      <c r="C12" t="str">
        <v>Olivia Lee</v>
      </c>
      <c r="D12" t="str">
        <v>T-112</v>
      </c>
      <c r="E12">
        <v>2250</v>
      </c>
      <c r="F12">
        <v>63</v>
      </c>
      <c r="G12" t="str">
        <v>NO</v>
      </c>
      <c r="H12" t="str">
        <v>IN_TRANSIT</v>
      </c>
      <c r="I12" t="str">
        <v/>
      </c>
      <c r="J12" t="str">
        <v>SEAL-91420</v>
      </c>
      <c r="K12" t="str">
        <v>pickup_photo_11.jpg</v>
      </c>
      <c r="L12" t="str">
        <v>SEAL-91420</v>
      </c>
      <c r="M12" t="str">
        <v>delivery_photo_11.jpg</v>
      </c>
      <c r="N12" t="str">
        <v>VERIFIED</v>
      </c>
      <c r="O12" t="str">
        <v/>
      </c>
      <c r="P12" t="str">
        <v/>
      </c>
      <c r="Q12" t="str">
        <v/>
      </c>
      <c r="R12" t="str">
        <v>CLEAR</v>
      </c>
      <c r="S12" t="str">
        <v>VERIFIED</v>
      </c>
      <c r="T12" t="str">
        <v>NO</v>
      </c>
      <c r="U12" t="str">
        <v>CLOSED</v>
      </c>
      <c r="V12" t="str">
        <v>Driver 11</v>
      </c>
      <c r="W12" t="str">
        <v>PENDING</v>
      </c>
      <c r="X12" t="str">
        <v>IN_TRANSIT</v>
      </c>
      <c r="Y12" t="str">
        <v>/documents/loads/L-511_RC.pdf</v>
      </c>
      <c r="Z12" t="str">
        <v>/documents/loads/L-511_BOL.pdf</v>
      </c>
      <c r="AA12" t="str">
        <v>/documents/loads/L-511_PICKUP_SEAL.jpg</v>
      </c>
      <c r="AB12" t="str">
        <v>/documents/loads/L-511_DELIVERY_SEAL.jpg</v>
      </c>
      <c r="AC12" t="str">
        <v>/drivers/DRV-011.jpg</v>
      </c>
      <c r="AD12" t="str">
        <v>/images/pod/L-511_POD.jpg</v>
      </c>
      <c r="AE12" t="str">
        <v>/images/pickup/L-511_PICKUP.jpg</v>
      </c>
      <c r="AF12" t="str">
        <v>/images/delivery/L-511_DELIVERY.jpg</v>
      </c>
      <c r="AG12" t="str">
        <v>/images/lumper/L-511_LUMPER.jpg</v>
      </c>
      <c r="AH12" t="str">
        <v>Tina Brooks</v>
      </c>
      <c r="AI12" t="str">
        <v>BlueLine Logistics</v>
      </c>
      <c r="AJ12" t="str">
        <v>MC-782104</v>
      </c>
      <c r="AK12" t="str">
        <v>Sunbelt Beverages</v>
      </c>
      <c r="AL12" t="str">
        <v>9900 Commerce Blvd</v>
      </c>
      <c r="AM12" t="str">
        <v>Charlotte</v>
      </c>
      <c r="AN12" t="str">
        <v>NC</v>
      </c>
      <c r="AO12">
        <v>45859.79166666666</v>
      </c>
      <c r="AP12" t="str">
        <v>Bayport Imports</v>
      </c>
      <c r="AQ12" t="str">
        <v>330 Dockside Ln</v>
      </c>
      <c r="AR12" t="str">
        <v>Savannah</v>
      </c>
      <c r="AS12" t="str">
        <v>GA</v>
      </c>
      <c r="AT12">
        <v>45863.04166666666</v>
      </c>
      <c r="AU12" t="str">
        <v>Plastic resins</v>
      </c>
      <c r="AV12">
        <v>41702</v>
      </c>
      <c r="AW12">
        <v>27</v>
      </c>
      <c r="AX12">
        <v>729</v>
      </c>
      <c r="AY12" t="str">
        <v>TRL-2584</v>
      </c>
      <c r="AZ12" t="str">
        <v>RC-511-926</v>
      </c>
      <c r="BA12" t="str">
        <v>BOL-511-7669</v>
      </c>
      <c r="BB12" t="str">
        <v>PENDING</v>
      </c>
      <c r="BC12">
        <v>46225.45833333334</v>
      </c>
      <c r="BD12">
        <v>125</v>
      </c>
      <c r="BE12" t="str">
        <v>RFID-511-22363</v>
      </c>
      <c r="BF12">
        <v>45859.79930555556</v>
      </c>
      <c r="BG12">
        <v>46225.41666666666</v>
      </c>
      <c r="BH12" t="str">
        <v>Charlotte Yard Gate 4</v>
      </c>
      <c r="BI12" t="str">
        <v>PENDING_DELIVERY</v>
      </c>
      <c r="BJ12" t="str">
        <v>MISREAD_AT_GATE</v>
      </c>
      <c r="BK12" t="str">
        <v>1016</v>
      </c>
      <c r="BL12" t="str">
        <v>NO_CLAIM</v>
      </c>
      <c r="BM12" t="str">
        <v/>
      </c>
      <c r="BN12" t="str">
        <v/>
      </c>
      <c r="BO12">
        <v>0</v>
      </c>
      <c r="BP12">
        <v>500</v>
      </c>
      <c r="BQ12" t="str">
        <v>1016</v>
      </c>
      <c r="BR12" t="str">
        <v>Progressive Commercial</v>
      </c>
      <c r="BS12" t="str">
        <v>POL-660012</v>
      </c>
      <c r="BT12" t="str">
        <v>Rapid Parts - Indianapolis, IN</v>
      </c>
      <c r="BU12" t="str">
        <v>Delta Retail DC - Atlanta, GA</v>
      </c>
      <c r="BV12">
        <v>46224</v>
      </c>
      <c r="BW12">
        <v>46225</v>
      </c>
      <c r="BX12" t="str">
        <v>08:00-11:00</v>
      </c>
      <c r="BY12" t="str">
        <v>10:00-14:00</v>
      </c>
      <c r="BZ12">
        <v>2313</v>
      </c>
      <c r="CA12">
        <v>1845</v>
      </c>
      <c r="CB12">
        <v>270</v>
      </c>
      <c r="CC12">
        <v>0</v>
      </c>
      <c r="CD12">
        <v>135</v>
      </c>
      <c r="CE12">
        <v>810</v>
      </c>
      <c r="CF12" t="str">
        <v>BLN-100510</v>
      </c>
      <c r="CG12" t="str">
        <v>PO-84010</v>
      </c>
      <c r="CH12" t="str">
        <v>PENDING</v>
      </c>
      <c r="CI12" t="str">
        <v>/images/pod/L-511_POD.jpg</v>
      </c>
      <c r="CJ12" t="str">
        <v>Dock Supervisor</v>
      </c>
      <c r="CK12" t="str">
        <v>MISSING</v>
      </c>
      <c r="CL12">
        <v>46224</v>
      </c>
      <c r="CM12" t="str">
        <v>UPLOADED</v>
      </c>
      <c r="CN12">
        <v>46223</v>
      </c>
      <c r="CO12" t="str">
        <v>TRAIL-2012</v>
      </c>
      <c r="CP12" t="str">
        <v>CARGO-5012</v>
      </c>
      <c r="CQ12">
        <v>46225.42708333334</v>
      </c>
      <c r="CR12" t="str">
        <v>Dock Door 3</v>
      </c>
      <c r="CS12" t="str">
        <v>NO</v>
      </c>
      <c r="CT12" t="str">
        <v>No active claim</v>
      </c>
      <c r="CU12">
        <v>0</v>
      </c>
      <c r="CV12">
        <v>0</v>
      </c>
      <c r="CW12" t="str">
        <v>Auto Liability</v>
      </c>
      <c r="CX12" t="str">
        <v>NO</v>
      </c>
      <c r="CY12" t="str">
        <v>YES</v>
      </c>
      <c r="CZ12">
        <v>2313</v>
      </c>
      <c r="DA12">
        <v>630</v>
      </c>
      <c r="DB12" t="str">
        <v>NO</v>
      </c>
      <c r="DC12" t="str">
        <v/>
      </c>
      <c r="DD12" t="str">
        <v>COMPLETE</v>
      </c>
      <c r="DE12" t="str">
        <v>NC</v>
      </c>
      <c r="DF12" t="str">
        <v>GA</v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  <c r="DQ12" t="str">
        <v/>
      </c>
      <c r="DR12" t="str">
        <v/>
      </c>
      <c r="DS12" t="str">
        <v/>
      </c>
      <c r="DT12" t="str">
        <v/>
      </c>
      <c r="DU12" t="str">
        <v/>
      </c>
      <c r="DV12" t="str">
        <v/>
      </c>
      <c r="DW12" t="str">
        <v/>
      </c>
      <c r="DX12" t="str">
        <v/>
      </c>
      <c r="DY12" t="str">
        <v/>
      </c>
      <c r="DZ12" t="str">
        <v/>
      </c>
      <c r="EA12" t="str">
        <v/>
      </c>
      <c r="EB12" t="str">
        <v/>
      </c>
      <c r="EC12" t="str">
        <v/>
      </c>
      <c r="ED12" t="str">
        <v/>
      </c>
    </row>
    <row r="13">
      <c r="A13" t="str">
        <v>L-512</v>
      </c>
      <c r="B13" t="str">
        <v>DRV-012</v>
      </c>
      <c r="C13" t="str">
        <v/>
      </c>
      <c r="D13" t="str">
        <v>T-106</v>
      </c>
      <c r="E13">
        <v>2150</v>
      </c>
      <c r="F13">
        <v>69</v>
      </c>
      <c r="G13" t="str">
        <v>YES</v>
      </c>
      <c r="H13" t="str">
        <v>DELIVERED</v>
      </c>
      <c r="I13" t="str">
        <v/>
      </c>
      <c r="J13" t="str">
        <v>SEAL-35864</v>
      </c>
      <c r="K13" t="str">
        <v>pickup_photo_12.jpg</v>
      </c>
      <c r="L13" t="str">
        <v>SEAL-35864</v>
      </c>
      <c r="M13" t="str">
        <v>delivery_photo_12.jpg</v>
      </c>
      <c r="N13" t="str">
        <v>VERIFIED</v>
      </c>
      <c r="O13" t="str">
        <v/>
      </c>
      <c r="P13" t="str">
        <v/>
      </c>
      <c r="Q13" t="str">
        <v>Pickup:SEAL-35864 | Delivery:SEAL-35860 | Override:NONE</v>
      </c>
      <c r="R13" t="str">
        <v>CLEAR</v>
      </c>
      <c r="S13" t="str">
        <v>VERIFIED</v>
      </c>
      <c r="T13" t="str">
        <v>NO</v>
      </c>
      <c r="U13" t="str">
        <v>CLOSED</v>
      </c>
      <c r="V13" t="str">
        <v>Driver 12</v>
      </c>
      <c r="W13" t="str">
        <v>READY</v>
      </c>
      <c r="X13" t="str">
        <v>DELIVERED</v>
      </c>
      <c r="Y13" t="str">
        <v>/documents/loads/L-512_RC.pdf</v>
      </c>
      <c r="Z13" t="str">
        <v>/documents/loads/L-512_BOL.pdf</v>
      </c>
      <c r="AA13" t="str">
        <v>/documents/loads/L-512_PICKUP_SEAL.jpg</v>
      </c>
      <c r="AB13" t="str">
        <v>/documents/loads/L-512_DELIVERY_SEAL.jpg</v>
      </c>
      <c r="AC13" t="str">
        <v>/drivers/DRV-012.jpg</v>
      </c>
      <c r="AD13" t="str">
        <v>/images/pod/L-512_POD.jpg</v>
      </c>
      <c r="AE13" t="str">
        <v>/images/pickup/L-512_PICKUP.jpg</v>
      </c>
      <c r="AF13" t="str">
        <v>/images/delivery/L-512_DELIVERY.jpg</v>
      </c>
      <c r="AG13" t="str">
        <v>/images/lumper/L-512_LUMPER.jpg</v>
      </c>
      <c r="AH13" t="str">
        <v>Jamal Reeves</v>
      </c>
      <c r="AI13" t="str">
        <v>Summit Freight</v>
      </c>
      <c r="AJ13" t="str">
        <v>MC-641255</v>
      </c>
      <c r="AK13" t="str">
        <v>Frontier Retail DC</v>
      </c>
      <c r="AL13" t="str">
        <v>5600 Warehouse Way</v>
      </c>
      <c r="AM13" t="str">
        <v>Dallas</v>
      </c>
      <c r="AN13" t="str">
        <v>TX</v>
      </c>
      <c r="AO13">
        <v>45861.41666666666</v>
      </c>
      <c r="AP13" t="str">
        <v>Metro Supply Chain</v>
      </c>
      <c r="AQ13" t="str">
        <v>120 Junction Rd</v>
      </c>
      <c r="AR13" t="str">
        <v>Chicago</v>
      </c>
      <c r="AS13" t="str">
        <v>IL</v>
      </c>
      <c r="AT13">
        <v>45862.83333333334</v>
      </c>
      <c r="AU13" t="str">
        <v>Building materials</v>
      </c>
      <c r="AV13">
        <v>41862</v>
      </c>
      <c r="AW13">
        <v>22</v>
      </c>
      <c r="AX13">
        <v>990</v>
      </c>
      <c r="AY13" t="str">
        <v>TRL-2211</v>
      </c>
      <c r="AZ13" t="str">
        <v>RC-512-354</v>
      </c>
      <c r="BA13" t="str">
        <v>BOL-512-4139</v>
      </c>
      <c r="BB13" t="str">
        <v>YES</v>
      </c>
      <c r="BC13">
        <v>45862.91666666666</v>
      </c>
      <c r="BD13">
        <v>315</v>
      </c>
      <c r="BE13" t="str">
        <v>RFID-512-68800</v>
      </c>
      <c r="BF13">
        <v>45861.42569444444</v>
      </c>
      <c r="BG13">
        <v>45862.85902777778</v>
      </c>
      <c r="BH13" t="str">
        <v>Dallas Yard Gate 2</v>
      </c>
      <c r="BI13" t="str">
        <v>VERIFIED</v>
      </c>
      <c r="BJ13" t="str">
        <v>1016</v>
      </c>
      <c r="BK13" t="str">
        <v>CLM-512-2235</v>
      </c>
      <c r="BL13" t="str">
        <v>NO_CLAIM</v>
      </c>
      <c r="BM13" t="str">
        <v/>
      </c>
      <c r="BN13">
        <v>45862</v>
      </c>
      <c r="BO13">
        <v>0</v>
      </c>
      <c r="BP13">
        <v>1500</v>
      </c>
      <c r="BQ13" t="str">
        <v>Kelly Moore</v>
      </c>
      <c r="BR13" t="str">
        <v>Progressive Commercial</v>
      </c>
      <c r="BS13" t="str">
        <v>POL-890170</v>
      </c>
      <c r="BT13" t="str">
        <v>Prime Consumer - Dallas, TX</v>
      </c>
      <c r="BU13" t="str">
        <v>Union Crossdock - St. Louis, MO</v>
      </c>
      <c r="BV13">
        <v>46226</v>
      </c>
      <c r="BW13">
        <v>46227</v>
      </c>
      <c r="BX13" t="str">
        <v>09:00-12:00</v>
      </c>
      <c r="BY13" t="str">
        <v>11:00-15:00</v>
      </c>
      <c r="BZ13">
        <v>2219</v>
      </c>
      <c r="CA13">
        <v>1763</v>
      </c>
      <c r="CB13">
        <v>258</v>
      </c>
      <c r="CC13">
        <v>50</v>
      </c>
      <c r="CD13">
        <v>79</v>
      </c>
      <c r="CE13">
        <v>867</v>
      </c>
      <c r="CF13" t="str">
        <v>BLN-100511</v>
      </c>
      <c r="CG13" t="str">
        <v>PO-84011</v>
      </c>
      <c r="CH13" t="str">
        <v>RECEIVED</v>
      </c>
      <c r="CI13" t="str">
        <v>/images/pod/L-512_POD.jpg</v>
      </c>
      <c r="CJ13" t="str">
        <v>Inventory Lead</v>
      </c>
      <c r="CK13" t="str">
        <v>UPLOADED</v>
      </c>
      <c r="CL13">
        <v>46226</v>
      </c>
      <c r="CM13" t="str">
        <v>UPLOADED</v>
      </c>
      <c r="CN13">
        <v>46225</v>
      </c>
      <c r="CO13" t="str">
        <v>TRAIL-2013</v>
      </c>
      <c r="CP13" t="str">
        <v>CARGO-5013</v>
      </c>
      <c r="CQ13">
        <v>46227.42708333334</v>
      </c>
      <c r="CR13" t="str">
        <v>Yard Gate A</v>
      </c>
      <c r="CS13" t="str">
        <v>NO</v>
      </c>
      <c r="CT13" t="str">
        <v>Seal mismatch review</v>
      </c>
      <c r="CU13">
        <v>0</v>
      </c>
      <c r="CV13">
        <v>0</v>
      </c>
      <c r="CW13" t="str">
        <v>General Liability</v>
      </c>
      <c r="CX13" t="str">
        <v>NO</v>
      </c>
      <c r="CY13" t="str">
        <v>YES</v>
      </c>
      <c r="CZ13">
        <v>2219</v>
      </c>
      <c r="DA13">
        <v>602</v>
      </c>
      <c r="DB13" t="str">
        <v>NO</v>
      </c>
      <c r="DC13" t="str">
        <v/>
      </c>
      <c r="DD13" t="str">
        <v>COMPLETE</v>
      </c>
      <c r="DE13" t="str">
        <v>TX</v>
      </c>
      <c r="DF13" t="str">
        <v>IL</v>
      </c>
      <c r="DG13" t="str">
        <v/>
      </c>
      <c r="DH13" t="str">
        <v/>
      </c>
      <c r="DI13" t="str">
        <v/>
      </c>
      <c r="DJ13" t="str">
        <v/>
      </c>
      <c r="DK13" t="str">
        <v/>
      </c>
      <c r="DL13" t="str">
        <v/>
      </c>
      <c r="DM13" t="str">
        <v/>
      </c>
      <c r="DN13" t="str">
        <v/>
      </c>
      <c r="DO13" t="str">
        <v/>
      </c>
      <c r="DP13" t="str">
        <v/>
      </c>
      <c r="DQ13" t="str">
        <v/>
      </c>
      <c r="DR13" t="str">
        <v/>
      </c>
      <c r="DS13" t="str">
        <v/>
      </c>
      <c r="DT13" t="str">
        <v/>
      </c>
      <c r="DU13" t="str">
        <v/>
      </c>
      <c r="DV13" t="str">
        <v/>
      </c>
      <c r="DW13" t="str">
        <v/>
      </c>
      <c r="DX13" t="str">
        <v/>
      </c>
      <c r="DY13" t="str">
        <v/>
      </c>
      <c r="DZ13" t="str">
        <v/>
      </c>
      <c r="EA13" t="str">
        <v/>
      </c>
      <c r="EB13" t="str">
        <v/>
      </c>
      <c r="EC13" t="str">
        <v/>
      </c>
      <c r="ED13" t="str">
        <v/>
      </c>
    </row>
  </sheetData>
  <ignoredErrors>
    <ignoredError numberStoredAsText="1" sqref="A1:EG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B13"/>
  <sheetViews>
    <sheetView workbookViewId="0" rightToLeft="0"/>
  </sheetViews>
  <sheetData>
    <row r="1">
      <c r="A1" t="str">
        <v>Driver</v>
      </c>
      <c r="B1" t="str">
        <v>Name</v>
      </c>
      <c r="C1" t="str">
        <v>Base Earnings</v>
      </c>
      <c r="D1" t="str">
        <v>Backhaul Pay</v>
      </c>
      <c r="E1" t="str">
        <v>Safety Bonus</v>
      </c>
      <c r="F1" t="str">
        <v>Gross Pay</v>
      </c>
      <c r="G1" t="str">
        <v>FICA</v>
      </c>
      <c r="H1" t="str">
        <v>OASDI</v>
      </c>
      <c r="I1" t="str">
        <v>Federal Withholding</v>
      </c>
      <c r="J1" t="str">
        <v>State Withholding</v>
      </c>
      <c r="K1" t="str">
        <v>SDI</v>
      </c>
      <c r="L1" t="str">
        <v>FM Leave</v>
      </c>
      <c r="M1" t="str">
        <v>Family Support</v>
      </c>
      <c r="N1" t="str">
        <v>Insurance Premiums</v>
      </c>
      <c r="O1" t="str">
        <v>Credit Union Savings Club</v>
      </c>
      <c r="P1" t="str">
        <v>401(k) Contribution</v>
      </c>
      <c r="Q1" t="str">
        <v>HSA/FSA Health Deduction</v>
      </c>
      <c r="R1" t="str">
        <v>Health Insurance Premiums</v>
      </c>
      <c r="S1" t="str">
        <v>Life Insurance Above 50k</v>
      </c>
      <c r="T1" t="str">
        <v>Total Deductions</v>
      </c>
      <c r="U1" t="str">
        <v>Fuel Reimb.</v>
      </c>
      <c r="V1" t="str">
        <v>Net Pay</v>
      </c>
      <c r="W1" t="str">
        <v>Status</v>
      </c>
      <c r="X1" t="str">
        <v>Pending Reason</v>
      </c>
      <c r="Y1" t="str">
        <v>401(k) Rate</v>
      </c>
      <c r="Z1" t="str">
        <v>Pay Model Type</v>
      </c>
      <c r="AA1" t="str">
        <v xml:space="preserve"> Percentage Rate</v>
      </c>
      <c r="AB1" t="str">
        <v xml:space="preserve"> CPM Rate (Loaded)</v>
      </c>
      <c r="AC1" t="str">
        <v xml:space="preserve"> CPM Rate (Empty)</v>
      </c>
      <c r="AD1" t="str">
        <v xml:space="preserve"> Hourly Rate</v>
      </c>
      <c r="AE1" t="str">
        <v xml:space="preserve"> Minimum Weekly Guarantee</v>
      </c>
      <c r="AF1" t="str">
        <v xml:space="preserve"> Detention Rate (per hour)</v>
      </c>
      <c r="AG1" t="str">
        <v xml:space="preserve"> Layover Rate (per day)</v>
      </c>
      <c r="AH1" t="str">
        <v xml:space="preserve"> Breakdown Pay Rate</v>
      </c>
      <c r="AI1" t="str">
        <v xml:space="preserve"> Stop Pay (per stop)</v>
      </c>
      <c r="AJ1" t="str">
        <v xml:space="preserve"> Tarp Pay</v>
      </c>
      <c r="AK1" t="str">
        <v xml:space="preserve"> Hazmat Premium</v>
      </c>
      <c r="AL1" t="str">
        <v xml:space="preserve"> Tanker Premium</v>
      </c>
      <c r="AM1" t="str">
        <v xml:space="preserve"> TWIC Premium</v>
      </c>
      <c r="AN1" t="str">
        <v xml:space="preserve"> Safety Bonus Eligible (Y/N)</v>
      </c>
      <c r="AO1" t="str">
        <v xml:space="preserve"> Safety Bonus Tier</v>
      </c>
      <c r="AP1" t="str">
        <v xml:space="preserve"> Safety Bonus Amount</v>
      </c>
      <c r="AQ1" t="str">
        <v xml:space="preserve"> Fuel Bonus Eligible (Y/N)</v>
      </c>
      <c r="AR1" t="str">
        <v xml:space="preserve"> Fuel Bonus Rate</v>
      </c>
      <c r="AS1" t="str">
        <v xml:space="preserve"> Inspection Bonus</v>
      </c>
      <c r="AT1" t="str">
        <v xml:space="preserve"> Admin Excellence Bonus</v>
      </c>
      <c r="AU1" t="str">
        <v xml:space="preserve"> Asset Care Bonus</v>
      </c>
      <c r="AV1" t="str">
        <v xml:space="preserve"> Advance Taken</v>
      </c>
      <c r="AW1" t="str">
        <v xml:space="preserve"> Advance Repayment</v>
      </c>
      <c r="AX1" t="str">
        <v xml:space="preserve"> Chargebacks (Itemized)</v>
      </c>
      <c r="AY1" t="str">
        <v xml:space="preserve"> Chargeback Total</v>
      </c>
      <c r="AZ1" t="str">
        <v xml:space="preserve"> Garnishment Amount</v>
      </c>
      <c r="BA1" t="str">
        <v xml:space="preserve"> Escrow Contribution</v>
      </c>
      <c r="BB1" t="str">
        <v xml:space="preserve"> Escrow Balance</v>
      </c>
    </row>
    <row r="2">
      <c r="A2" t="str">
        <v>DVR-001</v>
      </c>
      <c r="B2" t="str">
        <v>J. Carter</v>
      </c>
      <c r="C2">
        <v>2100</v>
      </c>
      <c r="D2">
        <v>65</v>
      </c>
      <c r="E2">
        <v>125</v>
      </c>
      <c r="F2">
        <v>2290</v>
      </c>
      <c r="G2">
        <v>141.98</v>
      </c>
      <c r="H2">
        <v>33.205</v>
      </c>
      <c r="I2">
        <v>412.2</v>
      </c>
      <c r="J2">
        <v>80.15</v>
      </c>
      <c r="K2">
        <v>10.305</v>
      </c>
      <c r="L2">
        <v>15.114</v>
      </c>
      <c r="M2">
        <v>0</v>
      </c>
      <c r="N2">
        <v>214.92</v>
      </c>
      <c r="O2">
        <v>0</v>
      </c>
      <c r="P2">
        <v>68.7</v>
      </c>
      <c r="Q2">
        <v>114.79</v>
      </c>
      <c r="R2">
        <v>0</v>
      </c>
      <c r="S2">
        <v>0</v>
      </c>
      <c r="T2">
        <v>1198.6359999999997</v>
      </c>
      <c r="U2">
        <v>0</v>
      </c>
      <c r="V2">
        <v>1091.3640000000003</v>
      </c>
      <c r="W2" t="str">
        <v>Paid</v>
      </c>
      <c r="X2" t="str">
        <v>N/A</v>
      </c>
      <c r="Y2">
        <v>0.03</v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</row>
    <row r="3">
      <c r="A3" t="str">
        <v>DVR-002</v>
      </c>
      <c r="B3" t="str">
        <v>M. Lopez</v>
      </c>
      <c r="C3">
        <v>1910</v>
      </c>
      <c r="D3">
        <v>95</v>
      </c>
      <c r="E3">
        <v>125</v>
      </c>
      <c r="F3">
        <v>2130</v>
      </c>
      <c r="G3">
        <v>132.06</v>
      </c>
      <c r="H3">
        <v>30.885</v>
      </c>
      <c r="I3">
        <v>383.4</v>
      </c>
      <c r="J3">
        <v>74.55000000000001</v>
      </c>
      <c r="K3">
        <v>9.584999999999999</v>
      </c>
      <c r="L3">
        <v>14.058</v>
      </c>
      <c r="M3">
        <v>79.68</v>
      </c>
      <c r="N3">
        <v>0</v>
      </c>
      <c r="O3">
        <v>42.09</v>
      </c>
      <c r="P3">
        <v>0</v>
      </c>
      <c r="Q3">
        <v>69.33</v>
      </c>
      <c r="R3">
        <v>0</v>
      </c>
      <c r="S3">
        <v>0</v>
      </c>
      <c r="T3">
        <v>1294.3620000000003</v>
      </c>
      <c r="U3">
        <v>120</v>
      </c>
      <c r="V3">
        <v>835.6379999999997</v>
      </c>
      <c r="W3" t="str">
        <v>Pending</v>
      </c>
      <c r="X3" t="str">
        <v>Awaiting Receipts</v>
      </c>
      <c r="Y3">
        <v>0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</row>
    <row r="4">
      <c r="A4" t="str">
        <v>DVR-003</v>
      </c>
      <c r="B4" t="str">
        <v>A. Kim</v>
      </c>
      <c r="C4">
        <v>2155</v>
      </c>
      <c r="D4">
        <v>45</v>
      </c>
      <c r="E4">
        <v>75</v>
      </c>
      <c r="F4">
        <v>2275</v>
      </c>
      <c r="G4">
        <v>141.05</v>
      </c>
      <c r="H4">
        <v>32.987500000000004</v>
      </c>
      <c r="I4">
        <v>409.5</v>
      </c>
      <c r="J4">
        <v>79.62500000000001</v>
      </c>
      <c r="K4">
        <v>10.237499999999999</v>
      </c>
      <c r="L4">
        <v>15.015</v>
      </c>
      <c r="M4">
        <v>0</v>
      </c>
      <c r="N4">
        <v>0</v>
      </c>
      <c r="O4">
        <v>30.98</v>
      </c>
      <c r="P4">
        <v>136.5</v>
      </c>
      <c r="Q4">
        <v>0</v>
      </c>
      <c r="R4">
        <v>0</v>
      </c>
      <c r="S4">
        <v>0</v>
      </c>
      <c r="T4">
        <v>1419.1049999999996</v>
      </c>
      <c r="U4">
        <v>0</v>
      </c>
      <c r="V4">
        <v>855.8950000000004</v>
      </c>
      <c r="W4" t="str">
        <v>Paid</v>
      </c>
      <c r="X4" t="str">
        <v>N/A</v>
      </c>
      <c r="Y4">
        <v>0.06</v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</row>
    <row r="5">
      <c r="A5" t="str">
        <v>DVR-004</v>
      </c>
      <c r="B5" t="str">
        <v>P. Patel</v>
      </c>
      <c r="C5">
        <v>2020</v>
      </c>
      <c r="D5">
        <v>88</v>
      </c>
      <c r="E5">
        <v>25</v>
      </c>
      <c r="F5">
        <v>2133</v>
      </c>
      <c r="G5">
        <v>132.246</v>
      </c>
      <c r="H5">
        <v>30.928500000000003</v>
      </c>
      <c r="I5">
        <v>383.94</v>
      </c>
      <c r="J5">
        <v>74.655</v>
      </c>
      <c r="K5">
        <v>9.5985</v>
      </c>
      <c r="L5">
        <v>14.0778</v>
      </c>
      <c r="M5">
        <v>0</v>
      </c>
      <c r="N5">
        <v>0</v>
      </c>
      <c r="O5">
        <v>32.58</v>
      </c>
      <c r="P5">
        <v>0</v>
      </c>
      <c r="Q5">
        <v>0</v>
      </c>
      <c r="R5">
        <v>0</v>
      </c>
      <c r="S5">
        <v>0</v>
      </c>
      <c r="T5">
        <v>1454.9741999999999</v>
      </c>
      <c r="U5">
        <v>150</v>
      </c>
      <c r="V5">
        <v>678.0258000000001</v>
      </c>
      <c r="W5" t="str">
        <v>Pending</v>
      </c>
      <c r="X5" t="str">
        <v>Awaiting Receipts</v>
      </c>
      <c r="Y5">
        <v>0</v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</row>
    <row r="6">
      <c r="A6" t="str">
        <v>DVR-005</v>
      </c>
      <c r="B6" t="str">
        <v>K. Tanaka</v>
      </c>
      <c r="C6">
        <v>2280</v>
      </c>
      <c r="D6">
        <v>45</v>
      </c>
      <c r="E6">
        <v>75</v>
      </c>
      <c r="F6">
        <v>2400</v>
      </c>
      <c r="G6">
        <v>148.8</v>
      </c>
      <c r="H6">
        <v>34.800000000000004</v>
      </c>
      <c r="I6">
        <v>432</v>
      </c>
      <c r="J6">
        <v>84.00000000000001</v>
      </c>
      <c r="K6">
        <v>10.799999999999999</v>
      </c>
      <c r="L6">
        <v>15.84</v>
      </c>
      <c r="M6">
        <v>187.05</v>
      </c>
      <c r="N6">
        <v>0</v>
      </c>
      <c r="O6">
        <v>72.68</v>
      </c>
      <c r="P6">
        <v>72</v>
      </c>
      <c r="Q6">
        <v>26.5</v>
      </c>
      <c r="R6">
        <v>0</v>
      </c>
      <c r="S6">
        <v>0</v>
      </c>
      <c r="T6">
        <v>1315.5299999999997</v>
      </c>
      <c r="U6">
        <v>0</v>
      </c>
      <c r="V6">
        <v>1084.4700000000003</v>
      </c>
      <c r="W6" t="str">
        <v>Pending</v>
      </c>
      <c r="X6" t="str">
        <v>Load Verification</v>
      </c>
      <c r="Y6">
        <v>0.03</v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</row>
    <row r="7">
      <c r="A7" t="str">
        <v>DVR-006</v>
      </c>
      <c r="B7" t="str">
        <v>M. Chen</v>
      </c>
      <c r="C7">
        <v>2090</v>
      </c>
      <c r="D7">
        <v>72</v>
      </c>
      <c r="E7">
        <v>125</v>
      </c>
      <c r="F7">
        <v>2287</v>
      </c>
      <c r="G7">
        <v>141.794</v>
      </c>
      <c r="H7">
        <v>33.161500000000004</v>
      </c>
      <c r="I7">
        <v>411.65999999999997</v>
      </c>
      <c r="J7">
        <v>80.045</v>
      </c>
      <c r="K7">
        <v>10.2915</v>
      </c>
      <c r="L7">
        <v>15.0942</v>
      </c>
      <c r="M7">
        <v>0</v>
      </c>
      <c r="N7">
        <v>0</v>
      </c>
      <c r="O7">
        <v>0</v>
      </c>
      <c r="P7">
        <v>68.61</v>
      </c>
      <c r="Q7">
        <v>0</v>
      </c>
      <c r="R7">
        <v>0</v>
      </c>
      <c r="S7">
        <v>4.94</v>
      </c>
      <c r="T7">
        <v>1521.4038</v>
      </c>
      <c r="U7">
        <v>0</v>
      </c>
      <c r="V7">
        <v>765.5962</v>
      </c>
      <c r="W7" t="str">
        <v>Paid</v>
      </c>
      <c r="X7" t="str">
        <v>N/A</v>
      </c>
      <c r="Y7">
        <v>0.03</v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</row>
    <row r="8">
      <c r="A8" t="str">
        <v>DVR-007</v>
      </c>
      <c r="B8" t="str">
        <v>S. Gomez</v>
      </c>
      <c r="C8">
        <v>1975</v>
      </c>
      <c r="D8">
        <v>58</v>
      </c>
      <c r="E8">
        <v>125</v>
      </c>
      <c r="F8">
        <v>2158</v>
      </c>
      <c r="G8">
        <v>133.796</v>
      </c>
      <c r="H8">
        <v>31.291</v>
      </c>
      <c r="I8">
        <v>388.44</v>
      </c>
      <c r="J8">
        <v>75.53</v>
      </c>
      <c r="K8">
        <v>9.710999999999999</v>
      </c>
      <c r="L8">
        <v>14.2428</v>
      </c>
      <c r="M8">
        <v>246.6</v>
      </c>
      <c r="N8">
        <v>146.97</v>
      </c>
      <c r="O8">
        <v>0</v>
      </c>
      <c r="P8">
        <v>107.9</v>
      </c>
      <c r="Q8">
        <v>0</v>
      </c>
      <c r="R8">
        <v>0</v>
      </c>
      <c r="S8">
        <v>7.04</v>
      </c>
      <c r="T8">
        <v>996.4792000000001</v>
      </c>
      <c r="U8">
        <v>0</v>
      </c>
      <c r="V8">
        <v>1161.5207999999998</v>
      </c>
      <c r="W8" t="str">
        <v>Paid</v>
      </c>
      <c r="X8" t="str">
        <v>N/A</v>
      </c>
      <c r="Y8">
        <v>0.05</v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</row>
    <row r="9">
      <c r="A9" t="str">
        <v>DVR-008</v>
      </c>
      <c r="B9" t="str">
        <v>L. Smith</v>
      </c>
      <c r="C9">
        <v>2165</v>
      </c>
      <c r="D9">
        <v>81</v>
      </c>
      <c r="E9">
        <v>25</v>
      </c>
      <c r="F9">
        <v>2271</v>
      </c>
      <c r="G9">
        <v>140.802</v>
      </c>
      <c r="H9">
        <v>32.929500000000004</v>
      </c>
      <c r="I9">
        <v>408.78</v>
      </c>
      <c r="J9">
        <v>79.48500000000001</v>
      </c>
      <c r="K9">
        <v>10.2195</v>
      </c>
      <c r="L9">
        <v>14.9886</v>
      </c>
      <c r="M9">
        <v>0</v>
      </c>
      <c r="N9">
        <v>0</v>
      </c>
      <c r="O9">
        <v>45.02</v>
      </c>
      <c r="P9">
        <v>0</v>
      </c>
      <c r="Q9">
        <v>0</v>
      </c>
      <c r="R9">
        <v>111.66</v>
      </c>
      <c r="S9">
        <v>0</v>
      </c>
      <c r="T9">
        <v>1427.1154</v>
      </c>
      <c r="U9">
        <v>0</v>
      </c>
      <c r="V9">
        <v>843.8846000000001</v>
      </c>
      <c r="W9" t="str">
        <v>Pending</v>
      </c>
      <c r="X9" t="str">
        <v>Load Verification</v>
      </c>
      <c r="Y9">
        <v>0</v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</row>
    <row r="10">
      <c r="A10" t="str">
        <v>DVR-009</v>
      </c>
      <c r="B10" t="str">
        <v>E. Brown</v>
      </c>
      <c r="C10">
        <v>2110</v>
      </c>
      <c r="D10">
        <v>49</v>
      </c>
      <c r="E10">
        <v>75</v>
      </c>
      <c r="F10">
        <v>2234</v>
      </c>
      <c r="G10">
        <v>138.508</v>
      </c>
      <c r="H10">
        <v>32.393</v>
      </c>
      <c r="I10">
        <v>402.12</v>
      </c>
      <c r="J10">
        <v>78.19000000000001</v>
      </c>
      <c r="K10">
        <v>10.052999999999999</v>
      </c>
      <c r="L10">
        <v>14.7444</v>
      </c>
      <c r="M10">
        <v>67.76</v>
      </c>
      <c r="N10">
        <v>0</v>
      </c>
      <c r="O10">
        <v>0</v>
      </c>
      <c r="P10">
        <v>0</v>
      </c>
      <c r="Q10">
        <v>24.17</v>
      </c>
      <c r="R10">
        <v>0</v>
      </c>
      <c r="S10">
        <v>0</v>
      </c>
      <c r="T10">
        <v>1466.0616</v>
      </c>
      <c r="U10">
        <v>0</v>
      </c>
      <c r="V10">
        <v>767.9384</v>
      </c>
      <c r="W10" t="str">
        <v>Paid</v>
      </c>
      <c r="X10" t="str">
        <v>N/A</v>
      </c>
      <c r="Y10">
        <v>0</v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</row>
    <row r="11">
      <c r="A11" t="str">
        <v>DVR-010</v>
      </c>
      <c r="B11" t="str">
        <v>N. Wilson</v>
      </c>
      <c r="C11">
        <v>2080</v>
      </c>
      <c r="D11">
        <v>77</v>
      </c>
      <c r="E11">
        <v>0</v>
      </c>
      <c r="F11">
        <v>2157</v>
      </c>
      <c r="G11">
        <v>133.73</v>
      </c>
      <c r="H11">
        <v>31.28</v>
      </c>
      <c r="I11">
        <v>388.26</v>
      </c>
      <c r="J11">
        <v>75.5</v>
      </c>
      <c r="K11">
        <v>9.71</v>
      </c>
      <c r="L11">
        <v>14.24</v>
      </c>
      <c r="M11">
        <v>0</v>
      </c>
      <c r="N11">
        <v>0</v>
      </c>
      <c r="O11">
        <v>0</v>
      </c>
      <c r="P11">
        <v>43.14</v>
      </c>
      <c r="Q11">
        <v>0</v>
      </c>
      <c r="R11">
        <v>196.15</v>
      </c>
      <c r="S11">
        <v>0</v>
      </c>
      <c r="T11">
        <v>892.01</v>
      </c>
      <c r="U11">
        <v>0</v>
      </c>
      <c r="V11">
        <v>1264.99</v>
      </c>
      <c r="W11" t="str">
        <v>Pending</v>
      </c>
      <c r="X11" t="str">
        <v>Safety coaching hold</v>
      </c>
      <c r="Y11">
        <v>0.02</v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</row>
    <row r="12">
      <c r="A12" t="str">
        <v>DVR-011</v>
      </c>
      <c r="B12" t="str">
        <v>O. Lee</v>
      </c>
      <c r="C12">
        <v>2010</v>
      </c>
      <c r="D12">
        <v>63</v>
      </c>
      <c r="E12">
        <v>75</v>
      </c>
      <c r="F12">
        <v>2148</v>
      </c>
      <c r="G12">
        <v>133.176</v>
      </c>
      <c r="H12">
        <v>31.146</v>
      </c>
      <c r="I12">
        <v>386.64</v>
      </c>
      <c r="J12">
        <v>75.18</v>
      </c>
      <c r="K12">
        <v>9.665999999999999</v>
      </c>
      <c r="L12">
        <v>14.1768</v>
      </c>
      <c r="M12">
        <v>50.51</v>
      </c>
      <c r="N12">
        <v>0</v>
      </c>
      <c r="O12">
        <v>0</v>
      </c>
      <c r="P12">
        <v>0</v>
      </c>
      <c r="Q12">
        <v>47.43</v>
      </c>
      <c r="R12">
        <v>0</v>
      </c>
      <c r="S12">
        <v>0</v>
      </c>
      <c r="T12">
        <v>1400.0752</v>
      </c>
      <c r="U12">
        <v>0</v>
      </c>
      <c r="V12">
        <v>747.9248</v>
      </c>
      <c r="W12" t="str">
        <v>Paid</v>
      </c>
      <c r="X12" t="str">
        <v>N/A</v>
      </c>
      <c r="Y12">
        <v>0</v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</row>
    <row r="13">
      <c r="A13" t="str">
        <v>DVR-012</v>
      </c>
      <c r="B13" t="str">
        <v>R. Johnson</v>
      </c>
      <c r="C13">
        <v>2230</v>
      </c>
      <c r="D13">
        <v>69</v>
      </c>
      <c r="E13">
        <v>75</v>
      </c>
      <c r="F13">
        <v>2374</v>
      </c>
      <c r="G13">
        <v>142.538</v>
      </c>
      <c r="H13">
        <v>33.3355</v>
      </c>
      <c r="I13">
        <v>413.82</v>
      </c>
      <c r="J13">
        <v>80.465</v>
      </c>
      <c r="K13">
        <v>10.3455</v>
      </c>
      <c r="L13">
        <v>15.1734</v>
      </c>
      <c r="M13">
        <v>0</v>
      </c>
      <c r="N13">
        <v>0</v>
      </c>
      <c r="O13">
        <v>48.75</v>
      </c>
      <c r="P13">
        <v>45.98</v>
      </c>
      <c r="Q13">
        <v>22.3</v>
      </c>
      <c r="R13">
        <v>148</v>
      </c>
      <c r="S13">
        <v>2.3</v>
      </c>
      <c r="T13">
        <v>1410.9926000000003</v>
      </c>
      <c r="U13">
        <v>0</v>
      </c>
      <c r="V13">
        <v>963.0073999999997</v>
      </c>
      <c r="W13" t="str">
        <v>Paid</v>
      </c>
      <c r="X13" t="str">
        <v>N/A</v>
      </c>
      <c r="Y13">
        <v>0.020618834080717487</v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</row>
  </sheetData>
  <ignoredErrors>
    <ignoredError numberStoredAsText="1" sqref="A1:BB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0"/>
  <sheetViews>
    <sheetView workbookViewId="0" rightToLeft="0"/>
  </sheetViews>
  <sheetData>
    <row r="1">
      <c r="A1" t="str">
        <v>Metric</v>
      </c>
      <c r="B1" t="str">
        <v>Total</v>
      </c>
    </row>
    <row r="2">
      <c r="A2" t="str">
        <v>Total Base Earnings</v>
      </c>
      <c r="B2">
        <f>SUM(Payroll!C2:C13)</f>
        <v>25125</v>
      </c>
    </row>
    <row r="3">
      <c r="A3" t="str">
        <v>Total Backhaul Pay</v>
      </c>
      <c r="B3">
        <f>SUM(Payroll!D2:D13)</f>
        <v>807</v>
      </c>
    </row>
    <row r="4">
      <c r="A4" t="str">
        <v>Total Gross Pay</v>
      </c>
      <c r="B4">
        <f>SUM(Payroll!F2:F13)</f>
        <v>26982</v>
      </c>
    </row>
    <row r="5">
      <c r="A5" t="str">
        <v>Total FICA</v>
      </c>
      <c r="B5">
        <f>SUM(Payroll!G2:G13)</f>
        <v>1668.2339999999997</v>
      </c>
    </row>
    <row r="6">
      <c r="A6" t="str">
        <v>Total OASDI</v>
      </c>
      <c r="B6">
        <f>SUM(Payroll!H2:H13)</f>
        <v>390.15150000000006</v>
      </c>
    </row>
    <row r="7">
      <c r="A7" t="str">
        <v>Total Federal Withholding</v>
      </c>
      <c r="B7">
        <f>SUM(Payroll!I2:I13)</f>
        <v>4843.26</v>
      </c>
    </row>
    <row r="8">
      <c r="A8" t="str">
        <v>Total State Withholding</v>
      </c>
      <c r="B8">
        <f>SUM(Payroll!J2:J13)</f>
        <v>941.7450000000002</v>
      </c>
    </row>
    <row r="9">
      <c r="A9" t="str">
        <v>Total SDI</v>
      </c>
      <c r="B9">
        <f>SUM(Payroll!K2:K13)</f>
        <v>121.08149999999999</v>
      </c>
    </row>
    <row r="10">
      <c r="A10" t="str">
        <v>Total FM Leave</v>
      </c>
      <c r="B10">
        <f>SUM(Payroll!L2:L13)</f>
        <v>177.58620000000002</v>
      </c>
    </row>
    <row r="11">
      <c r="A11" t="str">
        <v>Total Family Support</v>
      </c>
      <c r="B11">
        <f>SUM(Payroll!M2:M13)</f>
        <v>631.6</v>
      </c>
    </row>
    <row r="12">
      <c r="A12" t="str">
        <v>Total Insurance Premiums</v>
      </c>
      <c r="B12">
        <f>SUM(Payroll!N2:N13)</f>
        <v>361.89</v>
      </c>
    </row>
    <row r="13">
      <c r="A13" t="str">
        <v>Total Credit Union Savings Club</v>
      </c>
      <c r="B13">
        <f>SUM(Payroll!O2:O13)</f>
        <v>272.1</v>
      </c>
    </row>
    <row r="14">
      <c r="A14" t="str">
        <v>Total 401(k) Contribution</v>
      </c>
      <c r="B14">
        <f>SUM(Payroll!P2:P13)</f>
        <v>545.33</v>
      </c>
    </row>
    <row r="15">
      <c r="A15" t="str">
        <v>Total HSA/FSA Health Deduction</v>
      </c>
      <c r="B15">
        <f>SUM(Payroll!Q2:Q13)</f>
        <v>304.52000000000004</v>
      </c>
    </row>
    <row r="16">
      <c r="A16" t="str">
        <v>Total Health Insurance Premiums</v>
      </c>
      <c r="B16">
        <f>SUM(Payroll!R2:R13)</f>
        <v>455.81</v>
      </c>
    </row>
    <row r="17">
      <c r="A17" t="str">
        <v>Total Life Insurance Above 50k</v>
      </c>
      <c r="B17">
        <f>SUM(Payroll!S2:S13)</f>
        <v>14.280000000000001</v>
      </c>
    </row>
    <row r="18">
      <c r="A18" t="str">
        <v>Total Deductions</v>
      </c>
      <c r="B18">
        <f>SUM(Payroll!U2:U13)</f>
        <v>270</v>
      </c>
    </row>
    <row r="19">
      <c r="A19" t="str">
        <v>Total Fuel Reimb.</v>
      </c>
      <c r="B19">
        <f>SUM(Payroll!V2:V13)</f>
        <v>10727.588200000002</v>
      </c>
    </row>
    <row r="20">
      <c r="A20" t="str">
        <v>Total Net Pay</v>
      </c>
      <c r="B20">
        <f>SUM(Payroll!W2:W13)</f>
        <v>0</v>
      </c>
    </row>
  </sheetData>
  <pageMargins left="0.7" right="0.7" top="0.75" bottom="0.75" header="0.3" footer="0.3"/>
  <ignoredErrors>
    <ignoredError numberStoredAsText="1" sqref="A1:B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 rightToLeft="0"/>
  </sheetViews>
  <sheetData>
    <row r="1">
      <c r="A1" t="str">
        <v>Settlement Summary — Linked to Weekly_Settlements</v>
      </c>
    </row>
    <row r="3">
      <c r="A3" t="str">
        <v>DriverID</v>
      </c>
      <c r="B3" t="str">
        <v>DriverName</v>
      </c>
      <c r="C3" t="str">
        <v>8-Week Gross</v>
      </c>
      <c r="D3" t="str">
        <v>8-Week Deductions</v>
      </c>
      <c r="E3" t="str">
        <v>8-Week Net</v>
      </c>
      <c r="F3" t="str">
        <v>Fleet Owner Profit</v>
      </c>
      <c r="G3" t="str">
        <v>Avg Profitability Score</v>
      </c>
      <c r="H3" t="str">
        <v>Best Week Net</v>
      </c>
      <c r="I3" t="str">
        <v>Latest Week Net</v>
      </c>
      <c r="J3" t="str">
        <v>Packet Complete %</v>
      </c>
      <c r="K3" t="str">
        <v>Approved Weeks</v>
      </c>
      <c r="L3" t="str">
        <v>Settlement Readiness</v>
      </c>
    </row>
    <row r="4">
      <c r="A4" t="str">
        <f>Settlement_Driver_Summary!A2</f>
        <v>DRV-001</v>
      </c>
      <c r="B4" t="str">
        <f>Settlement_Driver_Summary!B2</f>
        <v>John T. Carter</v>
      </c>
      <c r="C4">
        <f>Settlement_Driver_Summary!C2</f>
        <v>17360</v>
      </c>
      <c r="D4">
        <f>Settlement_Driver_Summary!D2</f>
        <v>5010</v>
      </c>
      <c r="E4">
        <f>Settlement_Driver_Summary!E2</f>
        <v>12350</v>
      </c>
      <c r="F4">
        <f>Settlement_Driver_Summary!F2</f>
        <v>14710</v>
      </c>
      <c r="G4">
        <f>Settlement_Driver_Summary!G2</f>
        <v>87.375</v>
      </c>
      <c r="H4">
        <v>1670</v>
      </c>
      <c r="I4">
        <f>Settlement_Driver_Summary!I2</f>
        <v>1610</v>
      </c>
      <c r="J4">
        <f>Settlement_Driver_Summary!J2</f>
        <v>1</v>
      </c>
      <c r="K4">
        <f>Settlement_Driver_Summary!K2</f>
        <v>8</v>
      </c>
      <c r="L4" t="str">
        <f>Settlement_Driver_Summary!L2</f>
        <v>Ready</v>
      </c>
    </row>
    <row r="5">
      <c r="A5" t="str">
        <f>Settlement_Driver_Summary!A3</f>
        <v>DRV-002</v>
      </c>
      <c r="B5" t="str">
        <f>Settlement_Driver_Summary!B3</f>
        <v>Maria E. Lopez</v>
      </c>
      <c r="C5">
        <f>Settlement_Driver_Summary!C3</f>
        <v>19500</v>
      </c>
      <c r="D5">
        <f>Settlement_Driver_Summary!D3</f>
        <v>5750</v>
      </c>
      <c r="E5">
        <f>Settlement_Driver_Summary!E3</f>
        <v>13750</v>
      </c>
      <c r="F5">
        <f>Settlement_Driver_Summary!F3</f>
        <v>16495</v>
      </c>
      <c r="G5">
        <f>Settlement_Driver_Summary!G3</f>
        <v>92.875</v>
      </c>
      <c r="H5">
        <v>1845</v>
      </c>
      <c r="I5">
        <f>Settlement_Driver_Summary!I3</f>
        <v>1815</v>
      </c>
      <c r="J5">
        <f>Settlement_Driver_Summary!J3</f>
        <v>1</v>
      </c>
      <c r="K5">
        <f>Settlement_Driver_Summary!K3</f>
        <v>8</v>
      </c>
      <c r="L5" t="str">
        <f>Settlement_Driver_Summary!L3</f>
        <v>Ready</v>
      </c>
    </row>
    <row r="6">
      <c r="A6" t="str">
        <f>Settlement_Driver_Summary!A4</f>
        <v>DRV-003</v>
      </c>
      <c r="B6" t="str">
        <f>Settlement_Driver_Summary!B4</f>
        <v>Alex J. Kim</v>
      </c>
      <c r="C6">
        <f>Settlement_Driver_Summary!C4</f>
        <v>21650</v>
      </c>
      <c r="D6">
        <f>Settlement_Driver_Summary!D4</f>
        <v>6375</v>
      </c>
      <c r="E6">
        <f>Settlement_Driver_Summary!E4</f>
        <v>15275</v>
      </c>
      <c r="F6">
        <f>Settlement_Driver_Summary!F4</f>
        <v>18820</v>
      </c>
      <c r="G6">
        <f>Settlement_Driver_Summary!G4</f>
        <v>95.25</v>
      </c>
      <c r="H6">
        <v>2040</v>
      </c>
      <c r="I6">
        <f>Settlement_Driver_Summary!I4</f>
        <v>1985</v>
      </c>
      <c r="J6">
        <f>Settlement_Driver_Summary!J4</f>
        <v>1</v>
      </c>
      <c r="K6">
        <f>Settlement_Driver_Summary!K4</f>
        <v>8</v>
      </c>
      <c r="L6" t="str">
        <f>Settlement_Driver_Summary!L4</f>
        <v>Ready</v>
      </c>
    </row>
    <row r="7">
      <c r="A7" t="str">
        <f>Settlement_Driver_Summary!A5</f>
        <v>DRV-004</v>
      </c>
      <c r="B7" t="str">
        <f>Settlement_Driver_Summary!B5</f>
        <v>Priya A. Patel</v>
      </c>
      <c r="C7">
        <f>Settlement_Driver_Summary!C5</f>
        <v>17110</v>
      </c>
      <c r="D7">
        <f>Settlement_Driver_Summary!D5</f>
        <v>4965</v>
      </c>
      <c r="E7">
        <f>Settlement_Driver_Summary!E5</f>
        <v>12145</v>
      </c>
      <c r="F7">
        <f>Settlement_Driver_Summary!F5</f>
        <v>14400</v>
      </c>
      <c r="G7">
        <f>Settlement_Driver_Summary!G5</f>
        <v>85.875</v>
      </c>
      <c r="H7">
        <v>1615</v>
      </c>
      <c r="I7">
        <f>Settlement_Driver_Summary!I5</f>
        <v>1590</v>
      </c>
      <c r="J7">
        <f>Settlement_Driver_Summary!J5</f>
        <v>1</v>
      </c>
      <c r="K7">
        <f>Settlement_Driver_Summary!K5</f>
        <v>8</v>
      </c>
      <c r="L7" t="str">
        <f>Settlement_Driver_Summary!L5</f>
        <v>Ready</v>
      </c>
    </row>
    <row r="8">
      <c r="A8" t="str">
        <f>Settlement_Driver_Summary!A6</f>
        <v>DRV-005</v>
      </c>
      <c r="B8" t="str">
        <f>Settlement_Driver_Summary!B6</f>
        <v>Kenji H. Tanaka</v>
      </c>
      <c r="C8">
        <f>Settlement_Driver_Summary!C6</f>
        <v>20155</v>
      </c>
      <c r="D8">
        <f>Settlement_Driver_Summary!D6</f>
        <v>5685</v>
      </c>
      <c r="E8">
        <f>Settlement_Driver_Summary!E6</f>
        <v>14470</v>
      </c>
      <c r="F8">
        <f>Settlement_Driver_Summary!F6</f>
        <v>16715</v>
      </c>
      <c r="G8">
        <f>Settlement_Driver_Summary!G6</f>
        <v>91.75</v>
      </c>
      <c r="H8">
        <v>1925</v>
      </c>
      <c r="I8">
        <f>Settlement_Driver_Summary!I6</f>
        <v>1880</v>
      </c>
      <c r="J8">
        <f>Settlement_Driver_Summary!J6</f>
        <v>1</v>
      </c>
      <c r="K8">
        <f>Settlement_Driver_Summary!K6</f>
        <v>8</v>
      </c>
      <c r="L8" t="str">
        <f>Settlement_Driver_Summary!L6</f>
        <v>Ready</v>
      </c>
    </row>
    <row r="9">
      <c r="A9" t="str">
        <f>Settlement_Driver_Summary!A7</f>
        <v>DRV-006</v>
      </c>
      <c r="B9" t="str">
        <f>Settlement_Driver_Summary!B7</f>
        <v>Marcus W. Chen</v>
      </c>
      <c r="C9">
        <f>Settlement_Driver_Summary!C7</f>
        <v>19105</v>
      </c>
      <c r="D9">
        <f>Settlement_Driver_Summary!D7</f>
        <v>5490</v>
      </c>
      <c r="E9">
        <f>Settlement_Driver_Summary!E7</f>
        <v>13615</v>
      </c>
      <c r="F9">
        <f>Settlement_Driver_Summary!F7</f>
        <v>15875</v>
      </c>
      <c r="G9">
        <f>Settlement_Driver_Summary!G7</f>
        <v>89.75</v>
      </c>
      <c r="H9">
        <v>1810</v>
      </c>
      <c r="I9">
        <f>Settlement_Driver_Summary!I7</f>
        <v>1775</v>
      </c>
      <c r="J9">
        <f>Settlement_Driver_Summary!J7</f>
        <v>1</v>
      </c>
      <c r="K9">
        <f>Settlement_Driver_Summary!K7</f>
        <v>8</v>
      </c>
      <c r="L9" t="str">
        <f>Settlement_Driver_Summary!L7</f>
        <v>Ready</v>
      </c>
    </row>
    <row r="10">
      <c r="A10" t="str">
        <f>Settlement_Driver_Summary!A8</f>
        <v>DRV-007</v>
      </c>
      <c r="B10" t="str">
        <f>Settlement_Driver_Summary!B8</f>
        <v>Sofia I. Gomez</v>
      </c>
      <c r="C10">
        <f>Settlement_Driver_Summary!C8</f>
        <v>18240</v>
      </c>
      <c r="D10">
        <f>Settlement_Driver_Summary!D8</f>
        <v>5290</v>
      </c>
      <c r="E10">
        <f>Settlement_Driver_Summary!E8</f>
        <v>12950</v>
      </c>
      <c r="F10">
        <f>Settlement_Driver_Summary!F8</f>
        <v>15245</v>
      </c>
      <c r="G10">
        <f>Settlement_Driver_Summary!G8</f>
        <v>88.75</v>
      </c>
      <c r="H10">
        <v>1730</v>
      </c>
      <c r="I10">
        <f>Settlement_Driver_Summary!I8</f>
        <v>1690</v>
      </c>
      <c r="J10">
        <f>Settlement_Driver_Summary!J8</f>
        <v>1</v>
      </c>
      <c r="K10">
        <f>Settlement_Driver_Summary!K8</f>
        <v>8</v>
      </c>
      <c r="L10" t="str">
        <f>Settlement_Driver_Summary!L8</f>
        <v>Ready</v>
      </c>
    </row>
    <row r="11">
      <c r="A11" t="str">
        <f>Settlement_Driver_Summary!A9</f>
        <v>DRV-008</v>
      </c>
      <c r="B11" t="str">
        <f>Settlement_Driver_Summary!B9</f>
        <v>Liam P. Smith</v>
      </c>
      <c r="C11">
        <f>Settlement_Driver_Summary!C9</f>
        <v>18865</v>
      </c>
      <c r="D11">
        <f>Settlement_Driver_Summary!D9</f>
        <v>5410</v>
      </c>
      <c r="E11">
        <f>Settlement_Driver_Summary!E9</f>
        <v>13455</v>
      </c>
      <c r="F11">
        <f>Settlement_Driver_Summary!F9</f>
        <v>15720</v>
      </c>
      <c r="G11">
        <f>Settlement_Driver_Summary!G9</f>
        <v>89.75</v>
      </c>
      <c r="H11">
        <v>1790</v>
      </c>
      <c r="I11">
        <f>Settlement_Driver_Summary!I9</f>
        <v>1755</v>
      </c>
      <c r="J11">
        <f>Settlement_Driver_Summary!J9</f>
        <v>1</v>
      </c>
      <c r="K11">
        <f>Settlement_Driver_Summary!K9</f>
        <v>8</v>
      </c>
      <c r="L11" t="str">
        <f>Settlement_Driver_Summary!L9</f>
        <v>Ready</v>
      </c>
    </row>
    <row r="12">
      <c r="A12" t="str">
        <f>Settlement_Driver_Summary!A10</f>
        <v>DRV-009</v>
      </c>
      <c r="B12" t="str">
        <f>Settlement_Driver_Summary!B10</f>
        <v>Emma C. Brown</v>
      </c>
      <c r="C12">
        <f>Settlement_Driver_Summary!C10</f>
        <v>17970</v>
      </c>
      <c r="D12">
        <f>Settlement_Driver_Summary!D10</f>
        <v>5250</v>
      </c>
      <c r="E12">
        <f>Settlement_Driver_Summary!E10</f>
        <v>12720</v>
      </c>
      <c r="F12">
        <f>Settlement_Driver_Summary!F10</f>
        <v>15055</v>
      </c>
      <c r="G12">
        <f>Settlement_Driver_Summary!G10</f>
        <v>87.75</v>
      </c>
      <c r="H12">
        <v>1700</v>
      </c>
      <c r="I12">
        <f>Settlement_Driver_Summary!I10</f>
        <v>1665</v>
      </c>
      <c r="J12">
        <f>Settlement_Driver_Summary!J10</f>
        <v>1</v>
      </c>
      <c r="K12">
        <f>Settlement_Driver_Summary!K10</f>
        <v>8</v>
      </c>
      <c r="L12" t="str">
        <f>Settlement_Driver_Summary!L10</f>
        <v>Ready</v>
      </c>
    </row>
    <row r="13">
      <c r="A13" t="str">
        <f>Settlement_Driver_Summary!A11</f>
        <v>DRV-010</v>
      </c>
      <c r="B13" t="str">
        <f>Settlement_Driver_Summary!B11</f>
        <v>Noah R. Wilson</v>
      </c>
      <c r="C13">
        <f>Settlement_Driver_Summary!C11</f>
        <v>19355</v>
      </c>
      <c r="D13">
        <f>Settlement_Driver_Summary!D11</f>
        <v>5580</v>
      </c>
      <c r="E13">
        <f>Settlement_Driver_Summary!E11</f>
        <v>13775</v>
      </c>
      <c r="F13">
        <f>Settlement_Driver_Summary!F11</f>
        <v>16055</v>
      </c>
      <c r="G13">
        <f>Settlement_Driver_Summary!G11</f>
        <v>90.75</v>
      </c>
      <c r="H13">
        <v>1830</v>
      </c>
      <c r="I13">
        <f>Settlement_Driver_Summary!I11</f>
        <v>1800</v>
      </c>
      <c r="J13">
        <f>Settlement_Driver_Summary!J11</f>
        <v>1</v>
      </c>
      <c r="K13">
        <f>Settlement_Driver_Summary!K11</f>
        <v>8</v>
      </c>
      <c r="L13" t="str">
        <f>Settlement_Driver_Summary!L11</f>
        <v>Ready</v>
      </c>
    </row>
    <row r="14">
      <c r="A14" t="str">
        <f>Settlement_Driver_Summary!A12</f>
        <v>DRV-011</v>
      </c>
      <c r="B14" t="str">
        <f>Settlement_Driver_Summary!B12</f>
        <v>Olivia M. Lee</v>
      </c>
      <c r="C14">
        <f>Settlement_Driver_Summary!C12</f>
        <v>18465</v>
      </c>
      <c r="D14">
        <f>Settlement_Driver_Summary!D12</f>
        <v>5370</v>
      </c>
      <c r="E14">
        <f>Settlement_Driver_Summary!E12</f>
        <v>13095</v>
      </c>
      <c r="F14">
        <f>Settlement_Driver_Summary!F12</f>
        <v>15400</v>
      </c>
      <c r="G14">
        <f>Settlement_Driver_Summary!G12</f>
        <v>88.75</v>
      </c>
      <c r="H14">
        <v>1745</v>
      </c>
      <c r="I14">
        <f>Settlement_Driver_Summary!I12</f>
        <v>1710</v>
      </c>
      <c r="J14">
        <f>Settlement_Driver_Summary!J12</f>
        <v>1</v>
      </c>
      <c r="K14">
        <f>Settlement_Driver_Summary!K12</f>
        <v>8</v>
      </c>
      <c r="L14" t="str">
        <f>Settlement_Driver_Summary!L12</f>
        <v>Ready</v>
      </c>
    </row>
    <row r="15">
      <c r="A15" t="str">
        <f>Settlement_Driver_Summary!A13</f>
        <v>DRV-012</v>
      </c>
      <c r="B15" t="str">
        <f>Settlement_Driver_Summary!B13</f>
        <v>Robert D. Johnson</v>
      </c>
      <c r="C15">
        <f>Settlement_Driver_Summary!C13</f>
        <v>18950</v>
      </c>
      <c r="D15">
        <f>Settlement_Driver_Summary!D13</f>
        <v>5450</v>
      </c>
      <c r="E15">
        <f>Settlement_Driver_Summary!E13</f>
        <v>13500</v>
      </c>
      <c r="F15">
        <f>Settlement_Driver_Summary!F13</f>
        <v>15845</v>
      </c>
      <c r="G15">
        <f>Settlement_Driver_Summary!G13</f>
        <v>89.75</v>
      </c>
      <c r="H15">
        <v>1795</v>
      </c>
      <c r="I15">
        <f>Settlement_Driver_Summary!I13</f>
        <v>1760</v>
      </c>
      <c r="J15">
        <f>Settlement_Driver_Summary!J13</f>
        <v>1</v>
      </c>
      <c r="K15">
        <f>Settlement_Driver_Summary!K13</f>
        <v>8</v>
      </c>
      <c r="L15" t="str">
        <f>Settlement_Driver_Summary!L13</f>
        <v>Ready</v>
      </c>
    </row>
  </sheetData>
  <mergeCells count="1">
    <mergeCell ref="A1:L1"/>
  </mergeCells>
  <pageMargins left="0.7" right="0.7" top="0.75" bottom="0.75" header="0.3" footer="0.3"/>
  <ignoredErrors>
    <ignoredError numberStoredAsText="1" sqref="A1:L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W42"/>
  <sheetViews>
    <sheetView workbookViewId="0" rightToLeft="0"/>
  </sheetViews>
  <sheetData>
    <row r="1">
      <c r="A1" t="str">
        <v>Driver</v>
      </c>
      <c r="B1" t="str">
        <v>OOS Violations</v>
      </c>
      <c r="C1" t="str">
        <v>HOS Compliance</v>
      </c>
      <c r="D1" t="str">
        <v>Maintenance Photos</v>
      </c>
      <c r="E1" t="str">
        <v>Tire/Asset Insp.</v>
      </c>
      <c r="F1" t="str">
        <v>Cargo Damage</v>
      </c>
      <c r="G1" t="str">
        <v>Safety Bonus Earned</v>
      </c>
      <c r="H1" t="str">
        <v>Performance Tier</v>
      </c>
      <c r="I1" t="str">
        <v>Driver ID</v>
      </c>
      <c r="J1" t="str">
        <v>Safety Score</v>
      </c>
      <c r="K1" t="str">
        <v>Open Safety Events</v>
      </c>
      <c r="L1" t="str">
        <v>Critical Events</v>
      </c>
      <c r="M1" t="str">
        <v>Last Safety Event Date</v>
      </c>
      <c r="N1" t="str">
        <v>Last Safety Event Type</v>
      </c>
      <c r="O1" t="str">
        <v>Coaching Status</v>
      </c>
      <c r="P1" t="str">
        <v>Last Coaching Date</v>
      </c>
      <c r="Q1" t="str">
        <v>Corrective Action Due</v>
      </c>
      <c r="R1" t="str">
        <v>Dispatch Eligibility Impact</v>
      </c>
      <c r="S1" t="str">
        <v>Settlement Impact</v>
      </c>
      <c r="T1" t="str">
        <v>Insurance Risk Band</v>
      </c>
      <c r="U1" t="str">
        <v>Evidence Packet Status</v>
      </c>
      <c r="V1" t="str">
        <v>Manager Action Required</v>
      </c>
      <c r="W1" t="str">
        <v>Safety Action Status</v>
      </c>
    </row>
    <row r="2">
      <c r="A2" t="str">
        <v>John Carter</v>
      </c>
      <c r="B2">
        <v>0</v>
      </c>
      <c r="C2">
        <v>1</v>
      </c>
      <c r="D2">
        <v>46116</v>
      </c>
      <c r="E2" t="str">
        <v>Pass</v>
      </c>
      <c r="F2">
        <v>0</v>
      </c>
      <c r="G2">
        <v>125</v>
      </c>
      <c r="H2" t="str">
        <v>Elite</v>
      </c>
      <c r="I2" t="str">
        <v>DRV-001</v>
      </c>
      <c r="J2">
        <v>96</v>
      </c>
      <c r="K2">
        <v>0</v>
      </c>
      <c r="L2">
        <v>0</v>
      </c>
      <c r="M2">
        <v>46146</v>
      </c>
      <c r="N2" t="str">
        <v>None</v>
      </c>
      <c r="O2" t="str">
        <v>Current</v>
      </c>
      <c r="P2">
        <v>46147</v>
      </c>
      <c r="Q2" t="str">
        <v/>
      </c>
      <c r="R2" t="str">
        <v>Eligible</v>
      </c>
      <c r="S2" t="str">
        <v>None</v>
      </c>
      <c r="T2" t="str">
        <v>Low</v>
      </c>
      <c r="U2" t="str">
        <v>Complete</v>
      </c>
      <c r="V2" t="str">
        <v>No active action required</v>
      </c>
      <c r="W2" t="str">
        <v>Closed / Good Standing</v>
      </c>
    </row>
    <row r="3">
      <c r="A3" t="str">
        <v>Maria Lopez</v>
      </c>
      <c r="B3">
        <v>0</v>
      </c>
      <c r="C3">
        <v>1</v>
      </c>
      <c r="D3">
        <v>46116</v>
      </c>
      <c r="E3" t="str">
        <v>Pass</v>
      </c>
      <c r="F3">
        <v>0</v>
      </c>
      <c r="G3">
        <v>125</v>
      </c>
      <c r="H3" t="str">
        <v>Elite</v>
      </c>
      <c r="I3" t="str">
        <v>DRV-002</v>
      </c>
      <c r="J3">
        <v>94</v>
      </c>
      <c r="K3">
        <v>0</v>
      </c>
      <c r="L3">
        <v>0</v>
      </c>
      <c r="M3">
        <v>46155</v>
      </c>
      <c r="N3" t="str">
        <v>Geofence Exit</v>
      </c>
      <c r="O3" t="str">
        <v>Reviewed</v>
      </c>
      <c r="P3">
        <v>46156</v>
      </c>
      <c r="Q3">
        <v>46162</v>
      </c>
      <c r="R3" t="str">
        <v>Eligible</v>
      </c>
      <c r="S3" t="str">
        <v>None</v>
      </c>
      <c r="T3" t="str">
        <v>Low</v>
      </c>
      <c r="U3" t="str">
        <v>Complete</v>
      </c>
      <c r="V3" t="str">
        <v>No active action required</v>
      </c>
      <c r="W3" t="str">
        <v>Closed / Good Standing</v>
      </c>
    </row>
    <row r="4">
      <c r="A4" t="str">
        <v>Alex Kim</v>
      </c>
      <c r="B4">
        <v>0</v>
      </c>
      <c r="C4">
        <v>0.98</v>
      </c>
      <c r="D4">
        <v>46085</v>
      </c>
      <c r="E4" t="str">
        <v>Pass</v>
      </c>
      <c r="F4">
        <v>0</v>
      </c>
      <c r="G4">
        <v>75</v>
      </c>
      <c r="H4" t="str">
        <v>Standard</v>
      </c>
      <c r="I4" t="str">
        <v>DRV-003</v>
      </c>
      <c r="J4">
        <v>91</v>
      </c>
      <c r="K4">
        <v>0</v>
      </c>
      <c r="L4">
        <v>0</v>
      </c>
      <c r="M4">
        <v>46151</v>
      </c>
      <c r="N4" t="str">
        <v>Following Distance</v>
      </c>
      <c r="O4" t="str">
        <v>Coached</v>
      </c>
      <c r="P4">
        <v>46152</v>
      </c>
      <c r="Q4">
        <v>46159</v>
      </c>
      <c r="R4" t="str">
        <v>Eligible</v>
      </c>
      <c r="S4" t="str">
        <v>None</v>
      </c>
      <c r="T4" t="str">
        <v>Moderate</v>
      </c>
      <c r="U4" t="str">
        <v>Complete</v>
      </c>
      <c r="V4" t="str">
        <v>No active action required</v>
      </c>
      <c r="W4" t="str">
        <v>Closed / Good Standing</v>
      </c>
    </row>
    <row r="5">
      <c r="A5" t="str">
        <v>Priya Patel</v>
      </c>
      <c r="B5">
        <v>1</v>
      </c>
      <c r="C5">
        <v>0.92</v>
      </c>
      <c r="D5">
        <v>46057</v>
      </c>
      <c r="E5" t="str">
        <v>Fail</v>
      </c>
      <c r="F5">
        <v>250</v>
      </c>
      <c r="G5">
        <v>25</v>
      </c>
      <c r="H5" t="str">
        <v>At Risk</v>
      </c>
      <c r="I5" t="str">
        <v>DRV-004</v>
      </c>
      <c r="J5">
        <v>72</v>
      </c>
      <c r="K5">
        <v>0</v>
      </c>
      <c r="L5">
        <v>0</v>
      </c>
      <c r="M5">
        <v>46155</v>
      </c>
      <c r="N5" t="str">
        <v>Speeding</v>
      </c>
      <c r="O5" t="str">
        <v>Required</v>
      </c>
      <c r="P5" t="str">
        <v/>
      </c>
      <c r="Q5">
        <v>46164</v>
      </c>
      <c r="R5" t="str">
        <v>Eligible</v>
      </c>
      <c r="S5" t="str">
        <v>None</v>
      </c>
      <c r="T5" t="str">
        <v>High</v>
      </c>
      <c r="U5" t="str">
        <v>Partial</v>
      </c>
      <c r="V5" t="str">
        <v>No active action required</v>
      </c>
      <c r="W5" t="str">
        <v>Closed / Good Standing</v>
      </c>
    </row>
    <row r="6">
      <c r="A6" t="str">
        <v>Kenji Tanaka</v>
      </c>
      <c r="B6">
        <v>0</v>
      </c>
      <c r="C6">
        <v>0.99</v>
      </c>
      <c r="D6">
        <v>46116</v>
      </c>
      <c r="E6" t="str">
        <v>Pass</v>
      </c>
      <c r="F6">
        <v>0</v>
      </c>
      <c r="G6">
        <v>75</v>
      </c>
      <c r="H6" t="str">
        <v>Standard</v>
      </c>
      <c r="I6" t="str">
        <v>DRV-005</v>
      </c>
      <c r="J6">
        <v>93</v>
      </c>
      <c r="K6">
        <v>0</v>
      </c>
      <c r="L6">
        <v>0</v>
      </c>
      <c r="M6">
        <v>46144</v>
      </c>
      <c r="N6" t="str">
        <v>None</v>
      </c>
      <c r="O6" t="str">
        <v>Current</v>
      </c>
      <c r="P6">
        <v>46145</v>
      </c>
      <c r="Q6" t="str">
        <v/>
      </c>
      <c r="R6" t="str">
        <v>Eligible</v>
      </c>
      <c r="S6" t="str">
        <v>None</v>
      </c>
      <c r="T6" t="str">
        <v>Low</v>
      </c>
      <c r="U6" t="str">
        <v>Complete</v>
      </c>
      <c r="V6" t="str">
        <v>No active action required</v>
      </c>
      <c r="W6" t="str">
        <v>Closed / Good Standing</v>
      </c>
    </row>
    <row r="7">
      <c r="A7" t="str">
        <v>Marcus Chen</v>
      </c>
      <c r="B7">
        <v>0</v>
      </c>
      <c r="C7">
        <v>1</v>
      </c>
      <c r="D7">
        <v>46116</v>
      </c>
      <c r="E7" t="str">
        <v>Pass</v>
      </c>
      <c r="F7">
        <v>0</v>
      </c>
      <c r="G7">
        <v>125</v>
      </c>
      <c r="H7" t="str">
        <v>Elite</v>
      </c>
      <c r="I7" t="str">
        <v>DRV-006</v>
      </c>
      <c r="J7">
        <v>86</v>
      </c>
      <c r="K7">
        <v>0</v>
      </c>
      <c r="L7">
        <v>0</v>
      </c>
      <c r="M7">
        <v>46155</v>
      </c>
      <c r="N7" t="str">
        <v>Harsh Braking</v>
      </c>
      <c r="O7" t="str">
        <v>Scheduled</v>
      </c>
      <c r="P7" t="str">
        <v/>
      </c>
      <c r="Q7">
        <v>46163</v>
      </c>
      <c r="R7" t="str">
        <v>Eligible</v>
      </c>
      <c r="S7" t="str">
        <v>None</v>
      </c>
      <c r="T7" t="str">
        <v>Moderate</v>
      </c>
      <c r="U7" t="str">
        <v>Partial</v>
      </c>
      <c r="V7" t="str">
        <v>No active action required</v>
      </c>
      <c r="W7" t="str">
        <v>Closed / Good Standing</v>
      </c>
    </row>
    <row r="8">
      <c r="A8" t="str">
        <v>Sofia Gomez</v>
      </c>
      <c r="B8">
        <v>0</v>
      </c>
      <c r="C8">
        <v>1</v>
      </c>
      <c r="D8">
        <v>46116</v>
      </c>
      <c r="E8" t="str">
        <v>Pass</v>
      </c>
      <c r="F8">
        <v>0</v>
      </c>
      <c r="G8">
        <v>125</v>
      </c>
      <c r="H8" t="str">
        <v>Elite</v>
      </c>
      <c r="I8" t="str">
        <v>DRV-007</v>
      </c>
      <c r="J8">
        <v>95</v>
      </c>
      <c r="K8">
        <v>0</v>
      </c>
      <c r="L8">
        <v>0</v>
      </c>
      <c r="M8">
        <v>46149</v>
      </c>
      <c r="N8" t="str">
        <v>None</v>
      </c>
      <c r="O8" t="str">
        <v>Current</v>
      </c>
      <c r="P8">
        <v>46150</v>
      </c>
      <c r="Q8" t="str">
        <v/>
      </c>
      <c r="R8" t="str">
        <v>Eligible</v>
      </c>
      <c r="S8" t="str">
        <v>None</v>
      </c>
      <c r="T8" t="str">
        <v>Low</v>
      </c>
      <c r="U8" t="str">
        <v>Complete</v>
      </c>
      <c r="V8" t="str">
        <v>No active action required</v>
      </c>
      <c r="W8" t="str">
        <v>Closed / Good Standing</v>
      </c>
    </row>
    <row r="9">
      <c r="A9" t="str">
        <v>Liam Smith</v>
      </c>
      <c r="B9">
        <v>2</v>
      </c>
      <c r="C9">
        <v>0.85</v>
      </c>
      <c r="D9">
        <v>46026</v>
      </c>
      <c r="E9" t="str">
        <v>Fail</v>
      </c>
      <c r="F9">
        <v>1200</v>
      </c>
      <c r="G9">
        <v>25</v>
      </c>
      <c r="H9" t="str">
        <v>At Risk</v>
      </c>
      <c r="I9" t="str">
        <v>DRV-008</v>
      </c>
      <c r="J9">
        <v>68</v>
      </c>
      <c r="K9">
        <v>0</v>
      </c>
      <c r="L9">
        <v>0</v>
      </c>
      <c r="M9">
        <v>46158</v>
      </c>
      <c r="N9" t="str">
        <v>HOS Violation</v>
      </c>
      <c r="O9" t="str">
        <v>Required</v>
      </c>
      <c r="P9" t="str">
        <v/>
      </c>
      <c r="Q9">
        <v>46161</v>
      </c>
      <c r="R9" t="str">
        <v>Eligible</v>
      </c>
      <c r="S9" t="str">
        <v>None</v>
      </c>
      <c r="T9" t="str">
        <v>High</v>
      </c>
      <c r="U9" t="str">
        <v>Partial</v>
      </c>
      <c r="V9" t="str">
        <v>No active action required</v>
      </c>
      <c r="W9" t="str">
        <v>Closed / Good Standing</v>
      </c>
    </row>
    <row r="10">
      <c r="A10" t="str">
        <v xml:space="preserve">Emma Brown </v>
      </c>
      <c r="B10">
        <v>0</v>
      </c>
      <c r="C10">
        <v>0.96</v>
      </c>
      <c r="D10">
        <v>46085</v>
      </c>
      <c r="E10" t="str">
        <v>Pass</v>
      </c>
      <c r="F10">
        <v>0</v>
      </c>
      <c r="G10">
        <v>75</v>
      </c>
      <c r="H10" t="str">
        <v>Standard</v>
      </c>
      <c r="I10" t="str">
        <v>DRV-009</v>
      </c>
      <c r="J10">
        <v>89</v>
      </c>
      <c r="K10">
        <v>0</v>
      </c>
      <c r="L10">
        <v>0</v>
      </c>
      <c r="M10">
        <v>46153</v>
      </c>
      <c r="N10" t="str">
        <v>Maintenance Photo Missing</v>
      </c>
      <c r="O10" t="str">
        <v>Pending Evidence</v>
      </c>
      <c r="P10" t="str">
        <v/>
      </c>
      <c r="Q10">
        <v>46160</v>
      </c>
      <c r="R10" t="str">
        <v>Eligible</v>
      </c>
      <c r="S10" t="str">
        <v>None</v>
      </c>
      <c r="T10" t="str">
        <v>Moderate</v>
      </c>
      <c r="U10" t="str">
        <v>Missing Required Photo</v>
      </c>
      <c r="V10" t="str">
        <v>No active action required</v>
      </c>
      <c r="W10" t="str">
        <v>Closed / Good Standing</v>
      </c>
    </row>
    <row r="11">
      <c r="A11" t="str">
        <v xml:space="preserve">Noah Wilson </v>
      </c>
      <c r="B11">
        <v>1</v>
      </c>
      <c r="C11">
        <v>0.85</v>
      </c>
      <c r="D11">
        <v>46116</v>
      </c>
      <c r="E11" t="str">
        <v>Pass</v>
      </c>
      <c r="F11">
        <v>0</v>
      </c>
      <c r="G11">
        <v>0</v>
      </c>
      <c r="H11" t="str">
        <v>At Risk</v>
      </c>
      <c r="I11" t="str">
        <v>DRV-010</v>
      </c>
      <c r="J11">
        <v>74</v>
      </c>
      <c r="K11">
        <v>2</v>
      </c>
      <c r="L11">
        <v>1</v>
      </c>
      <c r="M11">
        <v>46155</v>
      </c>
      <c r="N11" t="str">
        <v>HOS Violation</v>
      </c>
      <c r="O11" t="str">
        <v>Required</v>
      </c>
      <c r="P11" t="str">
        <v/>
      </c>
      <c r="Q11">
        <v>46162</v>
      </c>
      <c r="R11" t="str">
        <v>Blocked until HOS coaching acknowledged</v>
      </c>
      <c r="S11" t="str">
        <v>Safety hold until packet complete</v>
      </c>
      <c r="T11" t="str">
        <v>High</v>
      </c>
      <c r="U11" t="str">
        <v>Partial</v>
      </c>
      <c r="V11" t="str">
        <v>Driver statement and HOS coaching required</v>
      </c>
      <c r="W11" t="str">
        <v>Dispatch Blocked</v>
      </c>
    </row>
    <row r="12">
      <c r="A12" t="str">
        <v>Olivia Lee</v>
      </c>
      <c r="B12">
        <v>0</v>
      </c>
      <c r="C12">
        <v>0.98</v>
      </c>
      <c r="D12">
        <v>46116</v>
      </c>
      <c r="E12" t="str">
        <v>Pass</v>
      </c>
      <c r="F12">
        <v>0</v>
      </c>
      <c r="G12">
        <v>75</v>
      </c>
      <c r="H12" t="str">
        <v>Standard</v>
      </c>
      <c r="I12" t="str">
        <v>DRV-011</v>
      </c>
      <c r="J12">
        <v>92</v>
      </c>
      <c r="K12">
        <v>0</v>
      </c>
      <c r="L12">
        <v>0</v>
      </c>
      <c r="M12">
        <v>46148</v>
      </c>
      <c r="N12" t="str">
        <v>None</v>
      </c>
      <c r="O12" t="str">
        <v>Current</v>
      </c>
      <c r="P12">
        <v>46149</v>
      </c>
      <c r="Q12" t="str">
        <v/>
      </c>
      <c r="R12" t="str">
        <v>Eligible</v>
      </c>
      <c r="S12" t="str">
        <v>None</v>
      </c>
      <c r="T12" t="str">
        <v>Low</v>
      </c>
      <c r="U12" t="str">
        <v>Complete</v>
      </c>
      <c r="V12" t="str">
        <v>No active action required</v>
      </c>
      <c r="W12" t="str">
        <v>Closed / Good Standing</v>
      </c>
    </row>
    <row r="13">
      <c r="A13" t="str">
        <v>Robert Johnson</v>
      </c>
      <c r="B13">
        <v>0</v>
      </c>
      <c r="C13">
        <v>0.97</v>
      </c>
      <c r="D13">
        <v>46116</v>
      </c>
      <c r="E13" t="str">
        <v>Pass</v>
      </c>
      <c r="F13">
        <v>0</v>
      </c>
      <c r="G13">
        <v>75</v>
      </c>
      <c r="H13" t="str">
        <v>Standard</v>
      </c>
      <c r="I13" t="str">
        <v>DRV-012</v>
      </c>
      <c r="J13">
        <v>90</v>
      </c>
      <c r="K13">
        <v>0</v>
      </c>
      <c r="L13">
        <v>0</v>
      </c>
      <c r="M13">
        <v>46157</v>
      </c>
      <c r="N13" t="str">
        <v>Lane Departure</v>
      </c>
      <c r="O13" t="str">
        <v>Scheduled</v>
      </c>
      <c r="P13" t="str">
        <v/>
      </c>
      <c r="Q13">
        <v>46165</v>
      </c>
      <c r="R13" t="str">
        <v>Eligible</v>
      </c>
      <c r="S13" t="str">
        <v>None</v>
      </c>
      <c r="T13" t="str">
        <v>Moderate</v>
      </c>
      <c r="U13" t="str">
        <v>Complete</v>
      </c>
      <c r="V13" t="str">
        <v>No active action required</v>
      </c>
      <c r="W13" t="str">
        <v>Closed / Good Standing</v>
      </c>
    </row>
    <row r="14">
      <c r="A14" t="str">
        <v>Driver</v>
      </c>
      <c r="B14" t="str">
        <v>OOS Violations</v>
      </c>
      <c r="C14" t="str">
        <v>Reason Code</v>
      </c>
      <c r="D14" t="str">
        <v>Severity</v>
      </c>
      <c r="E14" t="str">
        <v>Action Required</v>
      </c>
      <c r="F14" t="str">
        <v/>
      </c>
      <c r="G14" t="str">
        <v/>
      </c>
      <c r="H14" t="str">
        <v>Standard</v>
      </c>
      <c r="I14" t="str">
        <v/>
      </c>
      <c r="J14" t="str">
        <v/>
      </c>
      <c r="K14">
        <v>0</v>
      </c>
      <c r="L14">
        <v>0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>Eligible</v>
      </c>
      <c r="S14" t="str">
        <v>None</v>
      </c>
      <c r="T14" t="str">
        <v/>
      </c>
      <c r="U14" t="str">
        <v/>
      </c>
      <c r="V14" t="str">
        <v>No active action required</v>
      </c>
      <c r="W14" t="str">
        <v>Closed / Good Standing</v>
      </c>
    </row>
    <row r="15">
      <c r="A15" t="str">
        <v>J. Carter</v>
      </c>
      <c r="B15">
        <v>0</v>
      </c>
      <c r="C15" t="str">
        <v>N/A</v>
      </c>
      <c r="D15" t="str">
        <v>Low</v>
      </c>
      <c r="E15" t="str">
        <v>None</v>
      </c>
      <c r="F15" t="str">
        <v/>
      </c>
      <c r="G15" t="str">
        <v/>
      </c>
      <c r="H15" t="str">
        <v>Standard</v>
      </c>
      <c r="I15" t="str">
        <v/>
      </c>
      <c r="J15" t="str">
        <v/>
      </c>
      <c r="K15">
        <v>0</v>
      </c>
      <c r="L15">
        <v>0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>Eligible</v>
      </c>
      <c r="S15" t="str">
        <v>None</v>
      </c>
      <c r="T15" t="str">
        <v/>
      </c>
      <c r="U15" t="str">
        <v/>
      </c>
      <c r="V15" t="str">
        <v>No active action required</v>
      </c>
      <c r="W15" t="str">
        <v>Closed / Good Standing</v>
      </c>
    </row>
    <row r="16">
      <c r="A16" t="str">
        <v>P. Patel</v>
      </c>
      <c r="B16">
        <v>1</v>
      </c>
      <c r="C16" t="str">
        <v>B-102 (Tires)</v>
      </c>
      <c r="D16" t="str">
        <v>Med</v>
      </c>
      <c r="E16" t="str">
        <v>Immediate Repair &amp; Photo</v>
      </c>
      <c r="F16" t="str">
        <v/>
      </c>
      <c r="G16" t="str">
        <v/>
      </c>
      <c r="H16" t="str">
        <v>Standard</v>
      </c>
      <c r="I16" t="str">
        <v/>
      </c>
      <c r="J16" t="str">
        <v/>
      </c>
      <c r="K16">
        <v>0</v>
      </c>
      <c r="L16">
        <v>0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>Eligible</v>
      </c>
      <c r="S16" t="str">
        <v>None</v>
      </c>
      <c r="T16" t="str">
        <v/>
      </c>
      <c r="U16" t="str">
        <v/>
      </c>
      <c r="V16" t="str">
        <v>No active action required</v>
      </c>
      <c r="W16" t="str">
        <v>Closed / Good Standing</v>
      </c>
    </row>
    <row r="17">
      <c r="A17" t="str">
        <v>L. Smith</v>
      </c>
      <c r="B17">
        <v>2</v>
      </c>
      <c r="C17" t="str">
        <v>L-405 (HOS)</v>
      </c>
      <c r="D17" t="str">
        <v>High</v>
      </c>
      <c r="E17" t="str">
        <v>24-hr Reset &amp; Safety Review</v>
      </c>
      <c r="F17" t="str">
        <v/>
      </c>
      <c r="G17" t="str">
        <v/>
      </c>
      <c r="H17" t="str">
        <v>Standard</v>
      </c>
      <c r="I17" t="str">
        <v/>
      </c>
      <c r="J17" t="str">
        <v/>
      </c>
      <c r="K17">
        <v>0</v>
      </c>
      <c r="L17">
        <v>0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>Eligible</v>
      </c>
      <c r="S17" t="str">
        <v>None</v>
      </c>
      <c r="T17" t="str">
        <v/>
      </c>
      <c r="U17" t="str">
        <v/>
      </c>
      <c r="V17" t="str">
        <v>No active action required</v>
      </c>
      <c r="W17" t="str">
        <v>Closed / Good Standing</v>
      </c>
    </row>
    <row r="18">
      <c r="A18" t="str">
        <v>E. Brown</v>
      </c>
      <c r="B18">
        <v>0</v>
      </c>
      <c r="C18" t="str">
        <v>N/A</v>
      </c>
      <c r="D18" t="str">
        <v>Low</v>
      </c>
      <c r="E18" t="str">
        <v>None</v>
      </c>
      <c r="F18" t="str">
        <v/>
      </c>
      <c r="G18" t="str">
        <v/>
      </c>
      <c r="H18" t="str">
        <v>Standard</v>
      </c>
      <c r="I18" t="str">
        <v/>
      </c>
      <c r="J18" t="str">
        <v/>
      </c>
      <c r="K18">
        <v>0</v>
      </c>
      <c r="L18">
        <v>0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>Eligible</v>
      </c>
      <c r="S18" t="str">
        <v>None</v>
      </c>
      <c r="T18" t="str">
        <v/>
      </c>
      <c r="U18" t="str">
        <v/>
      </c>
      <c r="V18" t="str">
        <v>No active action required</v>
      </c>
      <c r="W18" t="str">
        <v>Closed / Good Standing</v>
      </c>
    </row>
    <row r="19">
      <c r="A19" t="str">
        <v>Cargo Damage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>Standard</v>
      </c>
      <c r="I19" t="str">
        <v/>
      </c>
      <c r="J19" t="str">
        <v/>
      </c>
      <c r="K19">
        <v>0</v>
      </c>
      <c r="L19">
        <v>0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>Eligible</v>
      </c>
      <c r="S19" t="str">
        <v>None</v>
      </c>
      <c r="T19" t="str">
        <v/>
      </c>
      <c r="U19" t="str">
        <v/>
      </c>
      <c r="V19" t="str">
        <v>No active action required</v>
      </c>
      <c r="W19" t="str">
        <v>Closed / Good Standing</v>
      </c>
    </row>
    <row r="20">
      <c r="A20" t="str">
        <v>Code</v>
      </c>
      <c r="B20" t="str">
        <v>Explanation</v>
      </c>
      <c r="C20" t="str">
        <v>Detail</v>
      </c>
      <c r="D20" t="str">
        <v>Financial Impact</v>
      </c>
      <c r="E20" t="str">
        <v/>
      </c>
      <c r="F20" t="str">
        <v/>
      </c>
      <c r="G20" t="str">
        <v/>
      </c>
      <c r="H20" t="str">
        <v>Standard</v>
      </c>
      <c r="I20" t="str">
        <v/>
      </c>
      <c r="J20" t="str">
        <v/>
      </c>
      <c r="K20">
        <v>0</v>
      </c>
      <c r="L20">
        <v>0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>Eligible</v>
      </c>
      <c r="S20" t="str">
        <v>None</v>
      </c>
      <c r="T20" t="str">
        <v/>
      </c>
      <c r="U20" t="str">
        <v/>
      </c>
      <c r="V20" t="str">
        <v>No active action required</v>
      </c>
      <c r="W20" t="str">
        <v>Closed / Good Standing</v>
      </c>
    </row>
    <row r="21">
      <c r="A21" t="str">
        <v>C-SHFT</v>
      </c>
      <c r="B21" t="str">
        <v>Load Shift</v>
      </c>
      <c r="C21" t="str">
        <v>"Improper securement caused pallets to tip during transit."</v>
      </c>
      <c r="D21" t="str">
        <v>Driver at fault; hold safety bonus.</v>
      </c>
      <c r="E21" t="str">
        <v/>
      </c>
      <c r="F21" t="str">
        <v/>
      </c>
      <c r="G21" t="str">
        <v/>
      </c>
      <c r="H21" t="str">
        <v>Standard</v>
      </c>
      <c r="I21" t="str">
        <v/>
      </c>
      <c r="J21" t="str">
        <v/>
      </c>
      <c r="K21">
        <v>0</v>
      </c>
      <c r="L21">
        <v>0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>Eligible</v>
      </c>
      <c r="S21" t="str">
        <v>None</v>
      </c>
      <c r="T21" t="str">
        <v/>
      </c>
      <c r="U21" t="str">
        <v/>
      </c>
      <c r="V21" t="str">
        <v>No active action required</v>
      </c>
      <c r="W21" t="str">
        <v>Closed / Good Standing</v>
      </c>
    </row>
    <row r="22">
      <c r="A22" t="str">
        <v>C-TEMP</v>
      </c>
      <c r="B22" t="str">
        <v>Reefer Failure</v>
      </c>
      <c r="C22" t="str">
        <v>"Temperature went out of range (+/- 5 degrees) for 4 hours."</v>
      </c>
      <c r="D22" t="str">
        <v>Mechanical issue; check asset maintenance.</v>
      </c>
      <c r="E22" t="str">
        <v/>
      </c>
      <c r="F22" t="str">
        <v/>
      </c>
      <c r="G22" t="str">
        <v/>
      </c>
      <c r="H22" t="str">
        <v>Standard</v>
      </c>
      <c r="I22" t="str">
        <v/>
      </c>
      <c r="J22" t="str">
        <v/>
      </c>
      <c r="K22">
        <v>0</v>
      </c>
      <c r="L22">
        <v>0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>Eligible</v>
      </c>
      <c r="S22" t="str">
        <v>None</v>
      </c>
      <c r="T22" t="str">
        <v/>
      </c>
      <c r="U22" t="str">
        <v/>
      </c>
      <c r="V22" t="str">
        <v>No active action required</v>
      </c>
      <c r="W22" t="str">
        <v>Closed / Good Standing</v>
      </c>
    </row>
    <row r="23">
      <c r="A23" t="str">
        <v>C-SEAL</v>
      </c>
      <c r="B23" t="str">
        <v>Seal Breach</v>
      </c>
      <c r="C23" t="str">
        <v>"Trailer seal broken at delivery without authorization."</v>
      </c>
      <c r="D23" t="str">
        <v>Potential theft; full load rejection.</v>
      </c>
      <c r="E23" t="str">
        <v/>
      </c>
      <c r="F23" t="str">
        <v/>
      </c>
      <c r="G23" t="str">
        <v/>
      </c>
      <c r="H23" t="str">
        <v>Standard</v>
      </c>
      <c r="I23" t="str">
        <v/>
      </c>
      <c r="J23" t="str">
        <v/>
      </c>
      <c r="K23">
        <v>0</v>
      </c>
      <c r="L23">
        <v>0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>Eligible</v>
      </c>
      <c r="S23" t="str">
        <v>None</v>
      </c>
      <c r="T23" t="str">
        <v/>
      </c>
      <c r="U23" t="str">
        <v/>
      </c>
      <c r="V23" t="str">
        <v>No active action required</v>
      </c>
      <c r="W23" t="str">
        <v>Closed / Good Standing</v>
      </c>
    </row>
    <row r="24">
      <c r="A24" t="str">
        <v>C-WET</v>
      </c>
      <c r="B24" t="str">
        <v>Water Damage</v>
      </c>
      <c r="C24" t="str">
        <v>"Tarping failure or roof leak during rainstorm."</v>
      </c>
      <c r="D24" t="str">
        <v>Asset or driver negligence.</v>
      </c>
      <c r="E24" t="str">
        <v/>
      </c>
      <c r="F24" t="str">
        <v/>
      </c>
      <c r="G24" t="str">
        <v/>
      </c>
      <c r="H24" t="str">
        <v>Standard</v>
      </c>
      <c r="I24" t="str">
        <v/>
      </c>
      <c r="J24" t="str">
        <v/>
      </c>
      <c r="K24">
        <v>0</v>
      </c>
      <c r="L24">
        <v>0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>Eligible</v>
      </c>
      <c r="S24" t="str">
        <v>None</v>
      </c>
      <c r="T24" t="str">
        <v/>
      </c>
      <c r="U24" t="str">
        <v/>
      </c>
      <c r="V24" t="str">
        <v>No active action required</v>
      </c>
      <c r="W24" t="str">
        <v>Closed / Good Standing</v>
      </c>
    </row>
    <row r="25">
      <c r="A25" t="str">
        <v>Bonus Component</v>
      </c>
      <c r="B25" t="str">
        <v>Requirement</v>
      </c>
      <c r="C25" t="str">
        <v>Value</v>
      </c>
      <c r="D25" t="str">
        <v>Why it matters to the Fleet Owner</v>
      </c>
      <c r="E25" t="str">
        <v/>
      </c>
      <c r="F25" t="str">
        <v/>
      </c>
      <c r="G25" t="str">
        <v/>
      </c>
      <c r="H25" t="str">
        <v>Standard</v>
      </c>
      <c r="I25" t="str">
        <v/>
      </c>
      <c r="J25" t="str">
        <v/>
      </c>
      <c r="K25">
        <v>0</v>
      </c>
      <c r="L25">
        <v>0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>Eligible</v>
      </c>
      <c r="S25" t="str">
        <v>None</v>
      </c>
      <c r="T25" t="str">
        <v/>
      </c>
      <c r="U25" t="str">
        <v/>
      </c>
      <c r="V25" t="str">
        <v>No active action required</v>
      </c>
      <c r="W25" t="str">
        <v>Closed / Good Standing</v>
      </c>
    </row>
    <row r="26">
      <c r="A26" t="str">
        <v>Clean Inspection</v>
      </c>
      <c r="B26" t="str">
        <v>0 OOS Violations</v>
      </c>
      <c r="C26">
        <v>25</v>
      </c>
      <c r="D26" t="str">
        <v>Lowers insurance premiums.</v>
      </c>
      <c r="E26" t="str">
        <v/>
      </c>
      <c r="F26" t="str">
        <v/>
      </c>
      <c r="G26" t="str">
        <v/>
      </c>
      <c r="H26" t="str">
        <v>Standard</v>
      </c>
      <c r="I26" t="str">
        <v/>
      </c>
      <c r="J26" t="str">
        <v/>
      </c>
      <c r="K26">
        <v>0</v>
      </c>
      <c r="L26">
        <v>0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>Eligible</v>
      </c>
      <c r="S26" t="str">
        <v>None</v>
      </c>
      <c r="T26" t="str">
        <v/>
      </c>
      <c r="U26" t="str">
        <v/>
      </c>
      <c r="V26" t="str">
        <v>No active action required</v>
      </c>
      <c r="W26" t="str">
        <v>Closed / Good Standing</v>
      </c>
    </row>
    <row r="27">
      <c r="A27" t="str">
        <v>Admin Excellence</v>
      </c>
      <c r="B27" t="str">
        <v>100% Photo Uploads</v>
      </c>
      <c r="C27">
        <v>25</v>
      </c>
      <c r="D27" t="str">
        <v>Speeds up Accounts Receivable (A/R).</v>
      </c>
      <c r="E27" t="str">
        <v/>
      </c>
      <c r="F27" t="str">
        <v/>
      </c>
      <c r="G27" t="str">
        <v/>
      </c>
      <c r="H27" t="str">
        <v>Standard</v>
      </c>
      <c r="I27" t="str">
        <v/>
      </c>
      <c r="J27" t="str">
        <v/>
      </c>
      <c r="K27">
        <v>0</v>
      </c>
      <c r="L27">
        <v>0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>Eligible</v>
      </c>
      <c r="S27" t="str">
        <v>None</v>
      </c>
      <c r="T27" t="str">
        <v/>
      </c>
      <c r="U27" t="str">
        <v/>
      </c>
      <c r="V27" t="str">
        <v>No active action required</v>
      </c>
      <c r="W27" t="str">
        <v>Closed / Good Standing</v>
      </c>
    </row>
    <row r="28">
      <c r="A28" t="str">
        <v>Elite Safety</v>
      </c>
      <c r="B28" t="str">
        <v>0 Critical Events (Netradyne)</v>
      </c>
      <c r="C28">
        <v>50</v>
      </c>
      <c r="D28" t="str">
        <v>Protects the company's CSA score.</v>
      </c>
      <c r="E28" t="str">
        <v/>
      </c>
      <c r="F28" t="str">
        <v/>
      </c>
      <c r="G28" t="str">
        <v/>
      </c>
      <c r="H28" t="str">
        <v>Standard</v>
      </c>
      <c r="I28" t="str">
        <v/>
      </c>
      <c r="J28" t="str">
        <v/>
      </c>
      <c r="K28">
        <v>0</v>
      </c>
      <c r="L28">
        <v>0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>Eligible</v>
      </c>
      <c r="S28" t="str">
        <v>None</v>
      </c>
      <c r="T28" t="str">
        <v/>
      </c>
      <c r="U28" t="str">
        <v/>
      </c>
      <c r="V28" t="str">
        <v>No active action required</v>
      </c>
      <c r="W28" t="str">
        <v>Closed / Good Standing</v>
      </c>
    </row>
    <row r="29">
      <c r="A29" t="str">
        <v>Asset Care</v>
      </c>
      <c r="B29" t="str">
        <v>Passed Tire/Pre-trip Insp.</v>
      </c>
      <c r="C29">
        <v>25</v>
      </c>
      <c r="D29" t="str">
        <v>Prevents costly road calls/tows.</v>
      </c>
      <c r="E29" t="str">
        <v/>
      </c>
      <c r="F29" t="str">
        <v/>
      </c>
      <c r="G29" t="str">
        <v/>
      </c>
      <c r="H29" t="str">
        <v>Standard</v>
      </c>
      <c r="I29" t="str">
        <v/>
      </c>
      <c r="J29" t="str">
        <v/>
      </c>
      <c r="K29">
        <v>0</v>
      </c>
      <c r="L29">
        <v>0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>Eligible</v>
      </c>
      <c r="S29" t="str">
        <v>None</v>
      </c>
      <c r="T29" t="str">
        <v/>
      </c>
      <c r="U29" t="str">
        <v/>
      </c>
      <c r="V29" t="str">
        <v>No active action required</v>
      </c>
      <c r="W29" t="str">
        <v>Closed / Good Standing</v>
      </c>
    </row>
    <row r="30">
      <c r="A30" t="str">
        <v>=== DRIVER SAFETY METRICS TABLE ===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>Standard</v>
      </c>
      <c r="I30" t="str">
        <v/>
      </c>
      <c r="J30" t="str">
        <v/>
      </c>
      <c r="K30">
        <v>0</v>
      </c>
      <c r="L30">
        <v>0</v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>Eligible</v>
      </c>
      <c r="S30" t="str">
        <v>None</v>
      </c>
      <c r="T30" t="str">
        <v/>
      </c>
      <c r="U30" t="str">
        <v/>
      </c>
      <c r="V30" t="str">
        <v>No active action required</v>
      </c>
      <c r="W30" t="str">
        <v>Closed / Good Standing</v>
      </c>
    </row>
    <row r="31">
      <c r="A31" t="str">
        <v>Driver      | OOS | HOS     | Maint Photo | Tire Insp | Cargo | Tier     | Bonus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>Standard</v>
      </c>
      <c r="I31" t="str">
        <v/>
      </c>
      <c r="J31" t="str">
        <v/>
      </c>
      <c r="K31">
        <v>0</v>
      </c>
      <c r="L31">
        <v>0</v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>Eligible</v>
      </c>
      <c r="S31" t="str">
        <v>None</v>
      </c>
      <c r="T31" t="str">
        <v/>
      </c>
      <c r="U31" t="str">
        <v/>
      </c>
      <c r="V31" t="str">
        <v>No active action required</v>
      </c>
      <c r="W31" t="str">
        <v>Closed / Good Standing</v>
      </c>
    </row>
    <row r="32">
      <c r="A32" t="str">
        <v>J. Carter   |  0  |  1.00   | 04/04/2026  |  Pass     |  0    | 🟢 Elite |  125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>Standard</v>
      </c>
      <c r="I32" t="str">
        <v/>
      </c>
      <c r="J32" t="str">
        <v/>
      </c>
      <c r="K32">
        <v>0</v>
      </c>
      <c r="L32">
        <v>0</v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>Eligible</v>
      </c>
      <c r="S32" t="str">
        <v>None</v>
      </c>
      <c r="T32" t="str">
        <v/>
      </c>
      <c r="U32" t="str">
        <v/>
      </c>
      <c r="V32" t="str">
        <v>No active action required</v>
      </c>
      <c r="W32" t="str">
        <v>Closed / Good Standing</v>
      </c>
    </row>
    <row r="33">
      <c r="A33" t="str">
        <v>M. Lopez    |  0  |  0.98   | 03/04/2026  |  Pass     |  0    | 🟡Standard|   75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>Standard</v>
      </c>
      <c r="I33" t="str">
        <v/>
      </c>
      <c r="J33" t="str">
        <v/>
      </c>
      <c r="K33">
        <v>0</v>
      </c>
      <c r="L33">
        <v>0</v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>Eligible</v>
      </c>
      <c r="S33" t="str">
        <v>None</v>
      </c>
      <c r="T33" t="str">
        <v/>
      </c>
      <c r="U33" t="str">
        <v/>
      </c>
      <c r="V33" t="str">
        <v>No active action required</v>
      </c>
      <c r="W33" t="str">
        <v>Closed / Good Standing</v>
      </c>
    </row>
    <row r="34">
      <c r="A34" t="str">
        <v>A. Kim      |  0  |  1.00   | 04/04/2026  |  Pass     |  0    | 🟢 Elite |  125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>Standard</v>
      </c>
      <c r="I34" t="str">
        <v/>
      </c>
      <c r="J34" t="str">
        <v/>
      </c>
      <c r="K34">
        <v>0</v>
      </c>
      <c r="L34">
        <v>0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>Eligible</v>
      </c>
      <c r="S34" t="str">
        <v>None</v>
      </c>
      <c r="T34" t="str">
        <v/>
      </c>
      <c r="U34" t="str">
        <v/>
      </c>
      <c r="V34" t="str">
        <v>No active action required</v>
      </c>
      <c r="W34" t="str">
        <v>Closed / Good Standing</v>
      </c>
    </row>
    <row r="35">
      <c r="A35" t="str">
        <v>P. Patel    |  1  |  0.92   | 02/04/2026  |  Fail     | 250   | 🔴At Risk|   25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>Standard</v>
      </c>
      <c r="I35" t="str">
        <v/>
      </c>
      <c r="J35" t="str">
        <v/>
      </c>
      <c r="K35">
        <v>0</v>
      </c>
      <c r="L35">
        <v>0</v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>Eligible</v>
      </c>
      <c r="S35" t="str">
        <v>None</v>
      </c>
      <c r="T35" t="str">
        <v/>
      </c>
      <c r="U35" t="str">
        <v/>
      </c>
      <c r="V35" t="str">
        <v>No active action required</v>
      </c>
      <c r="W35" t="str">
        <v>Closed / Good Standing</v>
      </c>
    </row>
    <row r="36">
      <c r="A36" t="str">
        <v>K. Tanaka   |  0  |  0.99   | 04/04/2026  |  Pass     |  0    | 🟡Standard|   75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>Standard</v>
      </c>
      <c r="I36" t="str">
        <v/>
      </c>
      <c r="J36" t="str">
        <v/>
      </c>
      <c r="K36">
        <v>0</v>
      </c>
      <c r="L36">
        <v>0</v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>Eligible</v>
      </c>
      <c r="S36" t="str">
        <v>None</v>
      </c>
      <c r="T36" t="str">
        <v/>
      </c>
      <c r="U36" t="str">
        <v/>
      </c>
      <c r="V36" t="str">
        <v>No active action required</v>
      </c>
      <c r="W36" t="str">
        <v>Closed / Good Standing</v>
      </c>
    </row>
    <row r="37">
      <c r="A37" t="str">
        <v>M. Chen     |  0  |  1.00   | 04/04/2026  |  Pass     |  0    | 🟢 Elite |  125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>Standard</v>
      </c>
      <c r="I37" t="str">
        <v/>
      </c>
      <c r="J37" t="str">
        <v/>
      </c>
      <c r="K37">
        <v>0</v>
      </c>
      <c r="L37">
        <v>0</v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>Eligible</v>
      </c>
      <c r="S37" t="str">
        <v>None</v>
      </c>
      <c r="T37" t="str">
        <v/>
      </c>
      <c r="U37" t="str">
        <v/>
      </c>
      <c r="V37" t="str">
        <v>No active action required</v>
      </c>
      <c r="W37" t="str">
        <v>Closed / Good Standing</v>
      </c>
    </row>
    <row r="38">
      <c r="A38" t="str">
        <v>S. Gomez    |  0  |  1.00   | 04/04/2026  |  Pass     |  0    | 🟢 Elite |  125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>Standard</v>
      </c>
      <c r="I38" t="str">
        <v/>
      </c>
      <c r="J38" t="str">
        <v/>
      </c>
      <c r="K38">
        <v>0</v>
      </c>
      <c r="L38">
        <v>0</v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>Eligible</v>
      </c>
      <c r="S38" t="str">
        <v>None</v>
      </c>
      <c r="T38" t="str">
        <v/>
      </c>
      <c r="U38" t="str">
        <v/>
      </c>
      <c r="V38" t="str">
        <v>No active action required</v>
      </c>
      <c r="W38" t="str">
        <v>Closed / Good Standing</v>
      </c>
    </row>
    <row r="39">
      <c r="A39" t="str">
        <v>L. Smith    |  2  |  0.85   | 01/04/2026  |  Fail     |1200   | 🔴At Risk|   25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>Standard</v>
      </c>
      <c r="I39" t="str">
        <v/>
      </c>
      <c r="J39" t="str">
        <v/>
      </c>
      <c r="K39">
        <v>0</v>
      </c>
      <c r="L39">
        <v>0</v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>Eligible</v>
      </c>
      <c r="S39" t="str">
        <v>None</v>
      </c>
      <c r="T39" t="str">
        <v/>
      </c>
      <c r="U39" t="str">
        <v/>
      </c>
      <c r="V39" t="str">
        <v>No active action required</v>
      </c>
      <c r="W39" t="str">
        <v>Closed / Good Standing</v>
      </c>
    </row>
    <row r="40">
      <c r="A40" t="str">
        <v>E. Brown    |  0  |  0.96   | 03/04/2026  |  Pass     |  0    | 🟡Standard|   75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>Standard</v>
      </c>
      <c r="I40" t="str">
        <v/>
      </c>
      <c r="J40" t="str">
        <v/>
      </c>
      <c r="K40">
        <v>0</v>
      </c>
      <c r="L40">
        <v>0</v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>Eligible</v>
      </c>
      <c r="S40" t="str">
        <v>None</v>
      </c>
      <c r="T40" t="str">
        <v/>
      </c>
      <c r="U40" t="str">
        <v/>
      </c>
      <c r="V40" t="str">
        <v>No active action required</v>
      </c>
      <c r="W40" t="str">
        <v>Closed / Good Standing</v>
      </c>
    </row>
    <row r="41">
      <c r="A41" t="str">
        <v>N. Wilson   |  0  |  1.00   | 04/04/2026  |  Pass     |  0    | 🟢 Elite |  125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>Standard</v>
      </c>
      <c r="I41" t="str">
        <v/>
      </c>
      <c r="J41" t="str">
        <v/>
      </c>
      <c r="K41">
        <v>0</v>
      </c>
      <c r="L41">
        <v>0</v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>Eligible</v>
      </c>
      <c r="S41" t="str">
        <v>None</v>
      </c>
      <c r="T41" t="str">
        <v/>
      </c>
      <c r="U41" t="str">
        <v/>
      </c>
      <c r="V41" t="str">
        <v>No active action required</v>
      </c>
      <c r="W41" t="str">
        <v>Closed / Good Standing</v>
      </c>
    </row>
    <row r="42">
      <c r="A42" t="str">
        <v>O. Lee      |  0  |  0.98   | 04/04/2026  |  Pass     |  0    | 🟡Standard|   75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>Standard</v>
      </c>
      <c r="I42" t="str">
        <v/>
      </c>
      <c r="J42" t="str">
        <v/>
      </c>
      <c r="K42">
        <v>0</v>
      </c>
      <c r="L42">
        <v>0</v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>Eligible</v>
      </c>
      <c r="S42" t="str">
        <v>None</v>
      </c>
      <c r="T42" t="str">
        <v/>
      </c>
      <c r="U42" t="str">
        <v/>
      </c>
      <c r="V42" t="str">
        <v>No active action required</v>
      </c>
      <c r="W42" t="str">
        <v>Closed / Good Standing</v>
      </c>
    </row>
  </sheetData>
  <ignoredErrors>
    <ignoredError numberStoredAsText="1" sqref="A1:W4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Y13"/>
  <sheetViews>
    <sheetView workbookViewId="0" rightToLeft="0"/>
  </sheetViews>
  <sheetData>
    <row r="1">
      <c r="A1" t="str">
        <v>Event ID</v>
      </c>
      <c r="B1" t="str">
        <v>Driver ID</v>
      </c>
      <c r="C1" t="str">
        <v>Driver Name</v>
      </c>
      <c r="D1" t="str">
        <v>Event Type</v>
      </c>
      <c r="E1" t="str">
        <v>Severity</v>
      </c>
      <c r="F1" t="str">
        <v>Status</v>
      </c>
      <c r="G1" t="str">
        <v>Timestamp</v>
      </c>
      <c r="H1" t="str">
        <v>Unit</v>
      </c>
      <c r="I1" t="str">
        <v>Location</v>
      </c>
      <c r="J1" t="str">
        <v>Details</v>
      </c>
      <c r="K1" t="str">
        <v>Driver Photo URL</v>
      </c>
      <c r="L1" t="str">
        <v>Export Status</v>
      </c>
      <c r="M1" t="str">
        <v>Event Photo URL</v>
      </c>
      <c r="N1" t="str">
        <v>Insurance Claim ID</v>
      </c>
      <c r="O1" t="str">
        <v>Claim Status</v>
      </c>
      <c r="P1" t="str">
        <v>Claim Type</v>
      </c>
      <c r="Q1" t="str">
        <v>Date of Loss</v>
      </c>
      <c r="R1" t="str">
        <v>Claim Amount</v>
      </c>
      <c r="S1" t="str">
        <v>Deductible Amount</v>
      </c>
      <c r="T1" t="str">
        <v>Adjuster Name</v>
      </c>
      <c r="U1" t="str">
        <v>Insurer Name</v>
      </c>
      <c r="V1" t="str">
        <v>Policy Number</v>
      </c>
      <c r="W1" t="str">
        <v>Claim Notes</v>
      </c>
      <c r="X1" t="str">
        <v>RFID Related?</v>
      </c>
      <c r="Y1" t="str">
        <v>Linked Load ID</v>
      </c>
      <c r="Z1" t="str">
        <v>Linked Driver Document</v>
      </c>
      <c r="AA1" t="str">
        <v>Claim Exposure Band</v>
      </c>
      <c r="AB1" t="str">
        <v>Insurance Claim Needed?</v>
      </c>
      <c r="AC1" t="str">
        <v>Preventable?</v>
      </c>
      <c r="AD1" t="str">
        <v>Root Cause</v>
      </c>
      <c r="AE1" t="str">
        <v>CSA BASIC Category</v>
      </c>
      <c r="AF1" t="str">
        <v>DOT Recordable?</v>
      </c>
      <c r="AG1" t="str">
        <v>Police Report Required?</v>
      </c>
      <c r="AH1" t="str">
        <v>Driver Statement Required?</v>
      </c>
      <c r="AI1" t="str">
        <v>Coaching Required?</v>
      </c>
      <c r="AJ1" t="str">
        <v>Coaching Assigned To</v>
      </c>
      <c r="AK1" t="str">
        <v>Corrective Action</v>
      </c>
      <c r="AL1" t="str">
        <v>Corrective Action Status</v>
      </c>
      <c r="AM1" t="str">
        <v>Corrective Action Due Date</v>
      </c>
      <c r="AN1" t="str">
        <v>Closed Date</v>
      </c>
      <c r="AO1" t="str">
        <v>Reviewed By</v>
      </c>
      <c r="AP1" t="str">
        <v>Review Timestamp</v>
      </c>
      <c r="AQ1" t="str">
        <v>Driver Acknowledged?</v>
      </c>
      <c r="AR1" t="str">
        <v>Driver Acknowledgment Timestamp</v>
      </c>
      <c r="AS1" t="str">
        <v>Settlement Hold?</v>
      </c>
      <c r="AT1" t="str">
        <v>Settlement Hold Amount</v>
      </c>
      <c r="AU1" t="str">
        <v>Dispatch Block?</v>
      </c>
      <c r="AV1" t="str">
        <v>Evidence Packet Complete?</v>
      </c>
      <c r="AW1" t="str">
        <v>Dashcam Clip URL</v>
      </c>
      <c r="AX1" t="str">
        <v>Telematics Source</v>
      </c>
      <c r="AY1" t="str">
        <v>Safety Action Status</v>
      </c>
    </row>
    <row r="2">
      <c r="A2" t="str">
        <v>EVT-001</v>
      </c>
      <c r="B2" t="str">
        <v>DRV-010</v>
      </c>
      <c r="C2" t="str">
        <v>Noah Wilson</v>
      </c>
      <c r="D2" t="str">
        <v>HOS Violation</v>
      </c>
      <c r="E2" t="str">
        <v>CRITICAL</v>
      </c>
      <c r="F2" t="str">
        <v>OPEN</v>
      </c>
      <c r="G2">
        <v>46103.34305555555</v>
      </c>
      <c r="H2" t="str">
        <v>T-110</v>
      </c>
      <c r="I2" t="str">
        <v>I-40 near Nashville, TN</v>
      </c>
      <c r="J2" t="str">
        <v>Exceeded 11-hour driving limit</v>
      </c>
      <c r="K2" t="str">
        <v>/drivers/DRV-010.jpg</v>
      </c>
      <c r="L2" t="str">
        <v>READY</v>
      </c>
      <c r="M2" t="str">
        <v>/images/safety/EVT-001.jpg</v>
      </c>
      <c r="N2" t="str">
        <v>CLM-001-4872</v>
      </c>
      <c r="O2" t="str">
        <v>OPEN</v>
      </c>
      <c r="P2" t="str">
        <v>Property Damage</v>
      </c>
      <c r="Q2">
        <v>46103</v>
      </c>
      <c r="R2">
        <v>9770.26</v>
      </c>
      <c r="S2">
        <v>500</v>
      </c>
      <c r="T2" t="str">
        <v>Brandon Yu</v>
      </c>
      <c r="U2" t="str">
        <v>Progressive Commercial</v>
      </c>
      <c r="V2" t="str">
        <v>POL-272634</v>
      </c>
      <c r="W2" t="str">
        <v>Initial notice filed; reserve established</v>
      </c>
      <c r="X2" t="str">
        <v>NO</v>
      </c>
      <c r="Y2" t="str">
        <v>L-510</v>
      </c>
      <c r="Z2" t="str">
        <v>CDL</v>
      </c>
      <c r="AA2" t="str">
        <v>HIGH</v>
      </c>
      <c r="AB2" t="str">
        <v>YES</v>
      </c>
      <c r="AC2" t="str">
        <v>YES</v>
      </c>
      <c r="AD2" t="str">
        <v>Fatigue / HOS planning</v>
      </c>
      <c r="AE2" t="str">
        <v>Hours of Service Compliance</v>
      </c>
      <c r="AF2" t="str">
        <v>NO</v>
      </c>
      <c r="AG2" t="str">
        <v>NO</v>
      </c>
      <c r="AH2" t="str">
        <v>YES</v>
      </c>
      <c r="AI2" t="str">
        <v>YES</v>
      </c>
      <c r="AJ2" t="str">
        <v>R. Collins</v>
      </c>
      <c r="AK2" t="str">
        <v>Complete HOS reset, upload driver statement, review dispatch schedule</v>
      </c>
      <c r="AL2" t="str">
        <v>Open</v>
      </c>
      <c r="AM2">
        <v>46162</v>
      </c>
      <c r="AN2" t="str">
        <v/>
      </c>
      <c r="AO2" t="str">
        <v>A. Reynolds</v>
      </c>
      <c r="AP2">
        <v>46155.572916666664</v>
      </c>
      <c r="AQ2" t="str">
        <v>NO</v>
      </c>
      <c r="AR2" t="str">
        <v/>
      </c>
      <c r="AS2" t="str">
        <v>YES</v>
      </c>
      <c r="AT2">
        <v>300</v>
      </c>
      <c r="AU2" t="str">
        <v>YES</v>
      </c>
      <c r="AV2" t="str">
        <v>PARTIAL</v>
      </c>
      <c r="AW2" t="str">
        <v>/dashcam/EVT-001.mp4</v>
      </c>
      <c r="AX2" t="str">
        <v>ELD + telematics</v>
      </c>
      <c r="AY2" t="str">
        <v>Dispatch Blocked</v>
      </c>
    </row>
    <row r="3">
      <c r="A3" t="str">
        <v>EVT-002</v>
      </c>
      <c r="B3" t="str">
        <v>DRV-006</v>
      </c>
      <c r="C3" t="str">
        <v>Marcus Chen</v>
      </c>
      <c r="D3" t="str">
        <v>Harsh Braking</v>
      </c>
      <c r="E3" t="str">
        <v>WARNING</v>
      </c>
      <c r="F3" t="str">
        <v>REVIEWED</v>
      </c>
      <c r="G3">
        <v>46103.43819444445</v>
      </c>
      <c r="H3" t="str">
        <v>T-111</v>
      </c>
      <c r="I3" t="str">
        <v>Mile Marker 212</v>
      </c>
      <c r="J3" t="str">
        <v>Sudden hard stop detected</v>
      </c>
      <c r="K3" t="str">
        <v>/drivers/DRV-006.jpg</v>
      </c>
      <c r="L3" t="str">
        <v>READY</v>
      </c>
      <c r="M3" t="str">
        <v>/images/safety/EVT-002.jpg</v>
      </c>
      <c r="N3" t="str">
        <v>CLM-002-7396</v>
      </c>
      <c r="O3" t="str">
        <v>UNDER_REVIEW</v>
      </c>
      <c r="P3" t="str">
        <v>Property Damage</v>
      </c>
      <c r="Q3">
        <v>46103</v>
      </c>
      <c r="R3">
        <v>6563.99</v>
      </c>
      <c r="S3">
        <v>2500</v>
      </c>
      <c r="T3" t="str">
        <v>Renee Collins</v>
      </c>
      <c r="U3" t="str">
        <v>Nationwide E&amp;S</v>
      </c>
      <c r="V3" t="str">
        <v>POL-262316</v>
      </c>
      <c r="W3" t="str">
        <v>Photos received; adjuster assigned</v>
      </c>
      <c r="X3" t="str">
        <v>NO</v>
      </c>
      <c r="Y3" t="str">
        <v>L-502</v>
      </c>
      <c r="Z3" t="str">
        <v>DQ File</v>
      </c>
      <c r="AA3" t="str">
        <v>HIGH</v>
      </c>
      <c r="AB3" t="str">
        <v>YES</v>
      </c>
      <c r="AC3" t="str">
        <v>YES</v>
      </c>
      <c r="AD3" t="str">
        <v>Following distance / traffic anticipation</v>
      </c>
      <c r="AE3" t="str">
        <v>Unsafe Driving</v>
      </c>
      <c r="AF3" t="str">
        <v>NO</v>
      </c>
      <c r="AG3" t="str">
        <v>NO</v>
      </c>
      <c r="AH3" t="str">
        <v>NO</v>
      </c>
      <c r="AI3" t="str">
        <v>YES</v>
      </c>
      <c r="AJ3" t="str">
        <v>K. Morales</v>
      </c>
      <c r="AK3" t="str">
        <v>Complete coaching on following distance and braking thresholds</v>
      </c>
      <c r="AL3" t="str">
        <v>In Progress</v>
      </c>
      <c r="AM3">
        <v>46163</v>
      </c>
      <c r="AN3" t="str">
        <v/>
      </c>
      <c r="AO3" t="str">
        <v>D. Foster</v>
      </c>
      <c r="AP3">
        <v>46155.59027777778</v>
      </c>
      <c r="AQ3" t="str">
        <v>NO</v>
      </c>
      <c r="AR3" t="str">
        <v/>
      </c>
      <c r="AS3" t="str">
        <v>NO</v>
      </c>
      <c r="AT3">
        <v>0</v>
      </c>
      <c r="AU3" t="str">
        <v>NO</v>
      </c>
      <c r="AV3" t="str">
        <v>PARTIAL</v>
      </c>
      <c r="AW3" t="str">
        <v>/dashcam/EVT-002.mp4</v>
      </c>
      <c r="AX3" t="str">
        <v>Telematics</v>
      </c>
      <c r="AY3" t="str">
        <v>Reviewed / Closed</v>
      </c>
    </row>
    <row r="4">
      <c r="A4" t="str">
        <v>EVT-003</v>
      </c>
      <c r="B4" t="str">
        <v>DRV-004</v>
      </c>
      <c r="C4" t="str">
        <v>Priya Patel</v>
      </c>
      <c r="D4" t="str">
        <v>Speeding</v>
      </c>
      <c r="E4" t="str">
        <v>CRITICAL</v>
      </c>
      <c r="F4" t="str">
        <v>REVIEWED</v>
      </c>
      <c r="G4">
        <v>46103.45972222222</v>
      </c>
      <c r="H4" t="str">
        <v>T-108</v>
      </c>
      <c r="I4" t="str">
        <v>Memphis, TN</v>
      </c>
      <c r="J4" t="str">
        <v>78 MPH in 55 MPH zone</v>
      </c>
      <c r="K4" t="str">
        <v>/drivers/DRV-004.jpg</v>
      </c>
      <c r="L4" t="str">
        <v>READY</v>
      </c>
      <c r="M4" t="str">
        <v>/images/safety/EVT-003.jpg</v>
      </c>
      <c r="N4" t="str">
        <v>CLM-003-5861</v>
      </c>
      <c r="O4" t="str">
        <v>OPEN</v>
      </c>
      <c r="P4" t="str">
        <v>Auto Liability</v>
      </c>
      <c r="Q4">
        <v>46103</v>
      </c>
      <c r="R4">
        <v>11266.88</v>
      </c>
      <c r="S4">
        <v>2500</v>
      </c>
      <c r="T4" t="str">
        <v>Kelly Moore</v>
      </c>
      <c r="U4" t="str">
        <v>Great West Casualty</v>
      </c>
      <c r="V4" t="str">
        <v>POL-159942</v>
      </c>
      <c r="W4" t="str">
        <v>Awaiting repair estimate and driver statement</v>
      </c>
      <c r="X4" t="str">
        <v>YES</v>
      </c>
      <c r="Y4" t="str">
        <v>L-503</v>
      </c>
      <c r="Z4" t="str">
        <v>MCSA-5876</v>
      </c>
      <c r="AA4" t="str">
        <v>HIGH</v>
      </c>
      <c r="AB4" t="str">
        <v>YES</v>
      </c>
      <c r="AC4" t="str">
        <v>YES</v>
      </c>
      <c r="AD4" t="str">
        <v>Speed management</v>
      </c>
      <c r="AE4" t="str">
        <v>Unsafe Driving</v>
      </c>
      <c r="AF4" t="str">
        <v>NO</v>
      </c>
      <c r="AG4" t="str">
        <v>YES</v>
      </c>
      <c r="AH4" t="str">
        <v>YES</v>
      </c>
      <c r="AI4" t="str">
        <v>YES</v>
      </c>
      <c r="AJ4" t="str">
        <v>S. Howard</v>
      </c>
      <c r="AK4" t="str">
        <v>Driver statement, speeding coaching, review route plan</v>
      </c>
      <c r="AL4" t="str">
        <v>Closed</v>
      </c>
      <c r="AM4">
        <v>46164</v>
      </c>
      <c r="AN4" t="str">
        <v/>
      </c>
      <c r="AO4" t="str">
        <v>M. Chen</v>
      </c>
      <c r="AP4">
        <v>46155.60763888889</v>
      </c>
      <c r="AQ4" t="str">
        <v>NO</v>
      </c>
      <c r="AR4" t="str">
        <v/>
      </c>
      <c r="AS4" t="str">
        <v>NO</v>
      </c>
      <c r="AT4">
        <v>0</v>
      </c>
      <c r="AU4" t="str">
        <v>NO</v>
      </c>
      <c r="AV4" t="str">
        <v>PARTIAL</v>
      </c>
      <c r="AW4" t="str">
        <v>/dashcam/EVT-003.mp4</v>
      </c>
      <c r="AX4" t="str">
        <v>Telematics + RFID</v>
      </c>
      <c r="AY4" t="str">
        <v>Reviewed / Closed</v>
      </c>
    </row>
    <row r="5">
      <c r="A5" t="str">
        <v>EVT-004</v>
      </c>
      <c r="B5" t="str">
        <v>DRV-002</v>
      </c>
      <c r="C5" t="str">
        <v>Maria Lopez</v>
      </c>
      <c r="D5" t="str">
        <v>Geofence Exit</v>
      </c>
      <c r="E5" t="str">
        <v>WARNING</v>
      </c>
      <c r="F5" t="str">
        <v>REVIEWED</v>
      </c>
      <c r="G5">
        <v>46103.49166666667</v>
      </c>
      <c r="H5" t="str">
        <v>T-101</v>
      </c>
      <c r="I5" t="str">
        <v>Cleveland Yard</v>
      </c>
      <c r="J5" t="str">
        <v>Exited designated yard area</v>
      </c>
      <c r="K5" t="str">
        <v>/drivers/DRV-002.jpg</v>
      </c>
      <c r="L5" t="str">
        <v>READY</v>
      </c>
      <c r="M5" t="str">
        <v>/images/safety/EVT-004.jpg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NO</v>
      </c>
      <c r="Y5" t="str">
        <v>L-504</v>
      </c>
      <c r="Z5" t="str">
        <v>MVR</v>
      </c>
      <c r="AA5" t="str">
        <v>NONE</v>
      </c>
      <c r="AB5" t="str">
        <v>NO</v>
      </c>
      <c r="AC5" t="str">
        <v>NO</v>
      </c>
      <c r="AD5" t="str">
        <v>Yard geofence exception</v>
      </c>
      <c r="AE5" t="str">
        <v>Controlled Substances/Other</v>
      </c>
      <c r="AF5" t="str">
        <v>NO</v>
      </c>
      <c r="AG5" t="str">
        <v>NO</v>
      </c>
      <c r="AH5" t="str">
        <v>NO</v>
      </c>
      <c r="AI5" t="str">
        <v>NO</v>
      </c>
      <c r="AJ5" t="str">
        <v>J. Turner</v>
      </c>
      <c r="AK5" t="str">
        <v>Confirm yard exit was authorized</v>
      </c>
      <c r="AL5" t="str">
        <v>Closed</v>
      </c>
      <c r="AM5">
        <v>46156</v>
      </c>
      <c r="AN5">
        <v>46156</v>
      </c>
      <c r="AO5" t="str">
        <v>J. Turner</v>
      </c>
      <c r="AP5">
        <v>46156.385416666664</v>
      </c>
      <c r="AQ5" t="str">
        <v>YES</v>
      </c>
      <c r="AR5">
        <v>46156.41875</v>
      </c>
      <c r="AS5" t="str">
        <v>NO</v>
      </c>
      <c r="AT5">
        <v>0</v>
      </c>
      <c r="AU5" t="str">
        <v>NO</v>
      </c>
      <c r="AV5" t="str">
        <v>YES</v>
      </c>
      <c r="AW5" t="str">
        <v>/dashcam/EVT-004.mp4</v>
      </c>
      <c r="AX5" t="str">
        <v>GPS geofence</v>
      </c>
      <c r="AY5" t="str">
        <v>Reviewed / Closed</v>
      </c>
    </row>
    <row r="6">
      <c r="A6" t="str">
        <v>EVT-005</v>
      </c>
      <c r="B6" t="str">
        <v>DRV-008</v>
      </c>
      <c r="C6" t="str">
        <v>Liam Smith</v>
      </c>
      <c r="D6" t="str">
        <v>HOS Violation</v>
      </c>
      <c r="E6" t="str">
        <v>CRITICAL</v>
      </c>
      <c r="F6" t="str">
        <v>REVIEWED</v>
      </c>
      <c r="G6">
        <v>46158.27916666667</v>
      </c>
      <c r="H6" t="str">
        <v>T-104</v>
      </c>
      <c r="I6" t="str">
        <v>I-71 near Columbus, OH</v>
      </c>
      <c r="J6" t="str">
        <v>Missed required 30-minute break and exceeded available drive window</v>
      </c>
      <c r="K6" t="str">
        <v>/drivers/DRV-008.jpg</v>
      </c>
      <c r="L6" t="str">
        <v>READY</v>
      </c>
      <c r="M6" t="str">
        <v>/images/safety/EVT-005.jpg</v>
      </c>
      <c r="N6" t="str">
        <v>CLM-005-3814</v>
      </c>
      <c r="O6" t="str">
        <v>OPEN</v>
      </c>
      <c r="P6" t="str">
        <v>Cargo Damage</v>
      </c>
      <c r="Q6">
        <v>46158</v>
      </c>
      <c r="R6">
        <v>1200</v>
      </c>
      <c r="S6">
        <v>1000</v>
      </c>
      <c r="T6" t="str">
        <v>Monica Price</v>
      </c>
      <c r="U6" t="str">
        <v>Great West Casualty</v>
      </c>
      <c r="V6" t="str">
        <v>POL-159942</v>
      </c>
      <c r="W6" t="str">
        <v>Cargo shift noted; reserve pending inspection</v>
      </c>
      <c r="X6" t="str">
        <v>NO</v>
      </c>
      <c r="Y6" t="str">
        <v>L-508</v>
      </c>
      <c r="Z6" t="str">
        <v>HOS Log</v>
      </c>
      <c r="AA6" t="str">
        <v>MEDIUM</v>
      </c>
      <c r="AB6" t="str">
        <v>YES</v>
      </c>
      <c r="AC6" t="str">
        <v>YES</v>
      </c>
      <c r="AD6" t="str">
        <v>HOS planning / break management</v>
      </c>
      <c r="AE6" t="str">
        <v>Hours of Service Compliance</v>
      </c>
      <c r="AF6" t="str">
        <v>NO</v>
      </c>
      <c r="AG6" t="str">
        <v>NO</v>
      </c>
      <c r="AH6" t="str">
        <v>YES</v>
      </c>
      <c r="AI6" t="str">
        <v>YES</v>
      </c>
      <c r="AJ6" t="str">
        <v>R. Collins</v>
      </c>
      <c r="AK6" t="str">
        <v>24-hour reset, HOS coaching, dispatcher schedule review</v>
      </c>
      <c r="AL6" t="str">
        <v>Closed</v>
      </c>
      <c r="AM6">
        <v>46161</v>
      </c>
      <c r="AN6" t="str">
        <v/>
      </c>
      <c r="AO6" t="str">
        <v>A. Reynolds</v>
      </c>
      <c r="AP6">
        <v>46158.42013888889</v>
      </c>
      <c r="AQ6" t="str">
        <v>NO</v>
      </c>
      <c r="AR6" t="str">
        <v/>
      </c>
      <c r="AS6" t="str">
        <v>NO</v>
      </c>
      <c r="AT6">
        <v>0</v>
      </c>
      <c r="AU6" t="str">
        <v>NO</v>
      </c>
      <c r="AV6" t="str">
        <v>PARTIAL</v>
      </c>
      <c r="AW6" t="str">
        <v>/dashcam/EVT-005.mp4</v>
      </c>
      <c r="AX6" t="str">
        <v>ELD</v>
      </c>
      <c r="AY6" t="str">
        <v>Reviewed / Closed</v>
      </c>
    </row>
    <row r="7">
      <c r="A7" t="str">
        <v>EVT-006</v>
      </c>
      <c r="B7" t="str">
        <v>DRV-009</v>
      </c>
      <c r="C7" t="str">
        <v>Emma Brown</v>
      </c>
      <c r="D7" t="str">
        <v>Maintenance Photo Missing</v>
      </c>
      <c r="E7" t="str">
        <v>WARNING</v>
      </c>
      <c r="F7" t="str">
        <v>REVIEWED</v>
      </c>
      <c r="G7">
        <v>46153.34375</v>
      </c>
      <c r="H7" t="str">
        <v>T-106</v>
      </c>
      <c r="I7" t="str">
        <v>Cleveland Terminal</v>
      </c>
      <c r="J7" t="str">
        <v>Required tire/asset inspection photos missing before dispatch release</v>
      </c>
      <c r="K7" t="str">
        <v>/drivers/DRV-009.jpg</v>
      </c>
      <c r="L7" t="str">
        <v>READY</v>
      </c>
      <c r="M7" t="str">
        <v>/images/safety/EVT-006.jpg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NO</v>
      </c>
      <c r="Y7" t="str">
        <v>L-509</v>
      </c>
      <c r="Z7" t="str">
        <v>Pre-Trip Inspection</v>
      </c>
      <c r="AA7" t="str">
        <v>NONE</v>
      </c>
      <c r="AB7" t="str">
        <v>NO</v>
      </c>
      <c r="AC7" t="str">
        <v>NO</v>
      </c>
      <c r="AD7" t="str">
        <v>Missing pre-trip evidence</v>
      </c>
      <c r="AE7" t="str">
        <v>Vehicle Maintenance</v>
      </c>
      <c r="AF7" t="str">
        <v>NO</v>
      </c>
      <c r="AG7" t="str">
        <v>NO</v>
      </c>
      <c r="AH7" t="str">
        <v>NO</v>
      </c>
      <c r="AI7" t="str">
        <v>NO</v>
      </c>
      <c r="AJ7" t="str">
        <v>S. Howard</v>
      </c>
      <c r="AK7" t="str">
        <v>Upload tire and asset photos before next dispatch</v>
      </c>
      <c r="AL7" t="str">
        <v>Closed</v>
      </c>
      <c r="AM7">
        <v>46160</v>
      </c>
      <c r="AN7" t="str">
        <v/>
      </c>
      <c r="AO7" t="str">
        <v>S. Howard</v>
      </c>
      <c r="AP7">
        <v>46153.375</v>
      </c>
      <c r="AQ7" t="str">
        <v>NO</v>
      </c>
      <c r="AR7" t="str">
        <v/>
      </c>
      <c r="AS7" t="str">
        <v>NO</v>
      </c>
      <c r="AT7">
        <v>0</v>
      </c>
      <c r="AU7" t="str">
        <v>NO</v>
      </c>
      <c r="AV7" t="str">
        <v>NO</v>
      </c>
      <c r="AW7" t="str">
        <v>/dashcam/EVT-006.mp4</v>
      </c>
      <c r="AX7" t="str">
        <v>Photo audit</v>
      </c>
      <c r="AY7" t="str">
        <v>Reviewed / Closed</v>
      </c>
    </row>
    <row r="8">
      <c r="A8" t="str">
        <v>EVT-007</v>
      </c>
      <c r="B8" t="str">
        <v>DRV-003</v>
      </c>
      <c r="C8" t="str">
        <v>Alex Kim</v>
      </c>
      <c r="D8" t="str">
        <v>Following Distance</v>
      </c>
      <c r="E8" t="str">
        <v>WARNING</v>
      </c>
      <c r="F8" t="str">
        <v>REVIEWED</v>
      </c>
      <c r="G8">
        <v>46151.64236111111</v>
      </c>
      <c r="H8" t="str">
        <v>T-103</v>
      </c>
      <c r="I8" t="str">
        <v>I-80 near Toledo, OH</v>
      </c>
      <c r="J8" t="str">
        <v>Telematics flagged short following distance for 42 seconds</v>
      </c>
      <c r="K8" t="str">
        <v>/drivers/DRV-003.jpg</v>
      </c>
      <c r="L8" t="str">
        <v>READY</v>
      </c>
      <c r="M8" t="str">
        <v>/images/safety/EVT-007.jpg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NO</v>
      </c>
      <c r="Y8" t="str">
        <v>L-507</v>
      </c>
      <c r="Z8" t="str">
        <v>Safety Acknowledgment</v>
      </c>
      <c r="AA8" t="str">
        <v>NONE</v>
      </c>
      <c r="AB8" t="str">
        <v>NO</v>
      </c>
      <c r="AC8" t="str">
        <v>YES</v>
      </c>
      <c r="AD8" t="str">
        <v>Following distance</v>
      </c>
      <c r="AE8" t="str">
        <v>Unsafe Driving</v>
      </c>
      <c r="AF8" t="str">
        <v>NO</v>
      </c>
      <c r="AG8" t="str">
        <v>NO</v>
      </c>
      <c r="AH8" t="str">
        <v>NO</v>
      </c>
      <c r="AI8" t="str">
        <v>YES</v>
      </c>
      <c r="AJ8" t="str">
        <v>K. Morales</v>
      </c>
      <c r="AK8" t="str">
        <v>Driver coaching completed; monitor next 2 trips</v>
      </c>
      <c r="AL8" t="str">
        <v>Closed</v>
      </c>
      <c r="AM8">
        <v>46159</v>
      </c>
      <c r="AN8">
        <v>46152</v>
      </c>
      <c r="AO8" t="str">
        <v>K. Morales</v>
      </c>
      <c r="AP8">
        <v>46152.458333333336</v>
      </c>
      <c r="AQ8" t="str">
        <v>YES</v>
      </c>
      <c r="AR8">
        <v>46152.54861111111</v>
      </c>
      <c r="AS8" t="str">
        <v>NO</v>
      </c>
      <c r="AT8">
        <v>0</v>
      </c>
      <c r="AU8" t="str">
        <v>NO</v>
      </c>
      <c r="AV8" t="str">
        <v>YES</v>
      </c>
      <c r="AW8" t="str">
        <v>/dashcam/EVT-007.mp4</v>
      </c>
      <c r="AX8" t="str">
        <v>Telematics</v>
      </c>
      <c r="AY8" t="str">
        <v>Reviewed / Closed</v>
      </c>
    </row>
    <row r="9">
      <c r="A9" t="str">
        <v>EVT-008</v>
      </c>
      <c r="B9" t="str">
        <v>DRV-012</v>
      </c>
      <c r="C9" t="str">
        <v>Robert Johnson</v>
      </c>
      <c r="D9" t="str">
        <v>Lane Departure</v>
      </c>
      <c r="E9" t="str">
        <v>WARNING</v>
      </c>
      <c r="F9" t="str">
        <v>REVIEWED</v>
      </c>
      <c r="G9">
        <v>46157.46388888889</v>
      </c>
      <c r="H9" t="str">
        <v>T-112</v>
      </c>
      <c r="I9" t="str">
        <v>I-75 near Dayton, OH</v>
      </c>
      <c r="J9" t="str">
        <v>Unsignaled lane departure alert from dashcam/ADAS</v>
      </c>
      <c r="K9" t="str">
        <v>/drivers/DRV-012.jpg</v>
      </c>
      <c r="L9" t="str">
        <v>READY</v>
      </c>
      <c r="M9" t="str">
        <v>/images/safety/EVT-008.jpg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>NO</v>
      </c>
      <c r="Y9" t="str">
        <v>L-512</v>
      </c>
      <c r="Z9" t="str">
        <v>MVR</v>
      </c>
      <c r="AA9" t="str">
        <v>NONE</v>
      </c>
      <c r="AB9" t="str">
        <v>NO</v>
      </c>
      <c r="AC9" t="str">
        <v>YES</v>
      </c>
      <c r="AD9" t="str">
        <v>Lane control</v>
      </c>
      <c r="AE9" t="str">
        <v>Unsafe Driving</v>
      </c>
      <c r="AF9" t="str">
        <v>NO</v>
      </c>
      <c r="AG9" t="str">
        <v>NO</v>
      </c>
      <c r="AH9" t="str">
        <v>NO</v>
      </c>
      <c r="AI9" t="str">
        <v>YES</v>
      </c>
      <c r="AJ9" t="str">
        <v>J. Turner</v>
      </c>
      <c r="AK9" t="str">
        <v>Schedule lane-control coaching module</v>
      </c>
      <c r="AL9" t="str">
        <v>Scheduled</v>
      </c>
      <c r="AM9">
        <v>46165</v>
      </c>
      <c r="AN9" t="str">
        <v/>
      </c>
      <c r="AO9" t="str">
        <v>J. Turner</v>
      </c>
      <c r="AP9">
        <v>46157.555555555555</v>
      </c>
      <c r="AQ9" t="str">
        <v>NO</v>
      </c>
      <c r="AR9" t="str">
        <v/>
      </c>
      <c r="AS9" t="str">
        <v>NO</v>
      </c>
      <c r="AT9">
        <v>0</v>
      </c>
      <c r="AU9" t="str">
        <v>NO</v>
      </c>
      <c r="AV9" t="str">
        <v>YES</v>
      </c>
      <c r="AW9" t="str">
        <v>/dashcam/EVT-008.mp4</v>
      </c>
      <c r="AX9" t="str">
        <v>ADAS + dashcam</v>
      </c>
      <c r="AY9" t="str">
        <v>Reviewed / Closed</v>
      </c>
    </row>
    <row r="10">
      <c r="A10" t="str">
        <v>EVT-009</v>
      </c>
      <c r="B10" t="str">
        <v>DRV-004</v>
      </c>
      <c r="C10" t="str">
        <v>Priya Patel</v>
      </c>
      <c r="D10" t="str">
        <v>Tire Inspection Failure</v>
      </c>
      <c r="E10" t="str">
        <v>CRITICAL</v>
      </c>
      <c r="F10" t="str">
        <v>REVIEWED</v>
      </c>
      <c r="G10">
        <v>46154.32638888889</v>
      </c>
      <c r="H10" t="str">
        <v>T-108</v>
      </c>
      <c r="I10" t="str">
        <v>Memphis, TN Yard</v>
      </c>
      <c r="J10" t="str">
        <v>Pre-trip tire photo failed tread/sidewall check; dispatch hold triggered</v>
      </c>
      <c r="K10" t="str">
        <v>/drivers/DRV-004.jpg</v>
      </c>
      <c r="L10" t="str">
        <v>READY</v>
      </c>
      <c r="M10" t="str">
        <v>/images/safety/EVT-009.jpg</v>
      </c>
      <c r="N10" t="str">
        <v>CLM-009-6641</v>
      </c>
      <c r="O10" t="str">
        <v>UNDER_REVIEW</v>
      </c>
      <c r="P10" t="str">
        <v>Physical Damage</v>
      </c>
      <c r="Q10">
        <v>46154</v>
      </c>
      <c r="R10">
        <v>2500</v>
      </c>
      <c r="S10">
        <v>1000</v>
      </c>
      <c r="T10" t="str">
        <v>Kelly Moore</v>
      </c>
      <c r="U10" t="str">
        <v>Great West Casualty</v>
      </c>
      <c r="V10" t="str">
        <v>POL-159942</v>
      </c>
      <c r="W10" t="str">
        <v>Inspection photos required before release</v>
      </c>
      <c r="X10" t="str">
        <v>YES</v>
      </c>
      <c r="Y10" t="str">
        <v>L-503</v>
      </c>
      <c r="Z10" t="str">
        <v>Pre-Trip Inspection</v>
      </c>
      <c r="AA10" t="str">
        <v>MEDIUM</v>
      </c>
      <c r="AB10" t="str">
        <v>YES</v>
      </c>
      <c r="AC10" t="str">
        <v>YES</v>
      </c>
      <c r="AD10" t="str">
        <v>Tire condition / pre-trip failure</v>
      </c>
      <c r="AE10" t="str">
        <v>Vehicle Maintenance</v>
      </c>
      <c r="AF10" t="str">
        <v>NO</v>
      </c>
      <c r="AG10" t="str">
        <v>NO</v>
      </c>
      <c r="AH10" t="str">
        <v>YES</v>
      </c>
      <c r="AI10" t="str">
        <v>YES</v>
      </c>
      <c r="AJ10" t="str">
        <v>S. Howard</v>
      </c>
      <c r="AK10" t="str">
        <v>Repair tire issue, upload post-repair photos, manager approval before release</v>
      </c>
      <c r="AL10" t="str">
        <v>Closed</v>
      </c>
      <c r="AM10">
        <v>46164</v>
      </c>
      <c r="AN10" t="str">
        <v/>
      </c>
      <c r="AO10" t="str">
        <v>S. Howard</v>
      </c>
      <c r="AP10">
        <v>46154.447916666664</v>
      </c>
      <c r="AQ10" t="str">
        <v>NO</v>
      </c>
      <c r="AR10" t="str">
        <v/>
      </c>
      <c r="AS10" t="str">
        <v>NO</v>
      </c>
      <c r="AT10">
        <v>0</v>
      </c>
      <c r="AU10" t="str">
        <v>NO</v>
      </c>
      <c r="AV10" t="str">
        <v>PARTIAL</v>
      </c>
      <c r="AW10" t="str">
        <v>/dashcam/EVT-009.mp4</v>
      </c>
      <c r="AX10" t="str">
        <v>Photo audit + RFID</v>
      </c>
      <c r="AY10" t="str">
        <v>Reviewed / Closed</v>
      </c>
    </row>
    <row r="11">
      <c r="A11" t="str">
        <v>EVT-010</v>
      </c>
      <c r="B11" t="str">
        <v>DRV-010</v>
      </c>
      <c r="C11" t="str">
        <v>Noah Wilson</v>
      </c>
      <c r="D11" t="str">
        <v>Fatigue Alert</v>
      </c>
      <c r="E11" t="str">
        <v>CRITICAL</v>
      </c>
      <c r="F11" t="str">
        <v>OPEN</v>
      </c>
      <c r="G11">
        <v>46156.09861111111</v>
      </c>
      <c r="H11" t="str">
        <v>T-110</v>
      </c>
      <c r="I11" t="str">
        <v>I-40 near Knoxville, TN</v>
      </c>
      <c r="J11" t="str">
        <v>Dashcam fatigue alert during overnight segment</v>
      </c>
      <c r="K11" t="str">
        <v>/drivers/DRV-010.jpg</v>
      </c>
      <c r="L11" t="str">
        <v>READY</v>
      </c>
      <c r="M11" t="str">
        <v>/images/safety/EVT-010.jpg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NO</v>
      </c>
      <c r="Y11" t="str">
        <v>L-510</v>
      </c>
      <c r="Z11" t="str">
        <v>HOS Log</v>
      </c>
      <c r="AA11" t="str">
        <v>NONE</v>
      </c>
      <c r="AB11" t="str">
        <v>NO</v>
      </c>
      <c r="AC11" t="str">
        <v>YES</v>
      </c>
      <c r="AD11" t="str">
        <v>Fatigue / overnight scheduling</v>
      </c>
      <c r="AE11" t="str">
        <v>Hours of Service Compliance</v>
      </c>
      <c r="AF11" t="str">
        <v>NO</v>
      </c>
      <c r="AG11" t="str">
        <v>NO</v>
      </c>
      <c r="AH11" t="str">
        <v>YES</v>
      </c>
      <c r="AI11" t="str">
        <v>YES</v>
      </c>
      <c r="AJ11" t="str">
        <v>R. Collins</v>
      </c>
      <c r="AK11" t="str">
        <v>Driver statement, fatigue coaching, review overnight dispatch pattern</v>
      </c>
      <c r="AL11" t="str">
        <v>Open</v>
      </c>
      <c r="AM11">
        <v>46162</v>
      </c>
      <c r="AN11" t="str">
        <v/>
      </c>
      <c r="AO11" t="str">
        <v>A. Reynolds</v>
      </c>
      <c r="AP11">
        <v>46156.354166666664</v>
      </c>
      <c r="AQ11" t="str">
        <v>NO</v>
      </c>
      <c r="AR11" t="str">
        <v/>
      </c>
      <c r="AS11" t="str">
        <v>YES</v>
      </c>
      <c r="AT11">
        <v>200</v>
      </c>
      <c r="AU11" t="str">
        <v>YES</v>
      </c>
      <c r="AV11" t="str">
        <v>PARTIAL</v>
      </c>
      <c r="AW11" t="str">
        <v>/dashcam/EVT-010.mp4</v>
      </c>
      <c r="AX11" t="str">
        <v>Dashcam AI + ELD</v>
      </c>
      <c r="AY11" t="str">
        <v>Dispatch Blocked</v>
      </c>
    </row>
    <row r="12">
      <c r="A12" t="str">
        <v>EVT-011</v>
      </c>
      <c r="B12" t="str">
        <v>DRV-006</v>
      </c>
      <c r="C12" t="str">
        <v>Marcus Chen</v>
      </c>
      <c r="D12" t="str">
        <v>Backing Incident</v>
      </c>
      <c r="E12" t="str">
        <v>WARNING</v>
      </c>
      <c r="F12" t="str">
        <v>REVIEWED</v>
      </c>
      <c r="G12">
        <v>46152.5625</v>
      </c>
      <c r="H12" t="str">
        <v>T-111</v>
      </c>
      <c r="I12" t="str">
        <v>Customer dock - Indianapolis, IN</v>
      </c>
      <c r="J12" t="str">
        <v>Low-speed backing contact with dock bumper; no cargo loss</v>
      </c>
      <c r="K12" t="str">
        <v>/drivers/DRV-006.jpg</v>
      </c>
      <c r="L12" t="str">
        <v>READY</v>
      </c>
      <c r="M12" t="str">
        <v>/images/safety/EVT-011.jpg</v>
      </c>
      <c r="N12" t="str">
        <v>CLM-011-2190</v>
      </c>
      <c r="O12" t="str">
        <v>CLOSED</v>
      </c>
      <c r="P12" t="str">
        <v>Property Damage</v>
      </c>
      <c r="Q12">
        <v>46152</v>
      </c>
      <c r="R12">
        <v>650</v>
      </c>
      <c r="S12">
        <v>500</v>
      </c>
      <c r="T12" t="str">
        <v>Renee Collins</v>
      </c>
      <c r="U12" t="str">
        <v>Nationwide E&amp;S</v>
      </c>
      <c r="V12" t="str">
        <v>POL-262316</v>
      </c>
      <c r="W12" t="str">
        <v>Closed below deductible after photo review</v>
      </c>
      <c r="X12" t="str">
        <v>NO</v>
      </c>
      <c r="Y12" t="str">
        <v>L-506</v>
      </c>
      <c r="Z12" t="str">
        <v>POD</v>
      </c>
      <c r="AA12" t="str">
        <v>LOW</v>
      </c>
      <c r="AB12" t="str">
        <v>YES</v>
      </c>
      <c r="AC12" t="str">
        <v>YES</v>
      </c>
      <c r="AD12" t="str">
        <v>Backing technique</v>
      </c>
      <c r="AE12" t="str">
        <v>Crash Indicator</v>
      </c>
      <c r="AF12" t="str">
        <v>NO</v>
      </c>
      <c r="AG12" t="str">
        <v>NO</v>
      </c>
      <c r="AH12" t="str">
        <v>NO</v>
      </c>
      <c r="AI12" t="str">
        <v>YES</v>
      </c>
      <c r="AJ12" t="str">
        <v>K. Morales</v>
      </c>
      <c r="AK12" t="str">
        <v>Backing refresher completed; claim closed below deductible</v>
      </c>
      <c r="AL12" t="str">
        <v>Closed</v>
      </c>
      <c r="AM12">
        <v>46157</v>
      </c>
      <c r="AN12">
        <v>46157</v>
      </c>
      <c r="AO12" t="str">
        <v>D. Foster</v>
      </c>
      <c r="AP12">
        <v>46153.40277777778</v>
      </c>
      <c r="AQ12" t="str">
        <v>YES</v>
      </c>
      <c r="AR12">
        <v>46157.41805555556</v>
      </c>
      <c r="AS12" t="str">
        <v>NO</v>
      </c>
      <c r="AT12">
        <v>0</v>
      </c>
      <c r="AU12" t="str">
        <v>NO</v>
      </c>
      <c r="AV12" t="str">
        <v>YES</v>
      </c>
      <c r="AW12" t="str">
        <v>/dashcam/EVT-011.mp4</v>
      </c>
      <c r="AX12" t="str">
        <v>Dashcam</v>
      </c>
      <c r="AY12" t="str">
        <v>Reviewed / Closed</v>
      </c>
    </row>
    <row r="13">
      <c r="A13" t="str">
        <v>EVT-012</v>
      </c>
      <c r="B13" t="str">
        <v>DRV-002</v>
      </c>
      <c r="C13" t="str">
        <v>Maria Lopez</v>
      </c>
      <c r="D13" t="str">
        <v>Speeding</v>
      </c>
      <c r="E13" t="str">
        <v>WARNING</v>
      </c>
      <c r="F13" t="str">
        <v>REVIEWED</v>
      </c>
      <c r="G13">
        <v>46155.675</v>
      </c>
      <c r="H13" t="str">
        <v>T-101</v>
      </c>
      <c r="I13" t="str">
        <v>I-90 near Erie, PA</v>
      </c>
      <c r="J13" t="str">
        <v>Speed threshold exceeded by 7 MPH for 90 seconds</v>
      </c>
      <c r="K13" t="str">
        <v>/drivers/DRV-002.jpg</v>
      </c>
      <c r="L13" t="str">
        <v>READY</v>
      </c>
      <c r="M13" t="str">
        <v>/images/safety/EVT-012.jpg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NO</v>
      </c>
      <c r="Y13" t="str">
        <v>L-504</v>
      </c>
      <c r="Z13" t="str">
        <v>MVR</v>
      </c>
      <c r="AA13" t="str">
        <v>NONE</v>
      </c>
      <c r="AB13" t="str">
        <v>NO</v>
      </c>
      <c r="AC13" t="str">
        <v>YES</v>
      </c>
      <c r="AD13" t="str">
        <v>Speed management</v>
      </c>
      <c r="AE13" t="str">
        <v>Unsafe Driving</v>
      </c>
      <c r="AF13" t="str">
        <v>NO</v>
      </c>
      <c r="AG13" t="str">
        <v>NO</v>
      </c>
      <c r="AH13" t="str">
        <v>NO</v>
      </c>
      <c r="AI13" t="str">
        <v>YES</v>
      </c>
      <c r="AJ13" t="str">
        <v>J. Turner</v>
      </c>
      <c r="AK13" t="str">
        <v>Verbal coaching documented; no dispatch restriction</v>
      </c>
      <c r="AL13" t="str">
        <v>Closed</v>
      </c>
      <c r="AM13">
        <v>46162</v>
      </c>
      <c r="AN13">
        <v>46156</v>
      </c>
      <c r="AO13" t="str">
        <v>J. Turner</v>
      </c>
      <c r="AP13">
        <v>46156.43402777778</v>
      </c>
      <c r="AQ13" t="str">
        <v>YES</v>
      </c>
      <c r="AR13">
        <v>46156.47222222222</v>
      </c>
      <c r="AS13" t="str">
        <v>NO</v>
      </c>
      <c r="AT13">
        <v>0</v>
      </c>
      <c r="AU13" t="str">
        <v>NO</v>
      </c>
      <c r="AV13" t="str">
        <v>YES</v>
      </c>
      <c r="AW13" t="str">
        <v>/dashcam/EVT-012.mp4</v>
      </c>
      <c r="AX13" t="str">
        <v>Telematics</v>
      </c>
      <c r="AY13" t="str">
        <v>Reviewed / Closed</v>
      </c>
    </row>
  </sheetData>
  <ignoredErrors>
    <ignoredError numberStoredAsText="1" sqref="A1:AY1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A26"/>
  <sheetViews>
    <sheetView workbookViewId="0" rightToLeft="0"/>
  </sheetViews>
  <sheetData>
    <row r="1">
      <c r="A1" t="str">
        <v>Asset ID</v>
      </c>
      <c r="B1" t="str">
        <v>Assigned Driver ID</v>
      </c>
      <c r="C1" t="str">
        <v>Assigned Driver Name</v>
      </c>
      <c r="D1" t="str">
        <v>Last Service Date</v>
      </c>
      <c r="E1" t="str">
        <v>Next Service Date</v>
      </c>
      <c r="F1" t="str">
        <v>Status Indicator</v>
      </c>
      <c r="G1" t="str">
        <v>Service Status</v>
      </c>
      <c r="H1" t="str">
        <v>Export Ready</v>
      </c>
      <c r="I1" t="str">
        <v>Tractor ID</v>
      </c>
      <c r="J1" t="str">
        <v xml:space="preserve"> Tractor Daily Lease Cost</v>
      </c>
      <c r="K1" t="str">
        <v xml:space="preserve"> Tractor Insurance Cost</v>
      </c>
      <c r="L1" t="str">
        <v xml:space="preserve"> Tractor Maintenance Reserve Rate</v>
      </c>
      <c r="M1" t="str">
        <v xml:space="preserve"> Tractor Fuel MPG</v>
      </c>
      <c r="N1" t="str">
        <v xml:space="preserve"> Tractor Fuel Purchased (Gallons)</v>
      </c>
      <c r="O1" t="str">
        <v xml:space="preserve"> Tractor Fuel Cost</v>
      </c>
      <c r="P1" t="str">
        <v xml:space="preserve"> Trailer ID</v>
      </c>
      <c r="Q1" t="str">
        <v xml:space="preserve"> Trailer Daily Lease Cost</v>
      </c>
      <c r="R1" t="str">
        <v xml:space="preserve"> Trailer Maintenance Reserve Rate</v>
      </c>
      <c r="S1" t="str">
        <v xml:space="preserve"> Total Revenue Assigned</v>
      </c>
      <c r="T1" t="str">
        <v xml:space="preserve"> Total Driver Pay</v>
      </c>
      <c r="U1" t="str">
        <v xml:space="preserve"> Total Fuel Cost</v>
      </c>
      <c r="V1" t="str">
        <v xml:space="preserve"> Total Maintenance Reserve</v>
      </c>
      <c r="W1" t="str">
        <v xml:space="preserve"> Total Asset Cost</v>
      </c>
      <c r="X1" t="str">
        <v xml:space="preserve"> Net Profit</v>
      </c>
      <c r="Y1" t="str">
        <v>Asset Type</v>
      </c>
      <c r="Z1" t="str">
        <v xml:space="preserve"> Last PM Type</v>
      </c>
      <c r="AA1" t="str">
        <v xml:space="preserve"> Last PM Mileage</v>
      </c>
      <c r="AB1" t="str">
        <v xml:space="preserve"> Next PM Mileage Due</v>
      </c>
      <c r="AC1" t="str">
        <v xml:space="preserve"> Last DOT Inspection Date</v>
      </c>
      <c r="AD1" t="str">
        <v xml:space="preserve"> Next DOT Due</v>
      </c>
      <c r="AE1" t="str">
        <v xml:space="preserve"> Engine Hours</v>
      </c>
      <c r="AF1" t="str">
        <v xml:space="preserve"> Last Oil Change Date</v>
      </c>
      <c r="AG1" t="str">
        <v xml:space="preserve"> Last Brake Inspection Date</v>
      </c>
      <c r="AH1" t="str">
        <v xml:space="preserve"> Tire Condition</v>
      </c>
      <c r="AI1" t="str">
        <v xml:space="preserve"> Battery/Alternator Check Date</v>
      </c>
      <c r="AJ1" t="str">
        <v xml:space="preserve"> Tractor Status</v>
      </c>
      <c r="AK1" t="str">
        <v>Trailer ID</v>
      </c>
      <c r="AL1" t="str">
        <v xml:space="preserve"> Trailer Type</v>
      </c>
      <c r="AM1" t="str">
        <v xml:space="preserve"> Last PM Date</v>
      </c>
      <c r="AN1" t="str">
        <v xml:space="preserve"> Next PM Due</v>
      </c>
      <c r="AO1" t="str">
        <v xml:space="preserve"> Last DOT Inspection Date</v>
      </c>
      <c r="AP1" t="str">
        <v xml:space="preserve"> Next DOT Due</v>
      </c>
      <c r="AQ1" t="str">
        <v xml:space="preserve"> Last Tire Service Date</v>
      </c>
      <c r="AR1" t="str">
        <v xml:space="preserve"> Next Tire Check Due</v>
      </c>
      <c r="AS1" t="str">
        <v xml:space="preserve"> Brake Service Date</v>
      </c>
      <c r="AT1" t="str">
        <v xml:space="preserve"> ABS Status</v>
      </c>
      <c r="AU1" t="str">
        <v xml:space="preserve"> Door Seal Condition</v>
      </c>
      <c r="AV1" t="str">
        <v xml:space="preserve"> Floor Condition</v>
      </c>
      <c r="AW1" t="str">
        <v xml:space="preserve"> Structural Damage Notes</v>
      </c>
      <c r="AX1" t="str">
        <v xml:space="preserve"> Reefer Hours</v>
      </c>
      <c r="AY1" t="str">
        <v xml:space="preserve"> Reefer Last PM</v>
      </c>
      <c r="AZ1" t="str">
        <v xml:space="preserve"> Reefer Next PM Due</v>
      </c>
      <c r="BA1" t="str">
        <v xml:space="preserve"> Trailer Status</v>
      </c>
    </row>
    <row r="2">
      <c r="A2" t="str">
        <v>T-101</v>
      </c>
      <c r="B2" t="str">
        <v>DRV-012</v>
      </c>
      <c r="C2" t="str">
        <v>Robert Johnson</v>
      </c>
      <c r="D2">
        <v>46142</v>
      </c>
      <c r="E2">
        <v>46484</v>
      </c>
      <c r="F2" t="str">
        <f>IF(E2&lt;TODAY(),"EXPIRED",IF(E2&lt;=TODAY()+30,"DUE_SOON","OK"))</f>
        <v>OK</v>
      </c>
      <c r="G2" t="str">
        <f>IF(E2&lt;TODAY(),"EXPIRED",IF(E2&lt;=TODAY()+30,"DUE_SOON","OK"))</f>
        <v>OK</v>
      </c>
      <c r="H2" t="str">
        <v>YES</v>
      </c>
    </row>
    <row r="3">
      <c r="A3" t="str">
        <v>T-102</v>
      </c>
      <c r="B3" t="str">
        <v>DRV-001</v>
      </c>
      <c r="C3" t="str">
        <v>John Carter</v>
      </c>
      <c r="D3">
        <v>46376</v>
      </c>
      <c r="E3">
        <v>46432</v>
      </c>
      <c r="F3" t="str">
        <f>IF(E3&lt;TODAY(),"EXPIRED",IF(E3&lt;=TODAY()+30,"DUE_SOON","OK"))</f>
        <v>OK</v>
      </c>
      <c r="G3" t="str">
        <f>IF(E3&lt;TODAY(),"EXPIRED",IF(E3&lt;=TODAY()+30,"DUE_SOON","OK"))</f>
        <v>OK</v>
      </c>
      <c r="H3" t="str">
        <v>YES</v>
      </c>
    </row>
    <row r="4">
      <c r="A4" t="str">
        <v>T-103</v>
      </c>
      <c r="B4" t="str">
        <v>DRV-006</v>
      </c>
      <c r="C4" t="str">
        <v>Marcus Chen</v>
      </c>
      <c r="D4">
        <v>46146</v>
      </c>
      <c r="E4">
        <v>46460</v>
      </c>
      <c r="F4" t="str">
        <f>IF(E4&lt;TODAY(),"EXPIRED",IF(E4&lt;=TODAY()+30,"DUE_SOON","OK"))</f>
        <v>OK</v>
      </c>
      <c r="G4" t="str">
        <f>IF(E4&lt;TODAY(),"EXPIRED",IF(E4&lt;=TODAY()+30,"DUE_SOON","OK"))</f>
        <v>OK</v>
      </c>
      <c r="H4" t="str">
        <v>YES</v>
      </c>
    </row>
    <row r="5">
      <c r="A5" t="str">
        <v>T-104</v>
      </c>
      <c r="B5" t="str">
        <v>DRV-005</v>
      </c>
      <c r="C5" t="str">
        <v>Kenji Tanaka</v>
      </c>
      <c r="D5">
        <v>46091</v>
      </c>
      <c r="E5">
        <v>46442</v>
      </c>
      <c r="F5" t="str">
        <f>IF(E5&lt;TODAY(),"EXPIRED",IF(E5&lt;=TODAY()+30,"DUE_SOON","OK"))</f>
        <v>OK</v>
      </c>
      <c r="G5" t="str">
        <f>IF(E5&lt;TODAY(),"EXPIRED",IF(E5&lt;=TODAY()+30,"DUE_SOON","OK"))</f>
        <v>OK</v>
      </c>
      <c r="H5" t="str">
        <v>YES</v>
      </c>
    </row>
    <row r="6">
      <c r="A6" t="str">
        <v>T-105</v>
      </c>
      <c r="B6" t="str">
        <v>DRV-010</v>
      </c>
      <c r="C6" t="str">
        <v>Noah Wilson</v>
      </c>
      <c r="D6">
        <v>46112</v>
      </c>
      <c r="E6">
        <v>46530</v>
      </c>
      <c r="F6" t="str">
        <f>IF(E6&lt;TODAY(),"EXPIRED",IF(E6&lt;=TODAY()+30,"DUE_SOON","OK"))</f>
        <v>OK</v>
      </c>
      <c r="G6" t="str">
        <f>IF(E6&lt;TODAY(),"EXPIRED",IF(E6&lt;=TODAY()+30,"DUE_SOON","OK"))</f>
        <v>OK</v>
      </c>
      <c r="H6" t="str">
        <v>YES</v>
      </c>
    </row>
    <row r="7">
      <c r="A7" t="str">
        <v>T-106</v>
      </c>
      <c r="B7" t="str">
        <v>DRV-008</v>
      </c>
      <c r="C7" t="str">
        <v>Liam Smith</v>
      </c>
      <c r="D7">
        <v>46027</v>
      </c>
      <c r="E7">
        <v>46470</v>
      </c>
      <c r="F7" t="str">
        <f>IF(E7&lt;TODAY(),"EXPIRED",IF(E7&lt;=TODAY()+30,"DUE_SOON","OK"))</f>
        <v>OK</v>
      </c>
      <c r="G7" t="str">
        <f>IF(E7&lt;TODAY(),"EXPIRED",IF(E7&lt;=TODAY()+30,"DUE_SOON","OK"))</f>
        <v>OK</v>
      </c>
      <c r="H7" t="str">
        <v>YES</v>
      </c>
    </row>
    <row r="8">
      <c r="A8" t="str">
        <v>T-107</v>
      </c>
      <c r="B8" t="str">
        <v>DRV-003</v>
      </c>
      <c r="C8" t="str">
        <v>Alex Kim</v>
      </c>
      <c r="D8">
        <v>46186</v>
      </c>
      <c r="E8">
        <v>46432</v>
      </c>
      <c r="F8" t="str">
        <f>IF(E8&lt;TODAY(),"EXPIRED",IF(E8&lt;=TODAY()+30,"DUE_SOON","OK"))</f>
        <v>OK</v>
      </c>
      <c r="G8" t="str">
        <f>IF(E8&lt;TODAY(),"EXPIRED",IF(E8&lt;=TODAY()+30,"DUE_SOON","OK"))</f>
        <v>OK</v>
      </c>
      <c r="H8" t="str">
        <v>YES</v>
      </c>
    </row>
    <row r="9">
      <c r="A9" t="str">
        <v>T-108</v>
      </c>
      <c r="B9" t="str">
        <v>DRV-004</v>
      </c>
      <c r="C9" t="str">
        <v>Priya Patel</v>
      </c>
      <c r="D9">
        <v>46129</v>
      </c>
      <c r="E9">
        <v>46492</v>
      </c>
      <c r="F9" t="str">
        <f>IF(E9&lt;TODAY(),"EXPIRED",IF(E9&lt;=TODAY()+30,"DUE_SOON","OK"))</f>
        <v>OK</v>
      </c>
      <c r="G9" t="str">
        <f>IF(E9&lt;TODAY(),"EXPIRED",IF(E9&lt;=TODAY()+30,"DUE_SOON","OK"))</f>
        <v>OK</v>
      </c>
      <c r="H9" t="str">
        <v>YES</v>
      </c>
    </row>
    <row r="10">
      <c r="A10" t="str">
        <v>T-109</v>
      </c>
      <c r="B10" t="str">
        <v>DRV-009</v>
      </c>
      <c r="C10" t="str">
        <v>Emma Brown</v>
      </c>
      <c r="D10">
        <v>46244</v>
      </c>
      <c r="E10">
        <v>46427</v>
      </c>
      <c r="F10" t="str">
        <f>IF(E10&lt;TODAY(),"EXPIRED",IF(E10&lt;=TODAY()+30,"DUE_SOON","OK"))</f>
        <v>OK</v>
      </c>
      <c r="G10" t="str">
        <f>IF(E10&lt;TODAY(),"EXPIRED",IF(E10&lt;=TODAY()+30,"DUE_SOON","OK"))</f>
        <v>OK</v>
      </c>
      <c r="H10" t="str">
        <v>YES</v>
      </c>
    </row>
    <row r="11">
      <c r="A11" t="str">
        <v>T-110</v>
      </c>
      <c r="B11" t="str">
        <v>DRV-004</v>
      </c>
      <c r="C11" t="str">
        <v>Priya Patel</v>
      </c>
      <c r="D11">
        <v>46362</v>
      </c>
      <c r="E11">
        <v>46461</v>
      </c>
      <c r="F11" t="str">
        <f>IF(E11&lt;TODAY(),"EXPIRED",IF(E11&lt;=TODAY()+30,"DUE_SOON","OK"))</f>
        <v>OK</v>
      </c>
      <c r="G11" t="str">
        <f>IF(E11&lt;TODAY(),"EXPIRED",IF(E11&lt;=TODAY()+30,"DUE_SOON","OK"))</f>
        <v>OK</v>
      </c>
      <c r="H11" t="str">
        <v>YES</v>
      </c>
    </row>
    <row r="12">
      <c r="A12" t="str">
        <v>T-111</v>
      </c>
      <c r="B12" t="str">
        <v>DRV-007</v>
      </c>
      <c r="C12" t="str">
        <v>Sofia Gomez</v>
      </c>
      <c r="D12">
        <v>46377</v>
      </c>
      <c r="E12">
        <v>46523</v>
      </c>
      <c r="F12" t="str">
        <f>IF(E12&lt;TODAY(),"EXPIRED",IF(E12&lt;=TODAY()+30,"DUE_SOON","OK"))</f>
        <v>OK</v>
      </c>
      <c r="G12" t="str">
        <f>IF(E12&lt;TODAY(),"EXPIRED",IF(E12&lt;=TODAY()+30,"DUE_SOON","OK"))</f>
        <v>OK</v>
      </c>
      <c r="H12" t="str">
        <v>YES</v>
      </c>
    </row>
    <row r="13">
      <c r="A13" t="str">
        <v>T-112</v>
      </c>
      <c r="B13" t="str">
        <v>DRV-005</v>
      </c>
      <c r="C13" t="str">
        <v>Kenji Tanaka</v>
      </c>
      <c r="D13">
        <v>46386</v>
      </c>
      <c r="E13">
        <v>46536</v>
      </c>
      <c r="F13" t="str">
        <f>IF(E13&lt;TODAY(),"EXPIRED",IF(E13&lt;=TODAY()+30,"DUE_SOON","OK"))</f>
        <v>OK</v>
      </c>
      <c r="G13" t="str">
        <f>IF(E13&lt;TODAY(),"EXPIRED",IF(E13&lt;=TODAY()+30,"DUE_SOON","OK"))</f>
        <v>OK</v>
      </c>
      <c r="H13" t="str">
        <v>YES</v>
      </c>
    </row>
    <row r="14">
      <c r="A14" t="str">
        <v>T-113</v>
      </c>
      <c r="B14" t="str">
        <v>DRV-004</v>
      </c>
      <c r="C14" t="str">
        <v>Priya Patel</v>
      </c>
      <c r="D14">
        <v>46272</v>
      </c>
      <c r="E14">
        <v>46455</v>
      </c>
      <c r="F14" t="str">
        <f>IF(E14&lt;TODAY(),"EXPIRED",IF(E14&lt;=TODAY()+30,"DUE_SOON","OK"))</f>
        <v>OK</v>
      </c>
      <c r="G14" t="str">
        <f>IF(E14&lt;TODAY(),"EXPIRED",IF(E14&lt;=TODAY()+30,"DUE_SOON","OK"))</f>
        <v>OK</v>
      </c>
      <c r="H14" t="str">
        <v>YES</v>
      </c>
    </row>
    <row r="15">
      <c r="A15" t="str">
        <v>T-114</v>
      </c>
      <c r="B15" t="str">
        <v>DRV-011</v>
      </c>
      <c r="C15" t="str">
        <v>Olivia Lee</v>
      </c>
      <c r="D15">
        <v>46281</v>
      </c>
      <c r="E15">
        <v>46536</v>
      </c>
      <c r="F15" t="str">
        <f>IF(E15&lt;TODAY(),"EXPIRED",IF(E15&lt;=TODAY()+30,"DUE_SOON","OK"))</f>
        <v>OK</v>
      </c>
      <c r="G15" t="str">
        <f>IF(E15&lt;TODAY(),"EXPIRED",IF(E15&lt;=TODAY()+30,"DUE_SOON","OK"))</f>
        <v>OK</v>
      </c>
      <c r="H15" t="str">
        <v>YES</v>
      </c>
    </row>
    <row r="16">
      <c r="A16" t="str">
        <v>T-115</v>
      </c>
      <c r="B16" t="str">
        <v>DRV-012</v>
      </c>
      <c r="C16" t="str">
        <v>Robert Johnson</v>
      </c>
      <c r="D16">
        <v>46213</v>
      </c>
      <c r="E16">
        <v>46465</v>
      </c>
      <c r="F16" t="str">
        <f>IF(E16&lt;TODAY(),"EXPIRED",IF(E16&lt;=TODAY()+30,"DUE_SOON","OK"))</f>
        <v>OK</v>
      </c>
      <c r="G16" t="str">
        <f>IF(E16&lt;TODAY(),"EXPIRED",IF(E16&lt;=TODAY()+30,"DUE_SOON","OK"))</f>
        <v>OK</v>
      </c>
      <c r="H16" t="str">
        <v>YES</v>
      </c>
    </row>
    <row r="17">
      <c r="A17" t="str">
        <v>T-116</v>
      </c>
      <c r="B17" t="str">
        <v>DRV-004</v>
      </c>
      <c r="C17" t="str">
        <v>Priya Patel</v>
      </c>
      <c r="D17">
        <v>46046</v>
      </c>
      <c r="E17">
        <v>46531</v>
      </c>
      <c r="F17" t="str">
        <f>IF(E17&lt;TODAY(),"EXPIRED",IF(E17&lt;=TODAY()+30,"DUE_SOON","OK"))</f>
        <v>OK</v>
      </c>
      <c r="G17" t="str">
        <f>IF(E17&lt;TODAY(),"EXPIRED",IF(E17&lt;=TODAY()+30,"DUE_SOON","OK"))</f>
        <v>OK</v>
      </c>
      <c r="H17" t="str">
        <v>YES</v>
      </c>
    </row>
    <row r="18">
      <c r="A18" t="str">
        <v>T-117</v>
      </c>
      <c r="B18" t="str">
        <v>DRV-006</v>
      </c>
      <c r="C18" t="str">
        <v>Marcus Chen</v>
      </c>
      <c r="D18">
        <v>46150</v>
      </c>
      <c r="E18">
        <v>46434</v>
      </c>
      <c r="F18" t="str">
        <f>IF(E18&lt;TODAY(),"EXPIRED",IF(E18&lt;=TODAY()+30,"DUE_SOON","OK"))</f>
        <v>OK</v>
      </c>
      <c r="G18" t="str">
        <f>IF(E18&lt;TODAY(),"EXPIRED",IF(E18&lt;=TODAY()+30,"DUE_SOON","OK"))</f>
        <v>OK</v>
      </c>
      <c r="H18" t="str">
        <v>YES</v>
      </c>
    </row>
    <row r="19">
      <c r="A19" t="str">
        <v>T-118</v>
      </c>
      <c r="B19" t="str">
        <v>DRV-011</v>
      </c>
      <c r="C19" t="str">
        <v>Olivia Lee</v>
      </c>
      <c r="D19">
        <v>46281</v>
      </c>
      <c r="E19">
        <v>46499</v>
      </c>
      <c r="F19" t="str">
        <f>IF(E19&lt;TODAY(),"EXPIRED",IF(E19&lt;=TODAY()+30,"DUE_SOON","OK"))</f>
        <v>OK</v>
      </c>
      <c r="G19" t="str">
        <f>IF(E19&lt;TODAY(),"EXPIRED",IF(E19&lt;=TODAY()+30,"DUE_SOON","OK"))</f>
        <v>OK</v>
      </c>
      <c r="H19" t="str">
        <v>YES</v>
      </c>
    </row>
    <row r="20">
      <c r="A20" t="str">
        <v>T-119</v>
      </c>
      <c r="B20" t="str">
        <v>DRV-006</v>
      </c>
      <c r="C20" t="str">
        <v>Marcus Chen</v>
      </c>
      <c r="D20">
        <v>46324</v>
      </c>
      <c r="E20">
        <v>46494</v>
      </c>
      <c r="F20" t="str">
        <f>IF(E20&lt;TODAY(),"EXPIRED",IF(E20&lt;=TODAY()+30,"DUE_SOON","OK"))</f>
        <v>OK</v>
      </c>
      <c r="G20" t="str">
        <f>IF(E20&lt;TODAY(),"EXPIRED",IF(E20&lt;=TODAY()+30,"DUE_SOON","OK"))</f>
        <v>OK</v>
      </c>
      <c r="H20" t="str">
        <v>YES</v>
      </c>
    </row>
    <row r="21">
      <c r="A21" t="str">
        <v>T-120</v>
      </c>
      <c r="B21" t="str">
        <v>DRV-008</v>
      </c>
      <c r="C21" t="str">
        <v>Liam Smith</v>
      </c>
      <c r="D21">
        <v>46351</v>
      </c>
      <c r="E21">
        <v>46463</v>
      </c>
      <c r="F21" t="str">
        <f>IF(E21&lt;TODAY(),"EXPIRED",IF(E21&lt;=TODAY()+30,"DUE_SOON","OK"))</f>
        <v>OK</v>
      </c>
      <c r="G21" t="str">
        <f>IF(E21&lt;TODAY(),"EXPIRED",IF(E21&lt;=TODAY()+30,"DUE_SOON","OK"))</f>
        <v>OK</v>
      </c>
      <c r="H21" t="str">
        <v>YES</v>
      </c>
    </row>
    <row r="22">
      <c r="A22" t="str">
        <v>T-121</v>
      </c>
      <c r="B22" t="str">
        <v>DRV-001</v>
      </c>
      <c r="C22" t="str">
        <v>John Carter</v>
      </c>
      <c r="D22">
        <v>46108</v>
      </c>
      <c r="E22">
        <v>46429</v>
      </c>
      <c r="F22" t="str">
        <f>IF(E22&lt;TODAY(),"EXPIRED",IF(E22&lt;=TODAY()+30,"DUE_SOON","OK"))</f>
        <v>OK</v>
      </c>
      <c r="G22" t="str">
        <f>IF(E22&lt;TODAY(),"EXPIRED",IF(E22&lt;=TODAY()+30,"DUE_SOON","OK"))</f>
        <v>OK</v>
      </c>
      <c r="H22" t="str">
        <v>YES</v>
      </c>
    </row>
    <row r="23">
      <c r="A23" t="str">
        <v>T-122</v>
      </c>
      <c r="B23" t="str">
        <v>DRV-002</v>
      </c>
      <c r="C23" t="str">
        <v>Maria Lopez</v>
      </c>
      <c r="D23">
        <v>46208</v>
      </c>
      <c r="E23">
        <v>46471</v>
      </c>
      <c r="F23" t="str">
        <f>IF(E23&lt;TODAY(),"EXPIRED",IF(E23&lt;=TODAY()+30,"DUE_SOON","OK"))</f>
        <v>OK</v>
      </c>
      <c r="G23" t="str">
        <f>IF(E23&lt;TODAY(),"EXPIRED",IF(E23&lt;=TODAY()+30,"DUE_SOON","OK"))</f>
        <v>OK</v>
      </c>
      <c r="H23" t="str">
        <v>YES</v>
      </c>
    </row>
    <row r="24">
      <c r="A24" t="str">
        <v>T-123</v>
      </c>
      <c r="B24" t="str">
        <v>DRV-003</v>
      </c>
      <c r="C24" t="str">
        <v>Alex Kim</v>
      </c>
      <c r="D24">
        <v>46316</v>
      </c>
      <c r="E24">
        <v>46465</v>
      </c>
      <c r="F24" t="str">
        <f>IF(E24&lt;TODAY(),"EXPIRED",IF(E24&lt;=TODAY()+30,"DUE_SOON","OK"))</f>
        <v>OK</v>
      </c>
      <c r="G24" t="str">
        <f>IF(E24&lt;TODAY(),"EXPIRED",IF(E24&lt;=TODAY()+30,"DUE_SOON","OK"))</f>
        <v>OK</v>
      </c>
      <c r="H24" t="str">
        <v>YES</v>
      </c>
    </row>
    <row r="25">
      <c r="A25" t="str">
        <v>T-124</v>
      </c>
      <c r="B25" t="str">
        <v>DRV-002</v>
      </c>
      <c r="C25" t="str">
        <v>Maria Lopez</v>
      </c>
      <c r="D25">
        <v>46238</v>
      </c>
      <c r="E25">
        <v>46467</v>
      </c>
      <c r="F25" t="str">
        <f>IF(E25&lt;TODAY(),"EXPIRED",IF(E25&lt;=TODAY()+30,"DUE_SOON","OK"))</f>
        <v>OK</v>
      </c>
      <c r="G25" t="str">
        <f>IF(E25&lt;TODAY(),"EXPIRED",IF(E25&lt;=TODAY()+30,"DUE_SOON","OK"))</f>
        <v>OK</v>
      </c>
      <c r="H25" t="str">
        <v>YES</v>
      </c>
    </row>
    <row r="26">
      <c r="A26" t="str">
        <v>T-125</v>
      </c>
      <c r="B26" t="str">
        <v>DRV-002</v>
      </c>
      <c r="C26" t="str">
        <v>Maria Lopez</v>
      </c>
      <c r="D26">
        <v>46138</v>
      </c>
      <c r="E26">
        <v>46449</v>
      </c>
      <c r="F26" t="str">
        <f>IF(E26&lt;TODAY(),"EXPIRED",IF(E26&lt;=TODAY()+30,"DUE_SOON","OK"))</f>
        <v>OK</v>
      </c>
      <c r="G26" t="str">
        <f>IF(E26&lt;TODAY(),"EXPIRED",IF(E26&lt;=TODAY()+30,"DUE_SOON","OK"))</f>
        <v>OK</v>
      </c>
      <c r="H26" t="str">
        <v>YES</v>
      </c>
    </row>
  </sheetData>
  <pageMargins left="0.7" right="0.7" top="0.75" bottom="0.75" header="0.3" footer="0.3"/>
  <ignoredErrors>
    <ignoredError numberStoredAsText="1" sqref="A1:BA2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97"/>
  <sheetViews>
    <sheetView workbookViewId="0" rightToLeft="0"/>
  </sheetViews>
  <sheetData>
    <row r="1">
      <c r="A1" t="str">
        <v>WeekEnding</v>
      </c>
      <c r="B1" t="str">
        <v>DriverID</v>
      </c>
      <c r="C1" t="str">
        <v>DriverName</v>
      </c>
      <c r="D1" t="str">
        <v>GrossPay</v>
      </c>
      <c r="E1" t="str">
        <v>TotalDeductions</v>
      </c>
      <c r="F1" t="str">
        <v>NetPay</v>
      </c>
      <c r="G1" t="str">
        <v>FleetOwnerProfit</v>
      </c>
      <c r="H1" t="str">
        <v>DriverProfitabilityScore</v>
      </c>
      <c r="I1" t="str">
        <v>SettlementStatus</v>
      </c>
      <c r="J1" t="str">
        <v>SettlementPacketComplete</v>
      </c>
      <c r="K1" t="str">
        <v>SettlementApprovedBy</v>
      </c>
      <c r="L1" t="str">
        <v>SettlementApprovalTimestamp</v>
      </c>
    </row>
    <row r="2">
      <c r="A2">
        <v>46110</v>
      </c>
      <c r="B2" t="str">
        <v>DRV-001</v>
      </c>
      <c r="C2" t="str">
        <v>John T. Carter</v>
      </c>
      <c r="D2">
        <v>2150</v>
      </c>
      <c r="E2">
        <v>620</v>
      </c>
      <c r="F2">
        <v>1530</v>
      </c>
      <c r="G2">
        <v>1850</v>
      </c>
      <c r="H2">
        <v>88</v>
      </c>
      <c r="I2" t="str">
        <v>Complete</v>
      </c>
      <c r="J2" t="str">
        <v>Yes</v>
      </c>
      <c r="K2" t="str">
        <v>A. Reynolds</v>
      </c>
      <c r="L2">
        <v>46112.38333333333</v>
      </c>
    </row>
    <row r="3">
      <c r="A3">
        <v>46117</v>
      </c>
      <c r="B3" t="str">
        <v>DRV-001</v>
      </c>
      <c r="C3" t="str">
        <v>John T. Carter</v>
      </c>
      <c r="D3">
        <v>2285</v>
      </c>
      <c r="E3">
        <v>645</v>
      </c>
      <c r="F3">
        <v>1640</v>
      </c>
      <c r="G3">
        <v>1925</v>
      </c>
      <c r="H3">
        <v>90</v>
      </c>
      <c r="I3" t="str">
        <v>Complete</v>
      </c>
      <c r="J3" t="str">
        <v>Yes</v>
      </c>
      <c r="K3" t="str">
        <v>A. Reynolds</v>
      </c>
      <c r="L3">
        <v>46119.41875</v>
      </c>
    </row>
    <row r="4">
      <c r="A4">
        <v>46124</v>
      </c>
      <c r="B4" t="str">
        <v>DRV-001</v>
      </c>
      <c r="C4" t="str">
        <v>John T. Carter</v>
      </c>
      <c r="D4">
        <v>2040</v>
      </c>
      <c r="E4">
        <v>605</v>
      </c>
      <c r="F4">
        <v>1435</v>
      </c>
      <c r="G4">
        <v>1710</v>
      </c>
      <c r="H4">
        <v>84</v>
      </c>
      <c r="I4" t="str">
        <v>Complete</v>
      </c>
      <c r="J4" t="str">
        <v>Yes</v>
      </c>
      <c r="K4" t="str">
        <v>A. Reynolds</v>
      </c>
      <c r="L4">
        <v>46126.36597222222</v>
      </c>
    </row>
    <row r="5">
      <c r="A5">
        <v>46131</v>
      </c>
      <c r="B5" t="str">
        <v>DRV-001</v>
      </c>
      <c r="C5" t="str">
        <v>John T. Carter</v>
      </c>
      <c r="D5">
        <v>2210</v>
      </c>
      <c r="E5">
        <v>635</v>
      </c>
      <c r="F5">
        <v>1575</v>
      </c>
      <c r="G5">
        <v>1880</v>
      </c>
      <c r="H5">
        <v>89</v>
      </c>
      <c r="I5" t="str">
        <v>Complete</v>
      </c>
      <c r="J5" t="str">
        <v>Yes</v>
      </c>
      <c r="K5" t="str">
        <v>A. Reynolds</v>
      </c>
      <c r="L5">
        <v>46133.47152777778</v>
      </c>
    </row>
    <row r="6">
      <c r="A6">
        <v>46138</v>
      </c>
      <c r="B6" t="str">
        <v>DRV-001</v>
      </c>
      <c r="C6" t="str">
        <v>John T. Carter</v>
      </c>
      <c r="D6">
        <v>1995</v>
      </c>
      <c r="E6">
        <v>595</v>
      </c>
      <c r="F6">
        <v>1400</v>
      </c>
      <c r="G6">
        <v>1695</v>
      </c>
      <c r="H6">
        <v>82</v>
      </c>
      <c r="I6" t="str">
        <v>Complete</v>
      </c>
      <c r="J6" t="str">
        <v>Yes</v>
      </c>
      <c r="K6" t="str">
        <v>A. Reynolds</v>
      </c>
      <c r="L6">
        <v>46140.413194444445</v>
      </c>
    </row>
    <row r="7">
      <c r="A7">
        <v>46145</v>
      </c>
      <c r="B7" t="str">
        <v>DRV-001</v>
      </c>
      <c r="C7" t="str">
        <v>John T. Carter</v>
      </c>
      <c r="D7">
        <v>2325</v>
      </c>
      <c r="E7">
        <v>655</v>
      </c>
      <c r="F7">
        <v>1670</v>
      </c>
      <c r="G7">
        <v>1960</v>
      </c>
      <c r="H7">
        <v>91</v>
      </c>
      <c r="I7" t="str">
        <v>Complete</v>
      </c>
      <c r="J7" t="str">
        <v>Yes</v>
      </c>
      <c r="K7" t="str">
        <v>A. Reynolds</v>
      </c>
      <c r="L7">
        <v>46147.44513888889</v>
      </c>
    </row>
    <row r="8">
      <c r="A8">
        <v>46152</v>
      </c>
      <c r="B8" t="str">
        <v>DRV-001</v>
      </c>
      <c r="C8" t="str">
        <v>John T. Carter</v>
      </c>
      <c r="D8">
        <v>2105</v>
      </c>
      <c r="E8">
        <v>615</v>
      </c>
      <c r="F8">
        <v>1490</v>
      </c>
      <c r="G8">
        <v>1785</v>
      </c>
      <c r="H8">
        <v>86</v>
      </c>
      <c r="I8" t="str">
        <v>Complete</v>
      </c>
      <c r="J8" t="str">
        <v>Yes</v>
      </c>
      <c r="K8" t="str">
        <v>A. Reynolds</v>
      </c>
      <c r="L8">
        <v>46155.39027777778</v>
      </c>
    </row>
    <row r="9">
      <c r="A9">
        <v>46159</v>
      </c>
      <c r="B9" t="str">
        <v>DRV-001</v>
      </c>
      <c r="C9" t="str">
        <v>John T. Carter</v>
      </c>
      <c r="D9">
        <v>2250</v>
      </c>
      <c r="E9">
        <v>640</v>
      </c>
      <c r="F9">
        <v>1610</v>
      </c>
      <c r="G9">
        <v>1905</v>
      </c>
      <c r="H9">
        <v>89</v>
      </c>
      <c r="I9" t="str">
        <v>Complete</v>
      </c>
      <c r="J9" t="str">
        <v>Yes</v>
      </c>
      <c r="K9" t="str">
        <v>A. Reynolds</v>
      </c>
      <c r="L9">
        <v>46161.373611111114</v>
      </c>
    </row>
    <row r="10">
      <c r="A10">
        <v>46110</v>
      </c>
      <c r="B10" t="str">
        <v>DRV-002</v>
      </c>
      <c r="C10" t="str">
        <v>Maria E. Lopez</v>
      </c>
      <c r="D10">
        <v>2380</v>
      </c>
      <c r="E10">
        <v>710</v>
      </c>
      <c r="F10">
        <v>1670</v>
      </c>
      <c r="G10">
        <v>2015</v>
      </c>
      <c r="H10">
        <v>92</v>
      </c>
      <c r="I10" t="str">
        <v>Complete</v>
      </c>
      <c r="J10" t="str">
        <v>Yes</v>
      </c>
      <c r="K10" t="str">
        <v>D. Foster</v>
      </c>
      <c r="L10">
        <v>46112.39861111111</v>
      </c>
    </row>
    <row r="11">
      <c r="A11">
        <v>46117</v>
      </c>
      <c r="B11" t="str">
        <v>DRV-002</v>
      </c>
      <c r="C11" t="str">
        <v>Maria E. Lopez</v>
      </c>
      <c r="D11">
        <v>2455</v>
      </c>
      <c r="E11">
        <v>725</v>
      </c>
      <c r="F11">
        <v>1730</v>
      </c>
      <c r="G11">
        <v>2080</v>
      </c>
      <c r="H11">
        <v>93</v>
      </c>
      <c r="I11" t="str">
        <v>Complete</v>
      </c>
      <c r="J11" t="str">
        <v>Yes</v>
      </c>
      <c r="K11" t="str">
        <v>D. Foster</v>
      </c>
      <c r="L11">
        <v>46119.43472222222</v>
      </c>
    </row>
    <row r="12">
      <c r="A12">
        <v>46124</v>
      </c>
      <c r="B12" t="str">
        <v>DRV-002</v>
      </c>
      <c r="C12" t="str">
        <v>Maria E. Lopez</v>
      </c>
      <c r="D12">
        <v>2310</v>
      </c>
      <c r="E12">
        <v>695</v>
      </c>
      <c r="F12">
        <v>1615</v>
      </c>
      <c r="G12">
        <v>1960</v>
      </c>
      <c r="H12">
        <v>90</v>
      </c>
      <c r="I12" t="str">
        <v>Complete</v>
      </c>
      <c r="J12" t="str">
        <v>Yes</v>
      </c>
      <c r="K12" t="str">
        <v>D. Foster</v>
      </c>
      <c r="L12">
        <v>46126.376388888886</v>
      </c>
    </row>
    <row r="13">
      <c r="A13">
        <v>46131</v>
      </c>
      <c r="B13" t="str">
        <v>DRV-002</v>
      </c>
      <c r="C13" t="str">
        <v>Maria E. Lopez</v>
      </c>
      <c r="D13">
        <v>2525</v>
      </c>
      <c r="E13">
        <v>735</v>
      </c>
      <c r="F13">
        <v>1790</v>
      </c>
      <c r="G13">
        <v>2145</v>
      </c>
      <c r="H13">
        <v>95</v>
      </c>
      <c r="I13" t="str">
        <v>Complete</v>
      </c>
      <c r="J13" t="str">
        <v>Yes</v>
      </c>
      <c r="K13" t="str">
        <v>D. Foster</v>
      </c>
      <c r="L13">
        <v>46133.46319444444</v>
      </c>
    </row>
    <row r="14">
      <c r="A14">
        <v>46138</v>
      </c>
      <c r="B14" t="str">
        <v>DRV-002</v>
      </c>
      <c r="C14" t="str">
        <v>Maria E. Lopez</v>
      </c>
      <c r="D14">
        <v>2275</v>
      </c>
      <c r="E14">
        <v>690</v>
      </c>
      <c r="F14">
        <v>1585</v>
      </c>
      <c r="G14">
        <v>1910</v>
      </c>
      <c r="H14">
        <v>89</v>
      </c>
      <c r="I14" t="str">
        <v>Complete</v>
      </c>
      <c r="J14" t="str">
        <v>Yes</v>
      </c>
      <c r="K14" t="str">
        <v>D. Foster</v>
      </c>
      <c r="L14">
        <v>46140.41736111111</v>
      </c>
    </row>
    <row r="15">
      <c r="A15">
        <v>46145</v>
      </c>
      <c r="B15" t="str">
        <v>DRV-002</v>
      </c>
      <c r="C15" t="str">
        <v>Maria E. Lopez</v>
      </c>
      <c r="D15">
        <v>2590</v>
      </c>
      <c r="E15">
        <v>745</v>
      </c>
      <c r="F15">
        <v>1845</v>
      </c>
      <c r="G15">
        <v>2190</v>
      </c>
      <c r="H15">
        <v>96</v>
      </c>
      <c r="I15" t="str">
        <v>Complete</v>
      </c>
      <c r="J15" t="str">
        <v>Yes</v>
      </c>
      <c r="K15" t="str">
        <v>D. Foster</v>
      </c>
      <c r="L15">
        <v>46147.45486111111</v>
      </c>
    </row>
    <row r="16">
      <c r="A16">
        <v>46152</v>
      </c>
      <c r="B16" t="str">
        <v>DRV-002</v>
      </c>
      <c r="C16" t="str">
        <v>Maria E. Lopez</v>
      </c>
      <c r="D16">
        <v>2415</v>
      </c>
      <c r="E16">
        <v>715</v>
      </c>
      <c r="F16">
        <v>1700</v>
      </c>
      <c r="G16">
        <v>2035</v>
      </c>
      <c r="H16">
        <v>93</v>
      </c>
      <c r="I16" t="str">
        <v>Complete</v>
      </c>
      <c r="J16" t="str">
        <v>Yes</v>
      </c>
      <c r="K16" t="str">
        <v>D. Foster</v>
      </c>
      <c r="L16">
        <v>46155.402083333334</v>
      </c>
    </row>
    <row r="17">
      <c r="A17">
        <v>46159</v>
      </c>
      <c r="B17" t="str">
        <v>DRV-002</v>
      </c>
      <c r="C17" t="str">
        <v>Maria E. Lopez</v>
      </c>
      <c r="D17">
        <v>2550</v>
      </c>
      <c r="E17">
        <v>735</v>
      </c>
      <c r="F17">
        <v>1815</v>
      </c>
      <c r="G17">
        <v>2160</v>
      </c>
      <c r="H17">
        <v>95</v>
      </c>
      <c r="I17" t="str">
        <v>Complete</v>
      </c>
      <c r="J17" t="str">
        <v>Yes</v>
      </c>
      <c r="K17" t="str">
        <v>D. Foster</v>
      </c>
      <c r="L17">
        <v>46161.38263888889</v>
      </c>
    </row>
    <row r="18">
      <c r="A18">
        <v>46110</v>
      </c>
      <c r="B18" t="str">
        <v>DRV-003</v>
      </c>
      <c r="C18" t="str">
        <v>Alex J. Kim</v>
      </c>
      <c r="D18">
        <v>2620</v>
      </c>
      <c r="E18">
        <v>780</v>
      </c>
      <c r="F18">
        <v>1840</v>
      </c>
      <c r="G18">
        <v>2285</v>
      </c>
      <c r="H18">
        <v>94</v>
      </c>
      <c r="I18" t="str">
        <v>Complete</v>
      </c>
      <c r="J18" t="str">
        <v>Yes</v>
      </c>
      <c r="K18" t="str">
        <v>M. Chen</v>
      </c>
      <c r="L18">
        <v>46112.40833333333</v>
      </c>
    </row>
    <row r="19">
      <c r="A19">
        <v>46117</v>
      </c>
      <c r="B19" t="str">
        <v>DRV-003</v>
      </c>
      <c r="C19" t="str">
        <v>Alex J. Kim</v>
      </c>
      <c r="D19">
        <v>2745</v>
      </c>
      <c r="E19">
        <v>805</v>
      </c>
      <c r="F19">
        <v>1940</v>
      </c>
      <c r="G19">
        <v>2395</v>
      </c>
      <c r="H19">
        <v>96</v>
      </c>
      <c r="I19" t="str">
        <v>Complete</v>
      </c>
      <c r="J19" t="str">
        <v>Yes</v>
      </c>
      <c r="K19" t="str">
        <v>M. Chen</v>
      </c>
      <c r="L19">
        <v>46119.44305555556</v>
      </c>
    </row>
    <row r="20">
      <c r="A20">
        <v>46124</v>
      </c>
      <c r="B20" t="str">
        <v>DRV-003</v>
      </c>
      <c r="C20" t="str">
        <v>Alex J. Kim</v>
      </c>
      <c r="D20">
        <v>2590</v>
      </c>
      <c r="E20">
        <v>775</v>
      </c>
      <c r="F20">
        <v>1815</v>
      </c>
      <c r="G20">
        <v>2250</v>
      </c>
      <c r="H20">
        <v>93</v>
      </c>
      <c r="I20" t="str">
        <v>Complete</v>
      </c>
      <c r="J20" t="str">
        <v>Yes</v>
      </c>
      <c r="K20" t="str">
        <v>M. Chen</v>
      </c>
      <c r="L20">
        <v>46126.39375</v>
      </c>
    </row>
    <row r="21">
      <c r="A21">
        <v>46131</v>
      </c>
      <c r="B21" t="str">
        <v>DRV-003</v>
      </c>
      <c r="C21" t="str">
        <v>Alex J. Kim</v>
      </c>
      <c r="D21">
        <v>2810</v>
      </c>
      <c r="E21">
        <v>815</v>
      </c>
      <c r="F21">
        <v>1995</v>
      </c>
      <c r="G21">
        <v>2445</v>
      </c>
      <c r="H21">
        <v>97</v>
      </c>
      <c r="I21" t="str">
        <v>Complete</v>
      </c>
      <c r="J21" t="str">
        <v>Yes</v>
      </c>
      <c r="K21" t="str">
        <v>M. Chen</v>
      </c>
      <c r="L21">
        <v>46133.47430555556</v>
      </c>
    </row>
    <row r="22">
      <c r="A22">
        <v>46138</v>
      </c>
      <c r="B22" t="str">
        <v>DRV-003</v>
      </c>
      <c r="C22" t="str">
        <v>Alex J. Kim</v>
      </c>
      <c r="D22">
        <v>2545</v>
      </c>
      <c r="E22">
        <v>770</v>
      </c>
      <c r="F22">
        <v>1775</v>
      </c>
      <c r="G22">
        <v>2210</v>
      </c>
      <c r="H22">
        <v>92</v>
      </c>
      <c r="I22" t="str">
        <v>Complete</v>
      </c>
      <c r="J22" t="str">
        <v>Yes</v>
      </c>
      <c r="K22" t="str">
        <v>M. Chen</v>
      </c>
      <c r="L22">
        <v>46140.42291666667</v>
      </c>
    </row>
    <row r="23">
      <c r="A23">
        <v>46145</v>
      </c>
      <c r="B23" t="str">
        <v>DRV-003</v>
      </c>
      <c r="C23" t="str">
        <v>Alex J. Kim</v>
      </c>
      <c r="D23">
        <v>2865</v>
      </c>
      <c r="E23">
        <v>825</v>
      </c>
      <c r="F23">
        <v>2040</v>
      </c>
      <c r="G23">
        <v>2485</v>
      </c>
      <c r="H23">
        <v>98</v>
      </c>
      <c r="I23" t="str">
        <v>Complete</v>
      </c>
      <c r="J23" t="str">
        <v>Yes</v>
      </c>
      <c r="K23" t="str">
        <v>M. Chen</v>
      </c>
      <c r="L23">
        <v>46147.45972222222</v>
      </c>
    </row>
    <row r="24">
      <c r="A24">
        <v>46152</v>
      </c>
      <c r="B24" t="str">
        <v>DRV-003</v>
      </c>
      <c r="C24" t="str">
        <v>Alex J. Kim</v>
      </c>
      <c r="D24">
        <v>2680</v>
      </c>
      <c r="E24">
        <v>795</v>
      </c>
      <c r="F24">
        <v>1885</v>
      </c>
      <c r="G24">
        <v>2320</v>
      </c>
      <c r="H24">
        <v>95</v>
      </c>
      <c r="I24" t="str">
        <v>Complete</v>
      </c>
      <c r="J24" t="str">
        <v>Yes</v>
      </c>
      <c r="K24" t="str">
        <v>M. Chen</v>
      </c>
      <c r="L24">
        <v>46155.410416666666</v>
      </c>
    </row>
    <row r="25">
      <c r="A25">
        <v>46159</v>
      </c>
      <c r="B25" t="str">
        <v>DRV-003</v>
      </c>
      <c r="C25" t="str">
        <v>Alex J. Kim</v>
      </c>
      <c r="D25">
        <v>2795</v>
      </c>
      <c r="E25">
        <v>810</v>
      </c>
      <c r="F25">
        <v>1985</v>
      </c>
      <c r="G25">
        <v>2430</v>
      </c>
      <c r="H25">
        <v>97</v>
      </c>
      <c r="I25" t="str">
        <v>Complete</v>
      </c>
      <c r="J25" t="str">
        <v>Yes</v>
      </c>
      <c r="K25" t="str">
        <v>M. Chen</v>
      </c>
      <c r="L25">
        <v>46161.39166666667</v>
      </c>
    </row>
    <row r="26">
      <c r="A26">
        <v>46110</v>
      </c>
      <c r="B26" t="str">
        <v>DRV-004</v>
      </c>
      <c r="C26" t="str">
        <v>Priya A. Patel</v>
      </c>
      <c r="D26">
        <v>2075</v>
      </c>
      <c r="E26">
        <v>610</v>
      </c>
      <c r="F26">
        <v>1465</v>
      </c>
      <c r="G26">
        <v>1760</v>
      </c>
      <c r="H26">
        <v>85</v>
      </c>
      <c r="I26" t="str">
        <v>Complete</v>
      </c>
      <c r="J26" t="str">
        <v>Yes</v>
      </c>
      <c r="K26" t="str">
        <v>S. Howard</v>
      </c>
      <c r="L26">
        <v>46112.388194444444</v>
      </c>
    </row>
    <row r="27">
      <c r="A27">
        <v>46117</v>
      </c>
      <c r="B27" t="str">
        <v>DRV-004</v>
      </c>
      <c r="C27" t="str">
        <v>Priya A. Patel</v>
      </c>
      <c r="D27">
        <v>2190</v>
      </c>
      <c r="E27">
        <v>630</v>
      </c>
      <c r="F27">
        <v>1560</v>
      </c>
      <c r="G27">
        <v>1845</v>
      </c>
      <c r="H27">
        <v>87</v>
      </c>
      <c r="I27" t="str">
        <v>Complete</v>
      </c>
      <c r="J27" t="str">
        <v>Yes</v>
      </c>
      <c r="K27" t="str">
        <v>S. Howard</v>
      </c>
      <c r="L27">
        <v>46119.42291666667</v>
      </c>
    </row>
    <row r="28">
      <c r="A28">
        <v>46124</v>
      </c>
      <c r="B28" t="str">
        <v>DRV-004</v>
      </c>
      <c r="C28" t="str">
        <v>Priya A. Patel</v>
      </c>
      <c r="D28">
        <v>2030</v>
      </c>
      <c r="E28">
        <v>600</v>
      </c>
      <c r="F28">
        <v>1430</v>
      </c>
      <c r="G28">
        <v>1715</v>
      </c>
      <c r="H28">
        <v>83</v>
      </c>
      <c r="I28" t="str">
        <v>Complete</v>
      </c>
      <c r="J28" t="str">
        <v>Yes</v>
      </c>
      <c r="K28" t="str">
        <v>S. Howard</v>
      </c>
      <c r="L28">
        <v>46126.37430555555</v>
      </c>
    </row>
    <row r="29">
      <c r="A29">
        <v>46131</v>
      </c>
      <c r="B29" t="str">
        <v>DRV-004</v>
      </c>
      <c r="C29" t="str">
        <v>Priya A. Patel</v>
      </c>
      <c r="D29">
        <v>2235</v>
      </c>
      <c r="E29">
        <v>640</v>
      </c>
      <c r="F29">
        <v>1595</v>
      </c>
      <c r="G29">
        <v>1870</v>
      </c>
      <c r="H29">
        <v>88</v>
      </c>
      <c r="I29" t="str">
        <v>Complete</v>
      </c>
      <c r="J29" t="str">
        <v>Yes</v>
      </c>
      <c r="K29" t="str">
        <v>S. Howard</v>
      </c>
      <c r="L29">
        <v>46133.459027777775</v>
      </c>
    </row>
    <row r="30">
      <c r="A30">
        <v>46138</v>
      </c>
      <c r="B30" t="str">
        <v>DRV-004</v>
      </c>
      <c r="C30" t="str">
        <v>Priya A. Patel</v>
      </c>
      <c r="D30">
        <v>1985</v>
      </c>
      <c r="E30">
        <v>590</v>
      </c>
      <c r="F30">
        <v>1395</v>
      </c>
      <c r="G30">
        <v>1680</v>
      </c>
      <c r="H30">
        <v>81</v>
      </c>
      <c r="I30" t="str">
        <v>Complete</v>
      </c>
      <c r="J30" t="str">
        <v>Yes</v>
      </c>
      <c r="K30" t="str">
        <v>S. Howard</v>
      </c>
      <c r="L30">
        <v>46140.40555555555</v>
      </c>
    </row>
    <row r="31">
      <c r="A31">
        <v>46145</v>
      </c>
      <c r="B31" t="str">
        <v>DRV-004</v>
      </c>
      <c r="C31" t="str">
        <v>Priya A. Patel</v>
      </c>
      <c r="D31">
        <v>2260</v>
      </c>
      <c r="E31">
        <v>645</v>
      </c>
      <c r="F31">
        <v>1615</v>
      </c>
      <c r="G31">
        <v>1895</v>
      </c>
      <c r="H31">
        <v>89</v>
      </c>
      <c r="I31" t="str">
        <v>Complete</v>
      </c>
      <c r="J31" t="str">
        <v>Yes</v>
      </c>
      <c r="K31" t="str">
        <v>S. Howard</v>
      </c>
      <c r="L31">
        <v>46147.42986111111</v>
      </c>
    </row>
    <row r="32">
      <c r="A32">
        <v>46152</v>
      </c>
      <c r="B32" t="str">
        <v>DRV-004</v>
      </c>
      <c r="C32" t="str">
        <v>Priya A. Patel</v>
      </c>
      <c r="D32">
        <v>2110</v>
      </c>
      <c r="E32">
        <v>615</v>
      </c>
      <c r="F32">
        <v>1495</v>
      </c>
      <c r="G32">
        <v>1775</v>
      </c>
      <c r="H32">
        <v>86</v>
      </c>
      <c r="I32" t="str">
        <v>Complete</v>
      </c>
      <c r="J32" t="str">
        <v>Yes</v>
      </c>
      <c r="K32" t="str">
        <v>S. Howard</v>
      </c>
      <c r="L32">
        <v>46155.39791666667</v>
      </c>
    </row>
    <row r="33">
      <c r="A33">
        <v>46159</v>
      </c>
      <c r="B33" t="str">
        <v>DRV-004</v>
      </c>
      <c r="C33" t="str">
        <v>Priya A. Patel</v>
      </c>
      <c r="D33">
        <v>2225</v>
      </c>
      <c r="E33">
        <v>635</v>
      </c>
      <c r="F33">
        <v>1590</v>
      </c>
      <c r="G33">
        <v>1860</v>
      </c>
      <c r="H33">
        <v>88</v>
      </c>
      <c r="I33" t="str">
        <v>Complete</v>
      </c>
      <c r="J33" t="str">
        <v>Yes</v>
      </c>
      <c r="K33" t="str">
        <v>S. Howard</v>
      </c>
      <c r="L33">
        <v>46161.379166666666</v>
      </c>
    </row>
    <row r="34">
      <c r="A34">
        <v>46110</v>
      </c>
      <c r="B34" t="str">
        <v>DRV-005</v>
      </c>
      <c r="C34" t="str">
        <v>Kenji H. Tanaka</v>
      </c>
      <c r="D34">
        <v>2450</v>
      </c>
      <c r="E34">
        <v>700</v>
      </c>
      <c r="F34">
        <v>1750</v>
      </c>
      <c r="G34">
        <v>2050</v>
      </c>
      <c r="H34">
        <v>91</v>
      </c>
      <c r="I34" t="str">
        <v>Complete</v>
      </c>
      <c r="J34" t="str">
        <v>Yes</v>
      </c>
      <c r="K34" t="str">
        <v>L. Rivera</v>
      </c>
      <c r="L34">
        <v>46112.39375</v>
      </c>
    </row>
    <row r="35">
      <c r="A35">
        <v>46117</v>
      </c>
      <c r="B35" t="str">
        <v>DRV-005</v>
      </c>
      <c r="C35" t="str">
        <v>Kenji H. Tanaka</v>
      </c>
      <c r="D35">
        <v>2575</v>
      </c>
      <c r="E35">
        <v>720</v>
      </c>
      <c r="F35">
        <v>1855</v>
      </c>
      <c r="G35">
        <v>2140</v>
      </c>
      <c r="H35">
        <v>93</v>
      </c>
      <c r="I35" t="str">
        <v>Complete</v>
      </c>
      <c r="J35" t="str">
        <v>Yes</v>
      </c>
      <c r="K35" t="str">
        <v>L. Rivera</v>
      </c>
      <c r="L35">
        <v>46119.42638888889</v>
      </c>
    </row>
    <row r="36">
      <c r="A36">
        <v>46124</v>
      </c>
      <c r="B36" t="str">
        <v>DRV-005</v>
      </c>
      <c r="C36" t="str">
        <v>Kenji H. Tanaka</v>
      </c>
      <c r="D36">
        <v>2390</v>
      </c>
      <c r="E36">
        <v>685</v>
      </c>
      <c r="F36">
        <v>1705</v>
      </c>
      <c r="G36">
        <v>1985</v>
      </c>
      <c r="H36">
        <v>89</v>
      </c>
      <c r="I36" t="str">
        <v>Complete</v>
      </c>
      <c r="J36" t="str">
        <v>Yes</v>
      </c>
      <c r="K36" t="str">
        <v>L. Rivera</v>
      </c>
      <c r="L36">
        <v>46126.37847222222</v>
      </c>
    </row>
    <row r="37">
      <c r="A37">
        <v>46131</v>
      </c>
      <c r="B37" t="str">
        <v>DRV-005</v>
      </c>
      <c r="C37" t="str">
        <v>Kenji H. Tanaka</v>
      </c>
      <c r="D37">
        <v>2620</v>
      </c>
      <c r="E37">
        <v>730</v>
      </c>
      <c r="F37">
        <v>1890</v>
      </c>
      <c r="G37">
        <v>2175</v>
      </c>
      <c r="H37">
        <v>94</v>
      </c>
      <c r="I37" t="str">
        <v>Complete</v>
      </c>
      <c r="J37" t="str">
        <v>Yes</v>
      </c>
      <c r="K37" t="str">
        <v>L. Rivera</v>
      </c>
      <c r="L37">
        <v>46133.46666666667</v>
      </c>
    </row>
    <row r="38">
      <c r="A38">
        <v>46138</v>
      </c>
      <c r="B38" t="str">
        <v>DRV-005</v>
      </c>
      <c r="C38" t="str">
        <v>Kenji H. Tanaka</v>
      </c>
      <c r="D38">
        <v>2365</v>
      </c>
      <c r="E38">
        <v>680</v>
      </c>
      <c r="F38">
        <v>1685</v>
      </c>
      <c r="G38">
        <v>1960</v>
      </c>
      <c r="H38">
        <v>88</v>
      </c>
      <c r="I38" t="str">
        <v>Complete</v>
      </c>
      <c r="J38" t="str">
        <v>Yes</v>
      </c>
      <c r="K38" t="str">
        <v>L. Rivera</v>
      </c>
      <c r="L38">
        <v>46140.41527777778</v>
      </c>
    </row>
    <row r="39">
      <c r="A39">
        <v>46145</v>
      </c>
      <c r="B39" t="str">
        <v>DRV-005</v>
      </c>
      <c r="C39" t="str">
        <v>Kenji H. Tanaka</v>
      </c>
      <c r="D39">
        <v>2665</v>
      </c>
      <c r="E39">
        <v>740</v>
      </c>
      <c r="F39">
        <v>1925</v>
      </c>
      <c r="G39">
        <v>2210</v>
      </c>
      <c r="H39">
        <v>95</v>
      </c>
      <c r="I39" t="str">
        <v>Complete</v>
      </c>
      <c r="J39" t="str">
        <v>Yes</v>
      </c>
      <c r="K39" t="str">
        <v>L. Rivera</v>
      </c>
      <c r="L39">
        <v>46147.441666666666</v>
      </c>
    </row>
    <row r="40">
      <c r="A40">
        <v>46152</v>
      </c>
      <c r="B40" t="str">
        <v>DRV-005</v>
      </c>
      <c r="C40" t="str">
        <v>Kenji H. Tanaka</v>
      </c>
      <c r="D40">
        <v>2485</v>
      </c>
      <c r="E40">
        <v>705</v>
      </c>
      <c r="F40">
        <v>1780</v>
      </c>
      <c r="G40">
        <v>2045</v>
      </c>
      <c r="H40">
        <v>91</v>
      </c>
      <c r="I40" t="str">
        <v>Complete</v>
      </c>
      <c r="J40" t="str">
        <v>Yes</v>
      </c>
      <c r="K40" t="str">
        <v>L. Rivera</v>
      </c>
      <c r="L40">
        <v>46155.40347222222</v>
      </c>
    </row>
    <row r="41">
      <c r="A41">
        <v>46159</v>
      </c>
      <c r="B41" t="str">
        <v>DRV-005</v>
      </c>
      <c r="C41" t="str">
        <v>Kenji H. Tanaka</v>
      </c>
      <c r="D41">
        <v>2605</v>
      </c>
      <c r="E41">
        <v>725</v>
      </c>
      <c r="F41">
        <v>1880</v>
      </c>
      <c r="G41">
        <v>2150</v>
      </c>
      <c r="H41">
        <v>93</v>
      </c>
      <c r="I41" t="str">
        <v>Complete</v>
      </c>
      <c r="J41" t="str">
        <v>Yes</v>
      </c>
      <c r="K41" t="str">
        <v>L. Rivera</v>
      </c>
      <c r="L41">
        <v>46161.388194444444</v>
      </c>
    </row>
    <row r="42">
      <c r="A42">
        <v>46110</v>
      </c>
      <c r="B42" t="str">
        <v>DRV-006</v>
      </c>
      <c r="C42" t="str">
        <v>Marcus W. Chen</v>
      </c>
      <c r="D42">
        <v>2320</v>
      </c>
      <c r="E42">
        <v>675</v>
      </c>
      <c r="F42">
        <v>1645</v>
      </c>
      <c r="G42">
        <v>1940</v>
      </c>
      <c r="H42">
        <v>89</v>
      </c>
      <c r="I42" t="str">
        <v>Complete</v>
      </c>
      <c r="J42" t="str">
        <v>Yes</v>
      </c>
      <c r="K42" t="str">
        <v>R. Collins</v>
      </c>
      <c r="L42">
        <v>46112.39791666667</v>
      </c>
    </row>
    <row r="43">
      <c r="A43">
        <v>46117</v>
      </c>
      <c r="B43" t="str">
        <v>DRV-006</v>
      </c>
      <c r="C43" t="str">
        <v>Marcus W. Chen</v>
      </c>
      <c r="D43">
        <v>2440</v>
      </c>
      <c r="E43">
        <v>695</v>
      </c>
      <c r="F43">
        <v>1745</v>
      </c>
      <c r="G43">
        <v>2035</v>
      </c>
      <c r="H43">
        <v>91</v>
      </c>
      <c r="I43" t="str">
        <v>Complete</v>
      </c>
      <c r="J43" t="str">
        <v>Yes</v>
      </c>
      <c r="K43" t="str">
        <v>R. Collins</v>
      </c>
      <c r="L43">
        <v>46119.43125</v>
      </c>
    </row>
    <row r="44">
      <c r="A44">
        <v>46124</v>
      </c>
      <c r="B44" t="str">
        <v>DRV-006</v>
      </c>
      <c r="C44" t="str">
        <v>Marcus W. Chen</v>
      </c>
      <c r="D44">
        <v>2275</v>
      </c>
      <c r="E44">
        <v>665</v>
      </c>
      <c r="F44">
        <v>1610</v>
      </c>
      <c r="G44">
        <v>1890</v>
      </c>
      <c r="H44">
        <v>87</v>
      </c>
      <c r="I44" t="str">
        <v>Complete</v>
      </c>
      <c r="J44" t="str">
        <v>Yes</v>
      </c>
      <c r="K44" t="str">
        <v>R. Collins</v>
      </c>
      <c r="L44">
        <v>46126.38263888889</v>
      </c>
    </row>
    <row r="45">
      <c r="A45">
        <v>46131</v>
      </c>
      <c r="B45" t="str">
        <v>DRV-006</v>
      </c>
      <c r="C45" t="str">
        <v>Marcus W. Chen</v>
      </c>
      <c r="D45">
        <v>2480</v>
      </c>
      <c r="E45">
        <v>705</v>
      </c>
      <c r="F45">
        <v>1775</v>
      </c>
      <c r="G45">
        <v>2065</v>
      </c>
      <c r="H45">
        <v>92</v>
      </c>
      <c r="I45" t="str">
        <v>Complete</v>
      </c>
      <c r="J45" t="str">
        <v>Yes</v>
      </c>
      <c r="K45" t="str">
        <v>R. Collins</v>
      </c>
      <c r="L45">
        <v>46133.46944444445</v>
      </c>
    </row>
    <row r="46">
      <c r="A46">
        <v>46138</v>
      </c>
      <c r="B46" t="str">
        <v>DRV-006</v>
      </c>
      <c r="C46" t="str">
        <v>Marcus W. Chen</v>
      </c>
      <c r="D46">
        <v>2235</v>
      </c>
      <c r="E46">
        <v>660</v>
      </c>
      <c r="F46">
        <v>1575</v>
      </c>
      <c r="G46">
        <v>1845</v>
      </c>
      <c r="H46">
        <v>86</v>
      </c>
      <c r="I46" t="str">
        <v>Complete</v>
      </c>
      <c r="J46" t="str">
        <v>Yes</v>
      </c>
      <c r="K46" t="str">
        <v>R. Collins</v>
      </c>
      <c r="L46">
        <v>46140.41875</v>
      </c>
    </row>
    <row r="47">
      <c r="A47">
        <v>46145</v>
      </c>
      <c r="B47" t="str">
        <v>DRV-006</v>
      </c>
      <c r="C47" t="str">
        <v>Marcus W. Chen</v>
      </c>
      <c r="D47">
        <v>2520</v>
      </c>
      <c r="E47">
        <v>710</v>
      </c>
      <c r="F47">
        <v>1810</v>
      </c>
      <c r="G47">
        <v>2090</v>
      </c>
      <c r="H47">
        <v>93</v>
      </c>
      <c r="I47" t="str">
        <v>Complete</v>
      </c>
      <c r="J47" t="str">
        <v>Yes</v>
      </c>
      <c r="K47" t="str">
        <v>R. Collins</v>
      </c>
      <c r="L47">
        <v>46147.44652777778</v>
      </c>
    </row>
    <row r="48">
      <c r="A48">
        <v>46152</v>
      </c>
      <c r="B48" t="str">
        <v>DRV-006</v>
      </c>
      <c r="C48" t="str">
        <v>Marcus W. Chen</v>
      </c>
      <c r="D48">
        <v>2360</v>
      </c>
      <c r="E48">
        <v>680</v>
      </c>
      <c r="F48">
        <v>1680</v>
      </c>
      <c r="G48">
        <v>1960</v>
      </c>
      <c r="H48">
        <v>89</v>
      </c>
      <c r="I48" t="str">
        <v>Complete</v>
      </c>
      <c r="J48" t="str">
        <v>Yes</v>
      </c>
      <c r="K48" t="str">
        <v>R. Collins</v>
      </c>
      <c r="L48">
        <v>46155.407638888886</v>
      </c>
    </row>
    <row r="49">
      <c r="A49">
        <v>46159</v>
      </c>
      <c r="B49" t="str">
        <v>DRV-006</v>
      </c>
      <c r="C49" t="str">
        <v>Marcus W. Chen</v>
      </c>
      <c r="D49">
        <v>2475</v>
      </c>
      <c r="E49">
        <v>700</v>
      </c>
      <c r="F49">
        <v>1775</v>
      </c>
      <c r="G49">
        <v>2050</v>
      </c>
      <c r="H49">
        <v>91</v>
      </c>
      <c r="I49" t="str">
        <v>Complete</v>
      </c>
      <c r="J49" t="str">
        <v>Yes</v>
      </c>
      <c r="K49" t="str">
        <v>R. Collins</v>
      </c>
      <c r="L49">
        <v>46161.39097222222</v>
      </c>
    </row>
    <row r="50">
      <c r="A50">
        <v>46110</v>
      </c>
      <c r="B50" t="str">
        <v>DRV-007</v>
      </c>
      <c r="C50" t="str">
        <v>Sofia I. Gomez</v>
      </c>
      <c r="D50">
        <v>2210</v>
      </c>
      <c r="E50">
        <v>650</v>
      </c>
      <c r="F50">
        <v>1560</v>
      </c>
      <c r="G50">
        <v>1865</v>
      </c>
      <c r="H50">
        <v>88</v>
      </c>
      <c r="I50" t="str">
        <v>Complete</v>
      </c>
      <c r="J50" t="str">
        <v>Yes</v>
      </c>
      <c r="K50" t="str">
        <v>K. Morales</v>
      </c>
      <c r="L50">
        <v>46112.38958333333</v>
      </c>
    </row>
    <row r="51">
      <c r="A51">
        <v>46117</v>
      </c>
      <c r="B51" t="str">
        <v>DRV-007</v>
      </c>
      <c r="C51" t="str">
        <v>Sofia I. Gomez</v>
      </c>
      <c r="D51">
        <v>2335</v>
      </c>
      <c r="E51">
        <v>670</v>
      </c>
      <c r="F51">
        <v>1665</v>
      </c>
      <c r="G51">
        <v>1955</v>
      </c>
      <c r="H51">
        <v>90</v>
      </c>
      <c r="I51" t="str">
        <v>Complete</v>
      </c>
      <c r="J51" t="str">
        <v>Yes</v>
      </c>
      <c r="K51" t="str">
        <v>K. Morales</v>
      </c>
      <c r="L51">
        <v>46119.425</v>
      </c>
    </row>
    <row r="52">
      <c r="A52">
        <v>46124</v>
      </c>
      <c r="B52" t="str">
        <v>DRV-007</v>
      </c>
      <c r="C52" t="str">
        <v>Sofia I. Gomez</v>
      </c>
      <c r="D52">
        <v>2165</v>
      </c>
      <c r="E52">
        <v>640</v>
      </c>
      <c r="F52">
        <v>1525</v>
      </c>
      <c r="G52">
        <v>1810</v>
      </c>
      <c r="H52">
        <v>86</v>
      </c>
      <c r="I52" t="str">
        <v>Complete</v>
      </c>
      <c r="J52" t="str">
        <v>Yes</v>
      </c>
      <c r="K52" t="str">
        <v>K. Morales</v>
      </c>
      <c r="L52">
        <v>46126.37708333333</v>
      </c>
    </row>
    <row r="53">
      <c r="A53">
        <v>46131</v>
      </c>
      <c r="B53" t="str">
        <v>DRV-007</v>
      </c>
      <c r="C53" t="str">
        <v>Sofia I. Gomez</v>
      </c>
      <c r="D53">
        <v>2370</v>
      </c>
      <c r="E53">
        <v>680</v>
      </c>
      <c r="F53">
        <v>1690</v>
      </c>
      <c r="G53">
        <v>1980</v>
      </c>
      <c r="H53">
        <v>91</v>
      </c>
      <c r="I53" t="str">
        <v>Complete</v>
      </c>
      <c r="J53" t="str">
        <v>Yes</v>
      </c>
      <c r="K53" t="str">
        <v>K. Morales</v>
      </c>
      <c r="L53">
        <v>46133.46111111111</v>
      </c>
    </row>
    <row r="54">
      <c r="A54">
        <v>46138</v>
      </c>
      <c r="B54" t="str">
        <v>DRV-007</v>
      </c>
      <c r="C54" t="str">
        <v>Sofia I. Gomez</v>
      </c>
      <c r="D54">
        <v>2130</v>
      </c>
      <c r="E54">
        <v>635</v>
      </c>
      <c r="F54">
        <v>1495</v>
      </c>
      <c r="G54">
        <v>1780</v>
      </c>
      <c r="H54">
        <v>85</v>
      </c>
      <c r="I54" t="str">
        <v>Complete</v>
      </c>
      <c r="J54" t="str">
        <v>Yes</v>
      </c>
      <c r="K54" t="str">
        <v>K. Morales</v>
      </c>
      <c r="L54">
        <v>46140.40902777778</v>
      </c>
    </row>
    <row r="55">
      <c r="A55">
        <v>46145</v>
      </c>
      <c r="B55" t="str">
        <v>DRV-007</v>
      </c>
      <c r="C55" t="str">
        <v>Sofia I. Gomez</v>
      </c>
      <c r="D55">
        <v>2415</v>
      </c>
      <c r="E55">
        <v>685</v>
      </c>
      <c r="F55">
        <v>1730</v>
      </c>
      <c r="G55">
        <v>2010</v>
      </c>
      <c r="H55">
        <v>92</v>
      </c>
      <c r="I55" t="str">
        <v>Complete</v>
      </c>
      <c r="J55" t="str">
        <v>Yes</v>
      </c>
      <c r="K55" t="str">
        <v>K. Morales</v>
      </c>
      <c r="L55">
        <v>46147.436111111114</v>
      </c>
    </row>
    <row r="56">
      <c r="A56">
        <v>46152</v>
      </c>
      <c r="B56" t="str">
        <v>DRV-007</v>
      </c>
      <c r="C56" t="str">
        <v>Sofia I. Gomez</v>
      </c>
      <c r="D56">
        <v>2250</v>
      </c>
      <c r="E56">
        <v>655</v>
      </c>
      <c r="F56">
        <v>1595</v>
      </c>
      <c r="G56">
        <v>1875</v>
      </c>
      <c r="H56">
        <v>88</v>
      </c>
      <c r="I56" t="str">
        <v>Complete</v>
      </c>
      <c r="J56" t="str">
        <v>Yes</v>
      </c>
      <c r="K56" t="str">
        <v>K. Morales</v>
      </c>
      <c r="L56">
        <v>46155.4</v>
      </c>
    </row>
    <row r="57">
      <c r="A57">
        <v>46159</v>
      </c>
      <c r="B57" t="str">
        <v>DRV-007</v>
      </c>
      <c r="C57" t="str">
        <v>Sofia I. Gomez</v>
      </c>
      <c r="D57">
        <v>2365</v>
      </c>
      <c r="E57">
        <v>675</v>
      </c>
      <c r="F57">
        <v>1690</v>
      </c>
      <c r="G57">
        <v>1970</v>
      </c>
      <c r="H57">
        <v>90</v>
      </c>
      <c r="I57" t="str">
        <v>Complete</v>
      </c>
      <c r="J57" t="str">
        <v>Yes</v>
      </c>
      <c r="K57" t="str">
        <v>K. Morales</v>
      </c>
      <c r="L57">
        <v>46161.385416666664</v>
      </c>
    </row>
    <row r="58">
      <c r="A58">
        <v>46110</v>
      </c>
      <c r="B58" t="str">
        <v>DRV-008</v>
      </c>
      <c r="C58" t="str">
        <v>Liam P. Smith</v>
      </c>
      <c r="D58">
        <v>2295</v>
      </c>
      <c r="E58">
        <v>665</v>
      </c>
      <c r="F58">
        <v>1630</v>
      </c>
      <c r="G58">
        <v>1920</v>
      </c>
      <c r="H58">
        <v>89</v>
      </c>
      <c r="I58" t="str">
        <v>Complete</v>
      </c>
      <c r="J58" t="str">
        <v>Yes</v>
      </c>
      <c r="K58" t="str">
        <v>J. Turner</v>
      </c>
      <c r="L58">
        <v>46112.39513888889</v>
      </c>
    </row>
    <row r="59">
      <c r="A59">
        <v>46117</v>
      </c>
      <c r="B59" t="str">
        <v>DRV-008</v>
      </c>
      <c r="C59" t="str">
        <v>Liam P. Smith</v>
      </c>
      <c r="D59">
        <v>2410</v>
      </c>
      <c r="E59">
        <v>685</v>
      </c>
      <c r="F59">
        <v>1725</v>
      </c>
      <c r="G59">
        <v>2010</v>
      </c>
      <c r="H59">
        <v>91</v>
      </c>
      <c r="I59" t="str">
        <v>Complete</v>
      </c>
      <c r="J59" t="str">
        <v>Yes</v>
      </c>
      <c r="K59" t="str">
        <v>J. Turner</v>
      </c>
      <c r="L59">
        <v>46119.42916666667</v>
      </c>
    </row>
    <row r="60">
      <c r="A60">
        <v>46124</v>
      </c>
      <c r="B60" t="str">
        <v>DRV-008</v>
      </c>
      <c r="C60" t="str">
        <v>Liam P. Smith</v>
      </c>
      <c r="D60">
        <v>2240</v>
      </c>
      <c r="E60">
        <v>655</v>
      </c>
      <c r="F60">
        <v>1585</v>
      </c>
      <c r="G60">
        <v>1875</v>
      </c>
      <c r="H60">
        <v>87</v>
      </c>
      <c r="I60" t="str">
        <v>Complete</v>
      </c>
      <c r="J60" t="str">
        <v>Yes</v>
      </c>
      <c r="K60" t="str">
        <v>J. Turner</v>
      </c>
      <c r="L60">
        <v>46126.38125</v>
      </c>
    </row>
    <row r="61">
      <c r="A61">
        <v>46131</v>
      </c>
      <c r="B61" t="str">
        <v>DRV-008</v>
      </c>
      <c r="C61" t="str">
        <v>Liam P. Smith</v>
      </c>
      <c r="D61">
        <v>2450</v>
      </c>
      <c r="E61">
        <v>695</v>
      </c>
      <c r="F61">
        <v>1755</v>
      </c>
      <c r="G61">
        <v>2045</v>
      </c>
      <c r="H61">
        <v>92</v>
      </c>
      <c r="I61" t="str">
        <v>Complete</v>
      </c>
      <c r="J61" t="str">
        <v>Yes</v>
      </c>
      <c r="K61" t="str">
        <v>J. Turner</v>
      </c>
      <c r="L61">
        <v>46133.46527777778</v>
      </c>
    </row>
    <row r="62">
      <c r="A62">
        <v>46138</v>
      </c>
      <c r="B62" t="str">
        <v>DRV-008</v>
      </c>
      <c r="C62" t="str">
        <v>Liam P. Smith</v>
      </c>
      <c r="D62">
        <v>2205</v>
      </c>
      <c r="E62">
        <v>650</v>
      </c>
      <c r="F62">
        <v>1555</v>
      </c>
      <c r="G62">
        <v>1825</v>
      </c>
      <c r="H62">
        <v>86</v>
      </c>
      <c r="I62" t="str">
        <v>Complete</v>
      </c>
      <c r="J62" t="str">
        <v>Yes</v>
      </c>
      <c r="K62" t="str">
        <v>J. Turner</v>
      </c>
      <c r="L62">
        <v>46140.41388888889</v>
      </c>
    </row>
    <row r="63">
      <c r="A63">
        <v>46145</v>
      </c>
      <c r="B63" t="str">
        <v>DRV-008</v>
      </c>
      <c r="C63" t="str">
        <v>Liam P. Smith</v>
      </c>
      <c r="D63">
        <v>2490</v>
      </c>
      <c r="E63">
        <v>700</v>
      </c>
      <c r="F63">
        <v>1790</v>
      </c>
      <c r="G63">
        <v>2070</v>
      </c>
      <c r="H63">
        <v>93</v>
      </c>
      <c r="I63" t="str">
        <v>Complete</v>
      </c>
      <c r="J63" t="str">
        <v>Yes</v>
      </c>
      <c r="K63" t="str">
        <v>J. Turner</v>
      </c>
      <c r="L63">
        <v>46147.44375</v>
      </c>
    </row>
    <row r="64">
      <c r="A64">
        <v>46152</v>
      </c>
      <c r="B64" t="str">
        <v>DRV-008</v>
      </c>
      <c r="C64" t="str">
        <v>Liam P. Smith</v>
      </c>
      <c r="D64">
        <v>2330</v>
      </c>
      <c r="E64">
        <v>670</v>
      </c>
      <c r="F64">
        <v>1660</v>
      </c>
      <c r="G64">
        <v>1940</v>
      </c>
      <c r="H64">
        <v>89</v>
      </c>
      <c r="I64" t="str">
        <v>Complete</v>
      </c>
      <c r="J64" t="str">
        <v>Yes</v>
      </c>
      <c r="K64" t="str">
        <v>J. Turner</v>
      </c>
      <c r="L64">
        <v>46155.40555555555</v>
      </c>
    </row>
    <row r="65">
      <c r="A65">
        <v>46159</v>
      </c>
      <c r="B65" t="str">
        <v>DRV-008</v>
      </c>
      <c r="C65" t="str">
        <v>Liam P. Smith</v>
      </c>
      <c r="D65">
        <v>2445</v>
      </c>
      <c r="E65">
        <v>690</v>
      </c>
      <c r="F65">
        <v>1755</v>
      </c>
      <c r="G65">
        <v>2035</v>
      </c>
      <c r="H65">
        <v>91</v>
      </c>
      <c r="I65" t="str">
        <v>Complete</v>
      </c>
      <c r="J65" t="str">
        <v>Yes</v>
      </c>
      <c r="K65" t="str">
        <v>J. Turner</v>
      </c>
      <c r="L65">
        <v>46161.38958333333</v>
      </c>
    </row>
    <row r="66">
      <c r="A66">
        <v>46110</v>
      </c>
      <c r="B66" t="str">
        <v>DRV-009</v>
      </c>
      <c r="C66" t="str">
        <v>Emma C. Brown</v>
      </c>
      <c r="D66">
        <v>2180</v>
      </c>
      <c r="E66">
        <v>645</v>
      </c>
      <c r="F66">
        <v>1535</v>
      </c>
      <c r="G66">
        <v>1830</v>
      </c>
      <c r="H66">
        <v>87</v>
      </c>
      <c r="I66" t="str">
        <v>Complete</v>
      </c>
      <c r="J66" t="str">
        <v>Yes</v>
      </c>
      <c r="K66" t="str">
        <v>M. Davis</v>
      </c>
      <c r="L66">
        <v>46112.39236111111</v>
      </c>
    </row>
    <row r="67">
      <c r="A67">
        <v>46117</v>
      </c>
      <c r="B67" t="str">
        <v>DRV-009</v>
      </c>
      <c r="C67" t="str">
        <v>Emma C. Brown</v>
      </c>
      <c r="D67">
        <v>2295</v>
      </c>
      <c r="E67">
        <v>665</v>
      </c>
      <c r="F67">
        <v>1630</v>
      </c>
      <c r="G67">
        <v>1915</v>
      </c>
      <c r="H67">
        <v>89</v>
      </c>
      <c r="I67" t="str">
        <v>Complete</v>
      </c>
      <c r="J67" t="str">
        <v>Yes</v>
      </c>
      <c r="K67" t="str">
        <v>M. Davis</v>
      </c>
      <c r="L67">
        <v>46119.427777777775</v>
      </c>
    </row>
    <row r="68">
      <c r="A68">
        <v>46124</v>
      </c>
      <c r="B68" t="str">
        <v>DRV-009</v>
      </c>
      <c r="C68" t="str">
        <v>Emma C. Brown</v>
      </c>
      <c r="D68">
        <v>2130</v>
      </c>
      <c r="E68">
        <v>635</v>
      </c>
      <c r="F68">
        <v>1495</v>
      </c>
      <c r="G68">
        <v>1795</v>
      </c>
      <c r="H68">
        <v>85</v>
      </c>
      <c r="I68" t="str">
        <v>Complete</v>
      </c>
      <c r="J68" t="str">
        <v>Yes</v>
      </c>
      <c r="K68" t="str">
        <v>M. Davis</v>
      </c>
      <c r="L68">
        <v>46126.37569444445</v>
      </c>
    </row>
    <row r="69">
      <c r="A69">
        <v>46131</v>
      </c>
      <c r="B69" t="str">
        <v>DRV-009</v>
      </c>
      <c r="C69" t="str">
        <v>Emma C. Brown</v>
      </c>
      <c r="D69">
        <v>2335</v>
      </c>
      <c r="E69">
        <v>675</v>
      </c>
      <c r="F69">
        <v>1660</v>
      </c>
      <c r="G69">
        <v>1965</v>
      </c>
      <c r="H69">
        <v>90</v>
      </c>
      <c r="I69" t="str">
        <v>Complete</v>
      </c>
      <c r="J69" t="str">
        <v>Yes</v>
      </c>
      <c r="K69" t="str">
        <v>M. Davis</v>
      </c>
      <c r="L69">
        <v>46133.45972222222</v>
      </c>
    </row>
    <row r="70">
      <c r="A70">
        <v>46138</v>
      </c>
      <c r="B70" t="str">
        <v>DRV-009</v>
      </c>
      <c r="C70" t="str">
        <v>Emma C. Brown</v>
      </c>
      <c r="D70">
        <v>2095</v>
      </c>
      <c r="E70">
        <v>630</v>
      </c>
      <c r="F70">
        <v>1465</v>
      </c>
      <c r="G70">
        <v>1760</v>
      </c>
      <c r="H70">
        <v>84</v>
      </c>
      <c r="I70" t="str">
        <v>Complete</v>
      </c>
      <c r="J70" t="str">
        <v>Yes</v>
      </c>
      <c r="K70" t="str">
        <v>M. Davis</v>
      </c>
      <c r="L70">
        <v>46140.407638888886</v>
      </c>
    </row>
    <row r="71">
      <c r="A71">
        <v>46145</v>
      </c>
      <c r="B71" t="str">
        <v>DRV-009</v>
      </c>
      <c r="C71" t="str">
        <v>Emma C. Brown</v>
      </c>
      <c r="D71">
        <v>2380</v>
      </c>
      <c r="E71">
        <v>680</v>
      </c>
      <c r="F71">
        <v>1700</v>
      </c>
      <c r="G71">
        <v>1995</v>
      </c>
      <c r="H71">
        <v>91</v>
      </c>
      <c r="I71" t="str">
        <v>Complete</v>
      </c>
      <c r="J71" t="str">
        <v>Yes</v>
      </c>
      <c r="K71" t="str">
        <v>M. Davis</v>
      </c>
      <c r="L71">
        <v>46147.43472222222</v>
      </c>
    </row>
    <row r="72">
      <c r="A72">
        <v>46152</v>
      </c>
      <c r="B72" t="str">
        <v>DRV-009</v>
      </c>
      <c r="C72" t="str">
        <v>Emma C. Brown</v>
      </c>
      <c r="D72">
        <v>2220</v>
      </c>
      <c r="E72">
        <v>650</v>
      </c>
      <c r="F72">
        <v>1570</v>
      </c>
      <c r="G72">
        <v>1855</v>
      </c>
      <c r="H72">
        <v>87</v>
      </c>
      <c r="I72" t="str">
        <v>Complete</v>
      </c>
      <c r="J72" t="str">
        <v>Yes</v>
      </c>
      <c r="K72" t="str">
        <v>M. Davis</v>
      </c>
      <c r="L72">
        <v>46155.39722222222</v>
      </c>
    </row>
    <row r="73">
      <c r="A73">
        <v>46159</v>
      </c>
      <c r="B73" t="str">
        <v>DRV-009</v>
      </c>
      <c r="C73" t="str">
        <v>Emma C. Brown</v>
      </c>
      <c r="D73">
        <v>2335</v>
      </c>
      <c r="E73">
        <v>670</v>
      </c>
      <c r="F73">
        <v>1665</v>
      </c>
      <c r="G73">
        <v>1940</v>
      </c>
      <c r="H73">
        <v>89</v>
      </c>
      <c r="I73" t="str">
        <v>Complete</v>
      </c>
      <c r="J73" t="str">
        <v>Yes</v>
      </c>
      <c r="K73" t="str">
        <v>M. Davis</v>
      </c>
      <c r="L73">
        <v>46161.38402777778</v>
      </c>
    </row>
    <row r="74">
      <c r="A74">
        <v>46110</v>
      </c>
      <c r="B74" t="str">
        <v>DRV-010</v>
      </c>
      <c r="C74" t="str">
        <v>Noah R. Wilson</v>
      </c>
      <c r="D74">
        <v>2355</v>
      </c>
      <c r="E74">
        <v>690</v>
      </c>
      <c r="F74">
        <v>1665</v>
      </c>
      <c r="G74">
        <v>1960</v>
      </c>
      <c r="H74">
        <v>90</v>
      </c>
      <c r="I74" t="str">
        <v>Complete</v>
      </c>
      <c r="J74" t="str">
        <v>Yes</v>
      </c>
      <c r="K74" t="str">
        <v>T. Brooks</v>
      </c>
      <c r="L74">
        <v>46112.396527777775</v>
      </c>
    </row>
    <row r="75">
      <c r="A75">
        <v>46117</v>
      </c>
      <c r="B75" t="str">
        <v>DRV-010</v>
      </c>
      <c r="C75" t="str">
        <v>Noah R. Wilson</v>
      </c>
      <c r="D75">
        <v>2470</v>
      </c>
      <c r="E75">
        <v>710</v>
      </c>
      <c r="F75">
        <v>1760</v>
      </c>
      <c r="G75">
        <v>2050</v>
      </c>
      <c r="H75">
        <v>92</v>
      </c>
      <c r="I75" t="str">
        <v>Complete</v>
      </c>
      <c r="J75" t="str">
        <v>Yes</v>
      </c>
      <c r="K75" t="str">
        <v>T. Brooks</v>
      </c>
      <c r="L75">
        <v>46119.43263888889</v>
      </c>
    </row>
    <row r="76">
      <c r="A76">
        <v>46124</v>
      </c>
      <c r="B76" t="str">
        <v>DRV-010</v>
      </c>
      <c r="C76" t="str">
        <v>Noah R. Wilson</v>
      </c>
      <c r="D76">
        <v>2300</v>
      </c>
      <c r="E76">
        <v>675</v>
      </c>
      <c r="F76">
        <v>1625</v>
      </c>
      <c r="G76">
        <v>1915</v>
      </c>
      <c r="H76">
        <v>88</v>
      </c>
      <c r="I76" t="str">
        <v>Complete</v>
      </c>
      <c r="J76" t="str">
        <v>Yes</v>
      </c>
      <c r="K76" t="str">
        <v>T. Brooks</v>
      </c>
      <c r="L76">
        <v>46126.38402777778</v>
      </c>
    </row>
    <row r="77">
      <c r="A77">
        <v>46131</v>
      </c>
      <c r="B77" t="str">
        <v>DRV-010</v>
      </c>
      <c r="C77" t="str">
        <v>Noah R. Wilson</v>
      </c>
      <c r="D77">
        <v>2510</v>
      </c>
      <c r="E77">
        <v>715</v>
      </c>
      <c r="F77">
        <v>1795</v>
      </c>
      <c r="G77">
        <v>2095</v>
      </c>
      <c r="H77">
        <v>93</v>
      </c>
      <c r="I77" t="str">
        <v>Complete</v>
      </c>
      <c r="J77" t="str">
        <v>Yes</v>
      </c>
      <c r="K77" t="str">
        <v>T. Brooks</v>
      </c>
      <c r="L77">
        <v>46133.46805555555</v>
      </c>
    </row>
    <row r="78">
      <c r="A78">
        <v>46138</v>
      </c>
      <c r="B78" t="str">
        <v>DRV-010</v>
      </c>
      <c r="C78" t="str">
        <v>Noah R. Wilson</v>
      </c>
      <c r="D78">
        <v>2265</v>
      </c>
      <c r="E78">
        <v>670</v>
      </c>
      <c r="F78">
        <v>1595</v>
      </c>
      <c r="G78">
        <v>1875</v>
      </c>
      <c r="H78">
        <v>87</v>
      </c>
      <c r="I78" t="str">
        <v>Complete</v>
      </c>
      <c r="J78" t="str">
        <v>Yes</v>
      </c>
      <c r="K78" t="str">
        <v>T. Brooks</v>
      </c>
      <c r="L78">
        <v>46140.416666666664</v>
      </c>
    </row>
    <row r="79">
      <c r="A79">
        <v>46145</v>
      </c>
      <c r="B79" t="str">
        <v>DRV-010</v>
      </c>
      <c r="C79" t="str">
        <v>Noah R. Wilson</v>
      </c>
      <c r="D79">
        <v>2550</v>
      </c>
      <c r="E79">
        <v>720</v>
      </c>
      <c r="F79">
        <v>1830</v>
      </c>
      <c r="G79">
        <v>2110</v>
      </c>
      <c r="H79">
        <v>94</v>
      </c>
      <c r="I79" t="str">
        <v>Complete</v>
      </c>
      <c r="J79" t="str">
        <v>Yes</v>
      </c>
      <c r="K79" t="str">
        <v>T. Brooks</v>
      </c>
      <c r="L79">
        <v>46147.447916666664</v>
      </c>
    </row>
    <row r="80">
      <c r="A80">
        <v>46152</v>
      </c>
      <c r="B80" t="str">
        <v>DRV-010</v>
      </c>
      <c r="C80" t="str">
        <v>Noah R. Wilson</v>
      </c>
      <c r="D80">
        <v>2395</v>
      </c>
      <c r="E80">
        <v>690</v>
      </c>
      <c r="F80">
        <v>1705</v>
      </c>
      <c r="G80">
        <v>1980</v>
      </c>
      <c r="H80">
        <v>90</v>
      </c>
      <c r="I80" t="str">
        <v>Complete</v>
      </c>
      <c r="J80" t="str">
        <v>Yes</v>
      </c>
      <c r="K80" t="str">
        <v>T. Brooks</v>
      </c>
      <c r="L80">
        <v>46155.40902777778</v>
      </c>
    </row>
    <row r="81">
      <c r="A81">
        <v>46159</v>
      </c>
      <c r="B81" t="str">
        <v>DRV-010</v>
      </c>
      <c r="C81" t="str">
        <v>Noah R. Wilson</v>
      </c>
      <c r="D81">
        <v>2510</v>
      </c>
      <c r="E81">
        <v>710</v>
      </c>
      <c r="F81">
        <v>1800</v>
      </c>
      <c r="G81">
        <v>2070</v>
      </c>
      <c r="H81">
        <v>92</v>
      </c>
      <c r="I81" t="str">
        <v>Complete</v>
      </c>
      <c r="J81" t="str">
        <v>Yes</v>
      </c>
      <c r="K81" t="str">
        <v>T. Brooks</v>
      </c>
      <c r="L81">
        <v>46161.39236111111</v>
      </c>
    </row>
    <row r="82">
      <c r="A82">
        <v>46110</v>
      </c>
      <c r="B82" t="str">
        <v>DRV-011</v>
      </c>
      <c r="C82" t="str">
        <v>Olivia M. Lee</v>
      </c>
      <c r="D82">
        <v>2240</v>
      </c>
      <c r="E82">
        <v>660</v>
      </c>
      <c r="F82">
        <v>1580</v>
      </c>
      <c r="G82">
        <v>1880</v>
      </c>
      <c r="H82">
        <v>88</v>
      </c>
      <c r="I82" t="str">
        <v>Complete</v>
      </c>
      <c r="J82" t="str">
        <v>Yes</v>
      </c>
      <c r="K82" t="str">
        <v>C. Nguyen</v>
      </c>
      <c r="L82">
        <v>46112.39097222222</v>
      </c>
    </row>
    <row r="83">
      <c r="A83">
        <v>46117</v>
      </c>
      <c r="B83" t="str">
        <v>DRV-011</v>
      </c>
      <c r="C83" t="str">
        <v>Olivia M. Lee</v>
      </c>
      <c r="D83">
        <v>2360</v>
      </c>
      <c r="E83">
        <v>680</v>
      </c>
      <c r="F83">
        <v>1680</v>
      </c>
      <c r="G83">
        <v>1970</v>
      </c>
      <c r="H83">
        <v>90</v>
      </c>
      <c r="I83" t="str">
        <v>Complete</v>
      </c>
      <c r="J83" t="str">
        <v>Yes</v>
      </c>
      <c r="K83" t="str">
        <v>C. Nguyen</v>
      </c>
      <c r="L83">
        <v>46119.427083333336</v>
      </c>
    </row>
    <row r="84">
      <c r="A84">
        <v>46124</v>
      </c>
      <c r="B84" t="str">
        <v>DRV-011</v>
      </c>
      <c r="C84" t="str">
        <v>Olivia M. Lee</v>
      </c>
      <c r="D84">
        <v>2195</v>
      </c>
      <c r="E84">
        <v>650</v>
      </c>
      <c r="F84">
        <v>1545</v>
      </c>
      <c r="G84">
        <v>1835</v>
      </c>
      <c r="H84">
        <v>86</v>
      </c>
      <c r="I84" t="str">
        <v>Complete</v>
      </c>
      <c r="J84" t="str">
        <v>Yes</v>
      </c>
      <c r="K84" t="str">
        <v>C. Nguyen</v>
      </c>
      <c r="L84">
        <v>46126.37986111111</v>
      </c>
    </row>
    <row r="85">
      <c r="A85">
        <v>46131</v>
      </c>
      <c r="B85" t="str">
        <v>DRV-011</v>
      </c>
      <c r="C85" t="str">
        <v>Olivia M. Lee</v>
      </c>
      <c r="D85">
        <v>2400</v>
      </c>
      <c r="E85">
        <v>690</v>
      </c>
      <c r="F85">
        <v>1710</v>
      </c>
      <c r="G85">
        <v>2005</v>
      </c>
      <c r="H85">
        <v>91</v>
      </c>
      <c r="I85" t="str">
        <v>Complete</v>
      </c>
      <c r="J85" t="str">
        <v>Yes</v>
      </c>
      <c r="K85" t="str">
        <v>C. Nguyen</v>
      </c>
      <c r="L85">
        <v>46133.4625</v>
      </c>
    </row>
    <row r="86">
      <c r="A86">
        <v>46138</v>
      </c>
      <c r="B86" t="str">
        <v>DRV-011</v>
      </c>
      <c r="C86" t="str">
        <v>Olivia M. Lee</v>
      </c>
      <c r="D86">
        <v>2155</v>
      </c>
      <c r="E86">
        <v>645</v>
      </c>
      <c r="F86">
        <v>1510</v>
      </c>
      <c r="G86">
        <v>1800</v>
      </c>
      <c r="H86">
        <v>85</v>
      </c>
      <c r="I86" t="str">
        <v>Complete</v>
      </c>
      <c r="J86" t="str">
        <v>Yes</v>
      </c>
      <c r="K86" t="str">
        <v>C. Nguyen</v>
      </c>
      <c r="L86">
        <v>46140.41111111111</v>
      </c>
    </row>
    <row r="87">
      <c r="A87">
        <v>46145</v>
      </c>
      <c r="B87" t="str">
        <v>DRV-011</v>
      </c>
      <c r="C87" t="str">
        <v>Olivia M. Lee</v>
      </c>
      <c r="D87">
        <v>2440</v>
      </c>
      <c r="E87">
        <v>695</v>
      </c>
      <c r="F87">
        <v>1745</v>
      </c>
      <c r="G87">
        <v>2030</v>
      </c>
      <c r="H87">
        <v>92</v>
      </c>
      <c r="I87" t="str">
        <v>Complete</v>
      </c>
      <c r="J87" t="str">
        <v>Yes</v>
      </c>
      <c r="K87" t="str">
        <v>C. Nguyen</v>
      </c>
      <c r="L87">
        <v>46147.438888888886</v>
      </c>
    </row>
    <row r="88">
      <c r="A88">
        <v>46152</v>
      </c>
      <c r="B88" t="str">
        <v>DRV-011</v>
      </c>
      <c r="C88" t="str">
        <v>Olivia M. Lee</v>
      </c>
      <c r="D88">
        <v>2280</v>
      </c>
      <c r="E88">
        <v>665</v>
      </c>
      <c r="F88">
        <v>1615</v>
      </c>
      <c r="G88">
        <v>1895</v>
      </c>
      <c r="H88">
        <v>88</v>
      </c>
      <c r="I88" t="str">
        <v>Complete</v>
      </c>
      <c r="J88" t="str">
        <v>Yes</v>
      </c>
      <c r="K88" t="str">
        <v>C. Nguyen</v>
      </c>
      <c r="L88">
        <v>46155.40138888889</v>
      </c>
    </row>
    <row r="89">
      <c r="A89">
        <v>46159</v>
      </c>
      <c r="B89" t="str">
        <v>DRV-011</v>
      </c>
      <c r="C89" t="str">
        <v>Olivia M. Lee</v>
      </c>
      <c r="D89">
        <v>2395</v>
      </c>
      <c r="E89">
        <v>685</v>
      </c>
      <c r="F89">
        <v>1710</v>
      </c>
      <c r="G89">
        <v>1985</v>
      </c>
      <c r="H89">
        <v>90</v>
      </c>
      <c r="I89" t="str">
        <v>Complete</v>
      </c>
      <c r="J89" t="str">
        <v>Yes</v>
      </c>
      <c r="K89" t="str">
        <v>C. Nguyen</v>
      </c>
      <c r="L89">
        <v>46161.38680555556</v>
      </c>
    </row>
    <row r="90">
      <c r="A90">
        <v>46110</v>
      </c>
      <c r="B90" t="str">
        <v>DRV-012</v>
      </c>
      <c r="C90" t="str">
        <v>Robert D. Johnson</v>
      </c>
      <c r="D90">
        <v>2305</v>
      </c>
      <c r="E90">
        <v>670</v>
      </c>
      <c r="F90">
        <v>1635</v>
      </c>
      <c r="G90">
        <v>1930</v>
      </c>
      <c r="H90">
        <v>89</v>
      </c>
      <c r="I90" t="str">
        <v>Complete</v>
      </c>
      <c r="J90" t="str">
        <v>Yes</v>
      </c>
      <c r="K90" t="str">
        <v>P. Allen</v>
      </c>
      <c r="L90">
        <v>46112.399305555555</v>
      </c>
    </row>
    <row r="91">
      <c r="A91">
        <v>46117</v>
      </c>
      <c r="B91" t="str">
        <v>DRV-012</v>
      </c>
      <c r="C91" t="str">
        <v>Robert D. Johnson</v>
      </c>
      <c r="D91">
        <v>2420</v>
      </c>
      <c r="E91">
        <v>690</v>
      </c>
      <c r="F91">
        <v>1730</v>
      </c>
      <c r="G91">
        <v>2020</v>
      </c>
      <c r="H91">
        <v>91</v>
      </c>
      <c r="I91" t="str">
        <v>Complete</v>
      </c>
      <c r="J91" t="str">
        <v>Yes</v>
      </c>
      <c r="K91" t="str">
        <v>P. Allen</v>
      </c>
      <c r="L91">
        <v>46119.430555555555</v>
      </c>
    </row>
    <row r="92">
      <c r="A92">
        <v>46124</v>
      </c>
      <c r="B92" t="str">
        <v>DRV-012</v>
      </c>
      <c r="C92" t="str">
        <v>Robert D. Johnson</v>
      </c>
      <c r="D92">
        <v>2255</v>
      </c>
      <c r="E92">
        <v>660</v>
      </c>
      <c r="F92">
        <v>1595</v>
      </c>
      <c r="G92">
        <v>1885</v>
      </c>
      <c r="H92">
        <v>87</v>
      </c>
      <c r="I92" t="str">
        <v>Complete</v>
      </c>
      <c r="J92" t="str">
        <v>Yes</v>
      </c>
      <c r="K92" t="str">
        <v>P. Allen</v>
      </c>
      <c r="L92">
        <v>46126.385416666664</v>
      </c>
    </row>
    <row r="93">
      <c r="A93">
        <v>46131</v>
      </c>
      <c r="B93" t="str">
        <v>DRV-012</v>
      </c>
      <c r="C93" t="str">
        <v>Robert D. Johnson</v>
      </c>
      <c r="D93">
        <v>2460</v>
      </c>
      <c r="E93">
        <v>700</v>
      </c>
      <c r="F93">
        <v>1760</v>
      </c>
      <c r="G93">
        <v>2065</v>
      </c>
      <c r="H93">
        <v>92</v>
      </c>
      <c r="I93" t="str">
        <v>Complete</v>
      </c>
      <c r="J93" t="str">
        <v>Yes</v>
      </c>
      <c r="K93" t="str">
        <v>P. Allen</v>
      </c>
      <c r="L93">
        <v>46133.47083333333</v>
      </c>
    </row>
    <row r="94">
      <c r="A94">
        <v>46138</v>
      </c>
      <c r="B94" t="str">
        <v>DRV-012</v>
      </c>
      <c r="C94" t="str">
        <v>Robert D. Johnson</v>
      </c>
      <c r="D94">
        <v>2215</v>
      </c>
      <c r="E94">
        <v>655</v>
      </c>
      <c r="F94">
        <v>1560</v>
      </c>
      <c r="G94">
        <v>1835</v>
      </c>
      <c r="H94">
        <v>86</v>
      </c>
      <c r="I94" t="str">
        <v>Complete</v>
      </c>
      <c r="J94" t="str">
        <v>Yes</v>
      </c>
      <c r="K94" t="str">
        <v>P. Allen</v>
      </c>
      <c r="L94">
        <v>46140.42013888889</v>
      </c>
    </row>
    <row r="95">
      <c r="A95">
        <v>46145</v>
      </c>
      <c r="B95" t="str">
        <v>DRV-012</v>
      </c>
      <c r="C95" t="str">
        <v>Robert D. Johnson</v>
      </c>
      <c r="D95">
        <v>2500</v>
      </c>
      <c r="E95">
        <v>705</v>
      </c>
      <c r="F95">
        <v>1795</v>
      </c>
      <c r="G95">
        <v>2095</v>
      </c>
      <c r="H95">
        <v>93</v>
      </c>
      <c r="I95" t="str">
        <v>Complete</v>
      </c>
      <c r="J95" t="str">
        <v>Yes</v>
      </c>
      <c r="K95" t="str">
        <v>P. Allen</v>
      </c>
      <c r="L95">
        <v>46147.44930555556</v>
      </c>
    </row>
    <row r="96">
      <c r="A96">
        <v>46152</v>
      </c>
      <c r="B96" t="str">
        <v>DRV-012</v>
      </c>
      <c r="C96" t="str">
        <v>Robert D. Johnson</v>
      </c>
      <c r="D96">
        <v>2340</v>
      </c>
      <c r="E96">
        <v>675</v>
      </c>
      <c r="F96">
        <v>1665</v>
      </c>
      <c r="G96">
        <v>1965</v>
      </c>
      <c r="H96">
        <v>89</v>
      </c>
      <c r="I96" t="str">
        <v>Complete</v>
      </c>
      <c r="J96" t="str">
        <v>Yes</v>
      </c>
      <c r="K96" t="str">
        <v>P. Allen</v>
      </c>
      <c r="L96">
        <v>46155.41111111111</v>
      </c>
    </row>
    <row r="97">
      <c r="A97">
        <v>46159</v>
      </c>
      <c r="B97" t="str">
        <v>DRV-012</v>
      </c>
      <c r="C97" t="str">
        <v>Robert D. Johnson</v>
      </c>
      <c r="D97">
        <v>2455</v>
      </c>
      <c r="E97">
        <v>695</v>
      </c>
      <c r="F97">
        <v>1760</v>
      </c>
      <c r="G97">
        <v>2050</v>
      </c>
      <c r="H97">
        <v>91</v>
      </c>
      <c r="I97" t="str">
        <v>Complete</v>
      </c>
      <c r="J97" t="str">
        <v>Yes</v>
      </c>
      <c r="K97" t="str">
        <v>P. Allen</v>
      </c>
      <c r="L97">
        <v>46161.39375</v>
      </c>
    </row>
  </sheetData>
  <pageMargins left="0.7" right="0.7" top="0.75" bottom="0.75" header="0.3" footer="0.3"/>
  <ignoredErrors>
    <ignoredError numberStoredAsText="1" sqref="A1:L9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30"/>
  <sheetViews>
    <sheetView workbookViewId="0" rightToLeft="0"/>
  </sheetViews>
  <sheetData>
    <row r="1">
      <c r="A1" t="str">
        <v>BOF Settlement Command Center — 8-Week Rolling View</v>
      </c>
    </row>
    <row r="3">
      <c r="A3" t="str">
        <v>Metric</v>
      </c>
      <c r="B3" t="str">
        <v>Value</v>
      </c>
      <c r="D3" t="str">
        <v>Control</v>
      </c>
      <c r="E3" t="str">
        <v>Value</v>
      </c>
    </row>
    <row r="4">
      <c r="A4" t="str">
        <v>Settlement weeks</v>
      </c>
      <c r="B4">
        <f>COUNTA(UNIQUE(Weekly_Settlements!$A$2:$A$97))</f>
        <v>8</v>
      </c>
      <c r="D4" t="str">
        <v>Latest week ending</v>
      </c>
      <c r="E4">
        <f>MAX(Weekly_Settlements!$A$2:$A$97)</f>
        <v>46159</v>
      </c>
    </row>
    <row r="5">
      <c r="A5" t="str">
        <v>Total gross pay</v>
      </c>
      <c r="B5">
        <f>SUM(Weekly_Settlements!$D$2:$D$97)</f>
        <v>226725</v>
      </c>
      <c r="D5" t="str">
        <v>Drivers covered</v>
      </c>
      <c r="E5">
        <f>COUNTA(UNIQUE(Weekly_Settlements!$B$2:$B$97))</f>
        <v>12</v>
      </c>
    </row>
    <row r="6">
      <c r="A6" t="str">
        <v>Total net pay</v>
      </c>
      <c r="B6">
        <f>SUM(Weekly_Settlements!$F$2:$F$97)</f>
        <v>161100</v>
      </c>
      <c r="D6" t="str">
        <v>Complete packets</v>
      </c>
      <c r="E6">
        <f>COUNTIF(Weekly_Settlements!$J$2:$J$97,"Yes")</f>
        <v>96</v>
      </c>
    </row>
    <row r="7">
      <c r="A7" t="str">
        <v>Fleet owner profit</v>
      </c>
      <c r="B7">
        <f>SUM(Weekly_Settlements!$G$2:$G$97)</f>
        <v>190335</v>
      </c>
      <c r="D7" t="str">
        <v>Settlement rows</v>
      </c>
      <c r="E7">
        <f>COUNTA(Weekly_Settlements!$B$2:$B$97)</f>
        <v>96</v>
      </c>
    </row>
    <row r="8">
      <c r="A8" t="str">
        <v>Avg profitability score</v>
      </c>
      <c r="B8">
        <f>AVERAGE(Weekly_Settlements!$H$2:$H$97)</f>
        <v>89.86458333333333</v>
      </c>
      <c r="D8" t="str">
        <v>Rows needing review</v>
      </c>
      <c r="E8">
        <f>COUNTIF(Weekly_Settlements!$I$2:$I$97,"&lt;&gt;Complete")</f>
        <v>0</v>
      </c>
    </row>
    <row r="11">
      <c r="A11" t="str">
        <v>WeekEnding</v>
      </c>
      <c r="B11" t="str">
        <v>GrossPay</v>
      </c>
      <c r="C11" t="str">
        <v>NetPay</v>
      </c>
      <c r="D11" t="str">
        <v>FleetOwnerProfit</v>
      </c>
      <c r="E11" t="str">
        <v>Avg Profitability</v>
      </c>
      <c r="F11" t="str">
        <v>Packet Completion</v>
      </c>
    </row>
    <row r="12">
      <c r="A12">
        <v>46110</v>
      </c>
      <c r="B12">
        <f>SUMIF(Weekly_Settlements!$A$2:$A$97,A12,Weekly_Settlements!$D$2:$D$97)</f>
        <v>27580</v>
      </c>
      <c r="C12">
        <f>SUMIF(Weekly_Settlements!$A$2:$A$97,A12,Weekly_Settlements!$F$2:$F$97)</f>
        <v>19505</v>
      </c>
      <c r="D12">
        <f>SUMIF(Weekly_Settlements!$A$2:$A$97,A12,Weekly_Settlements!$G$2:$G$97)</f>
        <v>23285</v>
      </c>
      <c r="E12">
        <f>AVERAGEIF(Weekly_Settlements!$A$2:$A$97,A12,Weekly_Settlements!$H$2:$H$97)</f>
        <v>89.16666666666667</v>
      </c>
      <c r="F12">
        <f>COUNTIFS(Weekly_Settlements!$A$2:$A$97,A12,Weekly_Settlements!$J$2:$J$97,"Yes")/COUNTIF(Weekly_Settlements!$A$2:$A$97,A12)</f>
        <v>1</v>
      </c>
    </row>
    <row r="13">
      <c r="A13">
        <v>46117</v>
      </c>
      <c r="B13">
        <f>SUMIF(Weekly_Settlements!$A$2:$A$97,A13,Weekly_Settlements!$D$2:$D$97)</f>
        <v>28980</v>
      </c>
      <c r="C13">
        <f>SUMIF(Weekly_Settlements!$A$2:$A$97,A13,Weekly_Settlements!$F$2:$F$97)</f>
        <v>20660</v>
      </c>
      <c r="D13">
        <f>SUMIF(Weekly_Settlements!$A$2:$A$97,A13,Weekly_Settlements!$G$2:$G$97)</f>
        <v>24340</v>
      </c>
      <c r="E13">
        <f>AVERAGEIF(Weekly_Settlements!$A$2:$A$97,A13,Weekly_Settlements!$H$2:$H$97)</f>
        <v>91.08333333333333</v>
      </c>
      <c r="F13">
        <f>COUNTIFS(Weekly_Settlements!$A$2:$A$97,A13,Weekly_Settlements!$J$2:$J$97,"Yes")/COUNTIF(Weekly_Settlements!$A$2:$A$97,A13)</f>
        <v>1</v>
      </c>
    </row>
    <row r="14">
      <c r="A14">
        <v>46124</v>
      </c>
      <c r="B14">
        <f>SUMIF(Weekly_Settlements!$A$2:$A$97,A14,Weekly_Settlements!$D$2:$D$97)</f>
        <v>26920</v>
      </c>
      <c r="C14">
        <f>SUMIF(Weekly_Settlements!$A$2:$A$97,A14,Weekly_Settlements!$F$2:$F$97)</f>
        <v>18980</v>
      </c>
      <c r="D14">
        <f>SUMIF(Weekly_Settlements!$A$2:$A$97,A14,Weekly_Settlements!$G$2:$G$97)</f>
        <v>22625</v>
      </c>
      <c r="E14">
        <f>AVERAGEIF(Weekly_Settlements!$A$2:$A$97,A14,Weekly_Settlements!$H$2:$H$97)</f>
        <v>87.08333333333333</v>
      </c>
      <c r="F14">
        <f>COUNTIFS(Weekly_Settlements!$A$2:$A$97,A14,Weekly_Settlements!$J$2:$J$97,"Yes")/COUNTIF(Weekly_Settlements!$A$2:$A$97,A14)</f>
        <v>1</v>
      </c>
    </row>
    <row r="15">
      <c r="A15">
        <v>46131</v>
      </c>
      <c r="B15">
        <f>SUMIF(Weekly_Settlements!$A$2:$A$97,A15,Weekly_Settlements!$D$2:$D$97)</f>
        <v>29405</v>
      </c>
      <c r="C15">
        <f>SUMIF(Weekly_Settlements!$A$2:$A$97,A15,Weekly_Settlements!$F$2:$F$97)</f>
        <v>20990</v>
      </c>
      <c r="D15">
        <f>SUMIF(Weekly_Settlements!$A$2:$A$97,A15,Weekly_Settlements!$G$2:$G$97)</f>
        <v>24735</v>
      </c>
      <c r="E15">
        <f>AVERAGEIF(Weekly_Settlements!$A$2:$A$97,A15,Weekly_Settlements!$H$2:$H$97)</f>
        <v>92</v>
      </c>
      <c r="F15">
        <f>COUNTIFS(Weekly_Settlements!$A$2:$A$97,A15,Weekly_Settlements!$J$2:$J$97,"Yes")/COUNTIF(Weekly_Settlements!$A$2:$A$97,A15)</f>
        <v>1</v>
      </c>
    </row>
    <row r="16">
      <c r="A16">
        <v>46138</v>
      </c>
      <c r="B16">
        <f>SUMIF(Weekly_Settlements!$A$2:$A$97,A16,Weekly_Settlements!$D$2:$D$97)</f>
        <v>26465</v>
      </c>
      <c r="C16">
        <f>SUMIF(Weekly_Settlements!$A$2:$A$97,A16,Weekly_Settlements!$F$2:$F$97)</f>
        <v>18595</v>
      </c>
      <c r="D16">
        <f>SUMIF(Weekly_Settlements!$A$2:$A$97,A16,Weekly_Settlements!$G$2:$G$97)</f>
        <v>22175</v>
      </c>
      <c r="E16">
        <f>AVERAGEIF(Weekly_Settlements!$A$2:$A$97,A16,Weekly_Settlements!$H$2:$H$97)</f>
        <v>85.91666666666667</v>
      </c>
      <c r="F16">
        <f>COUNTIFS(Weekly_Settlements!$A$2:$A$97,A16,Weekly_Settlements!$J$2:$J$97,"Yes")/COUNTIF(Weekly_Settlements!$A$2:$A$97,A16)</f>
        <v>1</v>
      </c>
    </row>
    <row r="17">
      <c r="A17">
        <v>46145</v>
      </c>
      <c r="B17">
        <f>SUMIF(Weekly_Settlements!$A$2:$A$97,A17,Weekly_Settlements!$D$2:$D$97)</f>
        <v>30000</v>
      </c>
      <c r="C17">
        <f>SUMIF(Weekly_Settlements!$A$2:$A$97,A17,Weekly_Settlements!$F$2:$F$97)</f>
        <v>21495</v>
      </c>
      <c r="D17">
        <f>SUMIF(Weekly_Settlements!$A$2:$A$97,A17,Weekly_Settlements!$G$2:$G$97)</f>
        <v>25140</v>
      </c>
      <c r="E17">
        <f>AVERAGEIF(Weekly_Settlements!$A$2:$A$97,A17,Weekly_Settlements!$H$2:$H$97)</f>
        <v>93.08333333333333</v>
      </c>
      <c r="F17">
        <f>COUNTIFS(Weekly_Settlements!$A$2:$A$97,A17,Weekly_Settlements!$J$2:$J$97,"Yes")/COUNTIF(Weekly_Settlements!$A$2:$A$97,A17)</f>
        <v>1</v>
      </c>
    </row>
    <row r="18">
      <c r="A18">
        <v>46152</v>
      </c>
      <c r="B18">
        <f>SUMIF(Weekly_Settlements!$A$2:$A$97,A18,Weekly_Settlements!$D$2:$D$97)</f>
        <v>27970</v>
      </c>
      <c r="C18">
        <f>SUMIF(Weekly_Settlements!$A$2:$A$97,A18,Weekly_Settlements!$F$2:$F$97)</f>
        <v>19840</v>
      </c>
      <c r="D18">
        <f>SUMIF(Weekly_Settlements!$A$2:$A$97,A18,Weekly_Settlements!$G$2:$G$97)</f>
        <v>23430</v>
      </c>
      <c r="E18">
        <f>AVERAGEIF(Weekly_Settlements!$A$2:$A$97,A18,Weekly_Settlements!$H$2:$H$97)</f>
        <v>89.25</v>
      </c>
      <c r="F18">
        <f>COUNTIFS(Weekly_Settlements!$A$2:$A$97,A18,Weekly_Settlements!$J$2:$J$97,"Yes")/COUNTIF(Weekly_Settlements!$A$2:$A$97,A18)</f>
        <v>1</v>
      </c>
    </row>
    <row r="19">
      <c r="A19">
        <v>46159</v>
      </c>
      <c r="B19">
        <f>SUMIF(Weekly_Settlements!$A$2:$A$97,A19,Weekly_Settlements!$D$2:$D$97)</f>
        <v>29405</v>
      </c>
      <c r="C19">
        <f>SUMIF(Weekly_Settlements!$A$2:$A$97,A19,Weekly_Settlements!$F$2:$F$97)</f>
        <v>21035</v>
      </c>
      <c r="D19">
        <f>SUMIF(Weekly_Settlements!$A$2:$A$97,A19,Weekly_Settlements!$G$2:$G$97)</f>
        <v>24605</v>
      </c>
      <c r="E19">
        <f>AVERAGEIF(Weekly_Settlements!$A$2:$A$97,A19,Weekly_Settlements!$H$2:$H$97)</f>
        <v>91.33333333333333</v>
      </c>
      <c r="F19">
        <f>COUNTIFS(Weekly_Settlements!$A$2:$A$97,A19,Weekly_Settlements!$J$2:$J$97,"Yes")/COUNTIF(Weekly_Settlements!$A$2:$A$97,A19)</f>
        <v>1</v>
      </c>
    </row>
    <row r="22">
      <c r="G22" t="str">
        <v>Week</v>
      </c>
      <c r="H22" t="str">
        <v>GrossPay</v>
      </c>
      <c r="I22" t="str">
        <v>NetPay</v>
      </c>
      <c r="J22" t="str">
        <v>FleetOwnerProfit</v>
      </c>
    </row>
    <row r="23">
      <c r="G23" t="str">
        <v>03/29</v>
      </c>
      <c r="H23">
        <f>B12</f>
        <v>27580</v>
      </c>
      <c r="I23">
        <f>C12</f>
        <v>19505</v>
      </c>
      <c r="J23">
        <f>D12</f>
        <v>23285</v>
      </c>
    </row>
    <row r="24">
      <c r="G24" t="str">
        <v>04/05</v>
      </c>
      <c r="H24">
        <f>B13</f>
        <v>28980</v>
      </c>
      <c r="I24">
        <f>C13</f>
        <v>20660</v>
      </c>
      <c r="J24">
        <f>D13</f>
        <v>24340</v>
      </c>
    </row>
    <row r="25">
      <c r="G25" t="str">
        <v>04/12</v>
      </c>
      <c r="H25">
        <f>B14</f>
        <v>26920</v>
      </c>
      <c r="I25">
        <f>C14</f>
        <v>18980</v>
      </c>
      <c r="J25">
        <f>D14</f>
        <v>22625</v>
      </c>
    </row>
    <row r="26">
      <c r="G26" t="str">
        <v>04/19</v>
      </c>
      <c r="H26">
        <f>B15</f>
        <v>29405</v>
      </c>
      <c r="I26">
        <f>C15</f>
        <v>20990</v>
      </c>
      <c r="J26">
        <f>D15</f>
        <v>24735</v>
      </c>
    </row>
    <row r="27">
      <c r="G27" t="str">
        <v>04/26</v>
      </c>
      <c r="H27">
        <f>B16</f>
        <v>26465</v>
      </c>
      <c r="I27">
        <f>C16</f>
        <v>18595</v>
      </c>
      <c r="J27">
        <f>D16</f>
        <v>22175</v>
      </c>
    </row>
    <row r="28">
      <c r="G28" t="str">
        <v>05/03</v>
      </c>
      <c r="H28">
        <f>B17</f>
        <v>30000</v>
      </c>
      <c r="I28">
        <f>C17</f>
        <v>21495</v>
      </c>
      <c r="J28">
        <f>D17</f>
        <v>25140</v>
      </c>
    </row>
    <row r="29">
      <c r="G29" t="str">
        <v>05/10</v>
      </c>
      <c r="H29">
        <f>B18</f>
        <v>27970</v>
      </c>
      <c r="I29">
        <f>C18</f>
        <v>19840</v>
      </c>
      <c r="J29">
        <f>D18</f>
        <v>23430</v>
      </c>
    </row>
    <row r="30">
      <c r="G30" t="str">
        <v>05/17</v>
      </c>
      <c r="H30">
        <f>B19</f>
        <v>29405</v>
      </c>
      <c r="I30">
        <f>C19</f>
        <v>21035</v>
      </c>
      <c r="J30">
        <f>D19</f>
        <v>24605</v>
      </c>
    </row>
  </sheetData>
  <mergeCells count="1">
    <mergeCell ref="A1:H1"/>
  </mergeCells>
  <pageMargins left="0.7" right="0.7" top="0.75" bottom="0.75" header="0.3" footer="0.3"/>
  <ignoredErrors>
    <ignoredError numberStoredAsText="1" sqref="A1:J3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13"/>
  <sheetViews>
    <sheetView workbookViewId="0" rightToLeft="0"/>
  </sheetViews>
  <sheetData>
    <row r="1">
      <c r="A1" t="str">
        <v>DriverID</v>
      </c>
      <c r="B1" t="str">
        <v>DriverName</v>
      </c>
      <c r="C1" t="str">
        <v>8-Week Gross</v>
      </c>
      <c r="D1" t="str">
        <v>8-Week Deductions</v>
      </c>
      <c r="E1" t="str">
        <v>8-Week Net</v>
      </c>
      <c r="F1" t="str">
        <v>Fleet Owner Profit</v>
      </c>
      <c r="G1" t="str">
        <v>Avg Profitability Score</v>
      </c>
      <c r="H1" t="str">
        <v>Best Week Net</v>
      </c>
      <c r="I1" t="str">
        <v>Latest Week Net</v>
      </c>
      <c r="J1" t="str">
        <v>Packet Complete %</v>
      </c>
      <c r="K1" t="str">
        <v>Approved Weeks</v>
      </c>
      <c r="L1" t="str">
        <v>Settlement Readiness</v>
      </c>
    </row>
    <row r="2">
      <c r="A2" t="str">
        <v>DRV-001</v>
      </c>
      <c r="B2" t="str">
        <v>John T. Carter</v>
      </c>
      <c r="C2">
        <f>SUMIFS(Weekly_Settlements!$D$2:$D$97,Weekly_Settlements!$B$2:$B$97,A2)</f>
        <v>17360</v>
      </c>
      <c r="D2">
        <f>SUMIFS(Weekly_Settlements!$E$2:$E$97,Weekly_Settlements!$B$2:$B$97,A2)</f>
        <v>5010</v>
      </c>
      <c r="E2">
        <f>SUMIFS(Weekly_Settlements!$F$2:$F$97,Weekly_Settlements!$B$2:$B$97,A2)</f>
        <v>12350</v>
      </c>
      <c r="F2">
        <f>SUMIFS(Weekly_Settlements!$G$2:$G$97,Weekly_Settlements!$B$2:$B$97,A2)</f>
        <v>14710</v>
      </c>
      <c r="G2">
        <f>AVERAGEIF(Weekly_Settlements!$B$2:$B$97,A2,Weekly_Settlements!$H$2:$H$97)</f>
        <v>87.375</v>
      </c>
      <c r="H2">
        <v>1670</v>
      </c>
      <c r="I2">
        <f>SUMIFS(Weekly_Settlements!$F$2:$F$97,Weekly_Settlements!$B$2:$B$97,A2,Weekly_Settlements!$A$2:$A$97,MAX(Weekly_Settlements!$A$2:$A$97))</f>
        <v>1610</v>
      </c>
      <c r="J2">
        <f>COUNTIFS(Weekly_Settlements!$B$2:$B$97,A2,Weekly_Settlements!$J$2:$J$97,"Yes")/COUNTIF(Weekly_Settlements!$B$2:$B$97,A2)</f>
        <v>1</v>
      </c>
      <c r="K2">
        <f>COUNTIFS(Weekly_Settlements!$B$2:$B$97,A2,Weekly_Settlements!$I$2:$I$97,"Complete")</f>
        <v>8</v>
      </c>
      <c r="L2" t="str">
        <f>IF(AND(J2=1,K2=8,G2&gt;=85),"Ready",IF(G2&lt;85,"Review profitability","Packet review"))</f>
        <v>Ready</v>
      </c>
    </row>
    <row r="3">
      <c r="A3" t="str">
        <v>DRV-002</v>
      </c>
      <c r="B3" t="str">
        <v>Maria E. Lopez</v>
      </c>
      <c r="C3">
        <f>SUMIFS(Weekly_Settlements!$D$2:$D$97,Weekly_Settlements!$B$2:$B$97,A3)</f>
        <v>19500</v>
      </c>
      <c r="D3">
        <f>SUMIFS(Weekly_Settlements!$E$2:$E$97,Weekly_Settlements!$B$2:$B$97,A3)</f>
        <v>5750</v>
      </c>
      <c r="E3">
        <f>SUMIFS(Weekly_Settlements!$F$2:$F$97,Weekly_Settlements!$B$2:$B$97,A3)</f>
        <v>13750</v>
      </c>
      <c r="F3">
        <f>SUMIFS(Weekly_Settlements!$G$2:$G$97,Weekly_Settlements!$B$2:$B$97,A3)</f>
        <v>16495</v>
      </c>
      <c r="G3">
        <f>AVERAGEIF(Weekly_Settlements!$B$2:$B$97,A3,Weekly_Settlements!$H$2:$H$97)</f>
        <v>92.875</v>
      </c>
      <c r="H3">
        <v>1845</v>
      </c>
      <c r="I3">
        <f>SUMIFS(Weekly_Settlements!$F$2:$F$97,Weekly_Settlements!$B$2:$B$97,A3,Weekly_Settlements!$A$2:$A$97,MAX(Weekly_Settlements!$A$2:$A$97))</f>
        <v>1815</v>
      </c>
      <c r="J3">
        <f>COUNTIFS(Weekly_Settlements!$B$2:$B$97,A3,Weekly_Settlements!$J$2:$J$97,"Yes")/COUNTIF(Weekly_Settlements!$B$2:$B$97,A3)</f>
        <v>1</v>
      </c>
      <c r="K3">
        <f>COUNTIFS(Weekly_Settlements!$B$2:$B$97,A3,Weekly_Settlements!$I$2:$I$97,"Complete")</f>
        <v>8</v>
      </c>
      <c r="L3" t="str">
        <f>IF(AND(J3=1,K3=8,G3&gt;=85),"Ready",IF(G3&lt;85,"Review profitability","Packet review"))</f>
        <v>Ready</v>
      </c>
    </row>
    <row r="4">
      <c r="A4" t="str">
        <v>DRV-003</v>
      </c>
      <c r="B4" t="str">
        <v>Alex J. Kim</v>
      </c>
      <c r="C4">
        <f>SUMIFS(Weekly_Settlements!$D$2:$D$97,Weekly_Settlements!$B$2:$B$97,A4)</f>
        <v>21650</v>
      </c>
      <c r="D4">
        <f>SUMIFS(Weekly_Settlements!$E$2:$E$97,Weekly_Settlements!$B$2:$B$97,A4)</f>
        <v>6375</v>
      </c>
      <c r="E4">
        <f>SUMIFS(Weekly_Settlements!$F$2:$F$97,Weekly_Settlements!$B$2:$B$97,A4)</f>
        <v>15275</v>
      </c>
      <c r="F4">
        <f>SUMIFS(Weekly_Settlements!$G$2:$G$97,Weekly_Settlements!$B$2:$B$97,A4)</f>
        <v>18820</v>
      </c>
      <c r="G4">
        <f>AVERAGEIF(Weekly_Settlements!$B$2:$B$97,A4,Weekly_Settlements!$H$2:$H$97)</f>
        <v>95.25</v>
      </c>
      <c r="H4">
        <v>2040</v>
      </c>
      <c r="I4">
        <f>SUMIFS(Weekly_Settlements!$F$2:$F$97,Weekly_Settlements!$B$2:$B$97,A4,Weekly_Settlements!$A$2:$A$97,MAX(Weekly_Settlements!$A$2:$A$97))</f>
        <v>1985</v>
      </c>
      <c r="J4">
        <f>COUNTIFS(Weekly_Settlements!$B$2:$B$97,A4,Weekly_Settlements!$J$2:$J$97,"Yes")/COUNTIF(Weekly_Settlements!$B$2:$B$97,A4)</f>
        <v>1</v>
      </c>
      <c r="K4">
        <f>COUNTIFS(Weekly_Settlements!$B$2:$B$97,A4,Weekly_Settlements!$I$2:$I$97,"Complete")</f>
        <v>8</v>
      </c>
      <c r="L4" t="str">
        <f>IF(AND(J4=1,K4=8,G4&gt;=85),"Ready",IF(G4&lt;85,"Review profitability","Packet review"))</f>
        <v>Ready</v>
      </c>
    </row>
    <row r="5">
      <c r="A5" t="str">
        <v>DRV-004</v>
      </c>
      <c r="B5" t="str">
        <v>Priya A. Patel</v>
      </c>
      <c r="C5">
        <f>SUMIFS(Weekly_Settlements!$D$2:$D$97,Weekly_Settlements!$B$2:$B$97,A5)</f>
        <v>17110</v>
      </c>
      <c r="D5">
        <f>SUMIFS(Weekly_Settlements!$E$2:$E$97,Weekly_Settlements!$B$2:$B$97,A5)</f>
        <v>4965</v>
      </c>
      <c r="E5">
        <f>SUMIFS(Weekly_Settlements!$F$2:$F$97,Weekly_Settlements!$B$2:$B$97,A5)</f>
        <v>12145</v>
      </c>
      <c r="F5">
        <f>SUMIFS(Weekly_Settlements!$G$2:$G$97,Weekly_Settlements!$B$2:$B$97,A5)</f>
        <v>14400</v>
      </c>
      <c r="G5">
        <f>AVERAGEIF(Weekly_Settlements!$B$2:$B$97,A5,Weekly_Settlements!$H$2:$H$97)</f>
        <v>85.875</v>
      </c>
      <c r="H5">
        <v>1615</v>
      </c>
      <c r="I5">
        <f>SUMIFS(Weekly_Settlements!$F$2:$F$97,Weekly_Settlements!$B$2:$B$97,A5,Weekly_Settlements!$A$2:$A$97,MAX(Weekly_Settlements!$A$2:$A$97))</f>
        <v>1590</v>
      </c>
      <c r="J5">
        <f>COUNTIFS(Weekly_Settlements!$B$2:$B$97,A5,Weekly_Settlements!$J$2:$J$97,"Yes")/COUNTIF(Weekly_Settlements!$B$2:$B$97,A5)</f>
        <v>1</v>
      </c>
      <c r="K5">
        <f>COUNTIFS(Weekly_Settlements!$B$2:$B$97,A5,Weekly_Settlements!$I$2:$I$97,"Complete")</f>
        <v>8</v>
      </c>
      <c r="L5" t="str">
        <f>IF(AND(J5=1,K5=8,G5&gt;=85),"Ready",IF(G5&lt;85,"Review profitability","Packet review"))</f>
        <v>Ready</v>
      </c>
    </row>
    <row r="6">
      <c r="A6" t="str">
        <v>DRV-005</v>
      </c>
      <c r="B6" t="str">
        <v>Kenji H. Tanaka</v>
      </c>
      <c r="C6">
        <f>SUMIFS(Weekly_Settlements!$D$2:$D$97,Weekly_Settlements!$B$2:$B$97,A6)</f>
        <v>20155</v>
      </c>
      <c r="D6">
        <f>SUMIFS(Weekly_Settlements!$E$2:$E$97,Weekly_Settlements!$B$2:$B$97,A6)</f>
        <v>5685</v>
      </c>
      <c r="E6">
        <f>SUMIFS(Weekly_Settlements!$F$2:$F$97,Weekly_Settlements!$B$2:$B$97,A6)</f>
        <v>14470</v>
      </c>
      <c r="F6">
        <f>SUMIFS(Weekly_Settlements!$G$2:$G$97,Weekly_Settlements!$B$2:$B$97,A6)</f>
        <v>16715</v>
      </c>
      <c r="G6">
        <f>AVERAGEIF(Weekly_Settlements!$B$2:$B$97,A6,Weekly_Settlements!$H$2:$H$97)</f>
        <v>91.75</v>
      </c>
      <c r="H6">
        <v>1925</v>
      </c>
      <c r="I6">
        <f>SUMIFS(Weekly_Settlements!$F$2:$F$97,Weekly_Settlements!$B$2:$B$97,A6,Weekly_Settlements!$A$2:$A$97,MAX(Weekly_Settlements!$A$2:$A$97))</f>
        <v>1880</v>
      </c>
      <c r="J6">
        <f>COUNTIFS(Weekly_Settlements!$B$2:$B$97,A6,Weekly_Settlements!$J$2:$J$97,"Yes")/COUNTIF(Weekly_Settlements!$B$2:$B$97,A6)</f>
        <v>1</v>
      </c>
      <c r="K6">
        <f>COUNTIFS(Weekly_Settlements!$B$2:$B$97,A6,Weekly_Settlements!$I$2:$I$97,"Complete")</f>
        <v>8</v>
      </c>
      <c r="L6" t="str">
        <f>IF(AND(J6=1,K6=8,G6&gt;=85),"Ready",IF(G6&lt;85,"Review profitability","Packet review"))</f>
        <v>Ready</v>
      </c>
    </row>
    <row r="7">
      <c r="A7" t="str">
        <v>DRV-006</v>
      </c>
      <c r="B7" t="str">
        <v>Marcus W. Chen</v>
      </c>
      <c r="C7">
        <f>SUMIFS(Weekly_Settlements!$D$2:$D$97,Weekly_Settlements!$B$2:$B$97,A7)</f>
        <v>19105</v>
      </c>
      <c r="D7">
        <f>SUMIFS(Weekly_Settlements!$E$2:$E$97,Weekly_Settlements!$B$2:$B$97,A7)</f>
        <v>5490</v>
      </c>
      <c r="E7">
        <f>SUMIFS(Weekly_Settlements!$F$2:$F$97,Weekly_Settlements!$B$2:$B$97,A7)</f>
        <v>13615</v>
      </c>
      <c r="F7">
        <f>SUMIFS(Weekly_Settlements!$G$2:$G$97,Weekly_Settlements!$B$2:$B$97,A7)</f>
        <v>15875</v>
      </c>
      <c r="G7">
        <f>AVERAGEIF(Weekly_Settlements!$B$2:$B$97,A7,Weekly_Settlements!$H$2:$H$97)</f>
        <v>89.75</v>
      </c>
      <c r="H7">
        <v>1810</v>
      </c>
      <c r="I7">
        <f>SUMIFS(Weekly_Settlements!$F$2:$F$97,Weekly_Settlements!$B$2:$B$97,A7,Weekly_Settlements!$A$2:$A$97,MAX(Weekly_Settlements!$A$2:$A$97))</f>
        <v>1775</v>
      </c>
      <c r="J7">
        <f>COUNTIFS(Weekly_Settlements!$B$2:$B$97,A7,Weekly_Settlements!$J$2:$J$97,"Yes")/COUNTIF(Weekly_Settlements!$B$2:$B$97,A7)</f>
        <v>1</v>
      </c>
      <c r="K7">
        <f>COUNTIFS(Weekly_Settlements!$B$2:$B$97,A7,Weekly_Settlements!$I$2:$I$97,"Complete")</f>
        <v>8</v>
      </c>
      <c r="L7" t="str">
        <f>IF(AND(J7=1,K7=8,G7&gt;=85),"Ready",IF(G7&lt;85,"Review profitability","Packet review"))</f>
        <v>Ready</v>
      </c>
    </row>
    <row r="8">
      <c r="A8" t="str">
        <v>DRV-007</v>
      </c>
      <c r="B8" t="str">
        <v>Sofia I. Gomez</v>
      </c>
      <c r="C8">
        <f>SUMIFS(Weekly_Settlements!$D$2:$D$97,Weekly_Settlements!$B$2:$B$97,A8)</f>
        <v>18240</v>
      </c>
      <c r="D8">
        <f>SUMIFS(Weekly_Settlements!$E$2:$E$97,Weekly_Settlements!$B$2:$B$97,A8)</f>
        <v>5290</v>
      </c>
      <c r="E8">
        <f>SUMIFS(Weekly_Settlements!$F$2:$F$97,Weekly_Settlements!$B$2:$B$97,A8)</f>
        <v>12950</v>
      </c>
      <c r="F8">
        <f>SUMIFS(Weekly_Settlements!$G$2:$G$97,Weekly_Settlements!$B$2:$B$97,A8)</f>
        <v>15245</v>
      </c>
      <c r="G8">
        <f>AVERAGEIF(Weekly_Settlements!$B$2:$B$97,A8,Weekly_Settlements!$H$2:$H$97)</f>
        <v>88.75</v>
      </c>
      <c r="H8">
        <v>1730</v>
      </c>
      <c r="I8">
        <f>SUMIFS(Weekly_Settlements!$F$2:$F$97,Weekly_Settlements!$B$2:$B$97,A8,Weekly_Settlements!$A$2:$A$97,MAX(Weekly_Settlements!$A$2:$A$97))</f>
        <v>1690</v>
      </c>
      <c r="J8">
        <f>COUNTIFS(Weekly_Settlements!$B$2:$B$97,A8,Weekly_Settlements!$J$2:$J$97,"Yes")/COUNTIF(Weekly_Settlements!$B$2:$B$97,A8)</f>
        <v>1</v>
      </c>
      <c r="K8">
        <f>COUNTIFS(Weekly_Settlements!$B$2:$B$97,A8,Weekly_Settlements!$I$2:$I$97,"Complete")</f>
        <v>8</v>
      </c>
      <c r="L8" t="str">
        <f>IF(AND(J8=1,K8=8,G8&gt;=85),"Ready",IF(G8&lt;85,"Review profitability","Packet review"))</f>
        <v>Ready</v>
      </c>
    </row>
    <row r="9">
      <c r="A9" t="str">
        <v>DRV-008</v>
      </c>
      <c r="B9" t="str">
        <v>Liam P. Smith</v>
      </c>
      <c r="C9">
        <f>SUMIFS(Weekly_Settlements!$D$2:$D$97,Weekly_Settlements!$B$2:$B$97,A9)</f>
        <v>18865</v>
      </c>
      <c r="D9">
        <f>SUMIFS(Weekly_Settlements!$E$2:$E$97,Weekly_Settlements!$B$2:$B$97,A9)</f>
        <v>5410</v>
      </c>
      <c r="E9">
        <f>SUMIFS(Weekly_Settlements!$F$2:$F$97,Weekly_Settlements!$B$2:$B$97,A9)</f>
        <v>13455</v>
      </c>
      <c r="F9">
        <f>SUMIFS(Weekly_Settlements!$G$2:$G$97,Weekly_Settlements!$B$2:$B$97,A9)</f>
        <v>15720</v>
      </c>
      <c r="G9">
        <f>AVERAGEIF(Weekly_Settlements!$B$2:$B$97,A9,Weekly_Settlements!$H$2:$H$97)</f>
        <v>89.75</v>
      </c>
      <c r="H9">
        <v>1790</v>
      </c>
      <c r="I9">
        <f>SUMIFS(Weekly_Settlements!$F$2:$F$97,Weekly_Settlements!$B$2:$B$97,A9,Weekly_Settlements!$A$2:$A$97,MAX(Weekly_Settlements!$A$2:$A$97))</f>
        <v>1755</v>
      </c>
      <c r="J9">
        <f>COUNTIFS(Weekly_Settlements!$B$2:$B$97,A9,Weekly_Settlements!$J$2:$J$97,"Yes")/COUNTIF(Weekly_Settlements!$B$2:$B$97,A9)</f>
        <v>1</v>
      </c>
      <c r="K9">
        <f>COUNTIFS(Weekly_Settlements!$B$2:$B$97,A9,Weekly_Settlements!$I$2:$I$97,"Complete")</f>
        <v>8</v>
      </c>
      <c r="L9" t="str">
        <f>IF(AND(J9=1,K9=8,G9&gt;=85),"Ready",IF(G9&lt;85,"Review profitability","Packet review"))</f>
        <v>Ready</v>
      </c>
    </row>
    <row r="10">
      <c r="A10" t="str">
        <v>DRV-009</v>
      </c>
      <c r="B10" t="str">
        <v>Emma C. Brown</v>
      </c>
      <c r="C10">
        <f>SUMIFS(Weekly_Settlements!$D$2:$D$97,Weekly_Settlements!$B$2:$B$97,A10)</f>
        <v>17970</v>
      </c>
      <c r="D10">
        <f>SUMIFS(Weekly_Settlements!$E$2:$E$97,Weekly_Settlements!$B$2:$B$97,A10)</f>
        <v>5250</v>
      </c>
      <c r="E10">
        <f>SUMIFS(Weekly_Settlements!$F$2:$F$97,Weekly_Settlements!$B$2:$B$97,A10)</f>
        <v>12720</v>
      </c>
      <c r="F10">
        <f>SUMIFS(Weekly_Settlements!$G$2:$G$97,Weekly_Settlements!$B$2:$B$97,A10)</f>
        <v>15055</v>
      </c>
      <c r="G10">
        <f>AVERAGEIF(Weekly_Settlements!$B$2:$B$97,A10,Weekly_Settlements!$H$2:$H$97)</f>
        <v>87.75</v>
      </c>
      <c r="H10">
        <v>1700</v>
      </c>
      <c r="I10">
        <f>SUMIFS(Weekly_Settlements!$F$2:$F$97,Weekly_Settlements!$B$2:$B$97,A10,Weekly_Settlements!$A$2:$A$97,MAX(Weekly_Settlements!$A$2:$A$97))</f>
        <v>1665</v>
      </c>
      <c r="J10">
        <f>COUNTIFS(Weekly_Settlements!$B$2:$B$97,A10,Weekly_Settlements!$J$2:$J$97,"Yes")/COUNTIF(Weekly_Settlements!$B$2:$B$97,A10)</f>
        <v>1</v>
      </c>
      <c r="K10">
        <f>COUNTIFS(Weekly_Settlements!$B$2:$B$97,A10,Weekly_Settlements!$I$2:$I$97,"Complete")</f>
        <v>8</v>
      </c>
      <c r="L10" t="str">
        <f>IF(AND(J10=1,K10=8,G10&gt;=85),"Ready",IF(G10&lt;85,"Review profitability","Packet review"))</f>
        <v>Ready</v>
      </c>
    </row>
    <row r="11">
      <c r="A11" t="str">
        <v>DRV-010</v>
      </c>
      <c r="B11" t="str">
        <v>Noah R. Wilson</v>
      </c>
      <c r="C11">
        <f>SUMIFS(Weekly_Settlements!$D$2:$D$97,Weekly_Settlements!$B$2:$B$97,A11)</f>
        <v>19355</v>
      </c>
      <c r="D11">
        <f>SUMIFS(Weekly_Settlements!$E$2:$E$97,Weekly_Settlements!$B$2:$B$97,A11)</f>
        <v>5580</v>
      </c>
      <c r="E11">
        <f>SUMIFS(Weekly_Settlements!$F$2:$F$97,Weekly_Settlements!$B$2:$B$97,A11)</f>
        <v>13775</v>
      </c>
      <c r="F11">
        <f>SUMIFS(Weekly_Settlements!$G$2:$G$97,Weekly_Settlements!$B$2:$B$97,A11)</f>
        <v>16055</v>
      </c>
      <c r="G11">
        <f>AVERAGEIF(Weekly_Settlements!$B$2:$B$97,A11,Weekly_Settlements!$H$2:$H$97)</f>
        <v>90.75</v>
      </c>
      <c r="H11">
        <v>1830</v>
      </c>
      <c r="I11">
        <f>SUMIFS(Weekly_Settlements!$F$2:$F$97,Weekly_Settlements!$B$2:$B$97,A11,Weekly_Settlements!$A$2:$A$97,MAX(Weekly_Settlements!$A$2:$A$97))</f>
        <v>1800</v>
      </c>
      <c r="J11">
        <f>COUNTIFS(Weekly_Settlements!$B$2:$B$97,A11,Weekly_Settlements!$J$2:$J$97,"Yes")/COUNTIF(Weekly_Settlements!$B$2:$B$97,A11)</f>
        <v>1</v>
      </c>
      <c r="K11">
        <f>COUNTIFS(Weekly_Settlements!$B$2:$B$97,A11,Weekly_Settlements!$I$2:$I$97,"Complete")</f>
        <v>8</v>
      </c>
      <c r="L11" t="str">
        <f>IF(AND(J11=1,K11=8,G11&gt;=85),"Ready",IF(G11&lt;85,"Review profitability","Packet review"))</f>
        <v>Ready</v>
      </c>
    </row>
    <row r="12">
      <c r="A12" t="str">
        <v>DRV-011</v>
      </c>
      <c r="B12" t="str">
        <v>Olivia M. Lee</v>
      </c>
      <c r="C12">
        <f>SUMIFS(Weekly_Settlements!$D$2:$D$97,Weekly_Settlements!$B$2:$B$97,A12)</f>
        <v>18465</v>
      </c>
      <c r="D12">
        <f>SUMIFS(Weekly_Settlements!$E$2:$E$97,Weekly_Settlements!$B$2:$B$97,A12)</f>
        <v>5370</v>
      </c>
      <c r="E12">
        <f>SUMIFS(Weekly_Settlements!$F$2:$F$97,Weekly_Settlements!$B$2:$B$97,A12)</f>
        <v>13095</v>
      </c>
      <c r="F12">
        <f>SUMIFS(Weekly_Settlements!$G$2:$G$97,Weekly_Settlements!$B$2:$B$97,A12)</f>
        <v>15400</v>
      </c>
      <c r="G12">
        <f>AVERAGEIF(Weekly_Settlements!$B$2:$B$97,A12,Weekly_Settlements!$H$2:$H$97)</f>
        <v>88.75</v>
      </c>
      <c r="H12">
        <v>1745</v>
      </c>
      <c r="I12">
        <f>SUMIFS(Weekly_Settlements!$F$2:$F$97,Weekly_Settlements!$B$2:$B$97,A12,Weekly_Settlements!$A$2:$A$97,MAX(Weekly_Settlements!$A$2:$A$97))</f>
        <v>1710</v>
      </c>
      <c r="J12">
        <f>COUNTIFS(Weekly_Settlements!$B$2:$B$97,A12,Weekly_Settlements!$J$2:$J$97,"Yes")/COUNTIF(Weekly_Settlements!$B$2:$B$97,A12)</f>
        <v>1</v>
      </c>
      <c r="K12">
        <f>COUNTIFS(Weekly_Settlements!$B$2:$B$97,A12,Weekly_Settlements!$I$2:$I$97,"Complete")</f>
        <v>8</v>
      </c>
      <c r="L12" t="str">
        <f>IF(AND(J12=1,K12=8,G12&gt;=85),"Ready",IF(G12&lt;85,"Review profitability","Packet review"))</f>
        <v>Ready</v>
      </c>
    </row>
    <row r="13">
      <c r="A13" t="str">
        <v>DRV-012</v>
      </c>
      <c r="B13" t="str">
        <v>Robert D. Johnson</v>
      </c>
      <c r="C13">
        <f>SUMIFS(Weekly_Settlements!$D$2:$D$97,Weekly_Settlements!$B$2:$B$97,A13)</f>
        <v>18950</v>
      </c>
      <c r="D13">
        <f>SUMIFS(Weekly_Settlements!$E$2:$E$97,Weekly_Settlements!$B$2:$B$97,A13)</f>
        <v>5450</v>
      </c>
      <c r="E13">
        <f>SUMIFS(Weekly_Settlements!$F$2:$F$97,Weekly_Settlements!$B$2:$B$97,A13)</f>
        <v>13500</v>
      </c>
      <c r="F13">
        <f>SUMIFS(Weekly_Settlements!$G$2:$G$97,Weekly_Settlements!$B$2:$B$97,A13)</f>
        <v>15845</v>
      </c>
      <c r="G13">
        <f>AVERAGEIF(Weekly_Settlements!$B$2:$B$97,A13,Weekly_Settlements!$H$2:$H$97)</f>
        <v>89.75</v>
      </c>
      <c r="H13">
        <v>1795</v>
      </c>
      <c r="I13">
        <f>SUMIFS(Weekly_Settlements!$F$2:$F$97,Weekly_Settlements!$B$2:$B$97,A13,Weekly_Settlements!$A$2:$A$97,MAX(Weekly_Settlements!$A$2:$A$97))</f>
        <v>1760</v>
      </c>
      <c r="J13">
        <f>COUNTIFS(Weekly_Settlements!$B$2:$B$97,A13,Weekly_Settlements!$J$2:$J$97,"Yes")/COUNTIF(Weekly_Settlements!$B$2:$B$97,A13)</f>
        <v>1</v>
      </c>
      <c r="K13">
        <f>COUNTIFS(Weekly_Settlements!$B$2:$B$97,A13,Weekly_Settlements!$I$2:$I$97,"Complete")</f>
        <v>8</v>
      </c>
      <c r="L13" t="str">
        <f>IF(AND(J13=1,K13=8,G13&gt;=85),"Ready",IF(G13&lt;85,"Review profitability","Packet review"))</f>
        <v>Ready</v>
      </c>
    </row>
  </sheetData>
  <pageMargins left="0.7" right="0.7" top="0.75" bottom="0.75" header="0.3" footer="0.3"/>
  <ignoredErrors>
    <ignoredError numberStoredAsText="1" sqref="A1:L1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14"/>
  <sheetViews>
    <sheetView workbookViewId="0" rightToLeft="0"/>
  </sheetViews>
  <sheetData>
    <row r="1">
      <c r="A1" t="str">
        <v>Safety KPI Source - Formula Driven</v>
      </c>
    </row>
    <row r="3">
      <c r="A3" t="str">
        <v>Metric</v>
      </c>
      <c r="B3" t="str">
        <v>Value</v>
      </c>
      <c r="D3" t="str">
        <v>Safety Page Upgrade Notes</v>
      </c>
    </row>
    <row r="4">
      <c r="A4" t="str">
        <v>Total Safety Events</v>
      </c>
      <c r="B4">
        <f>COUNTA(Safety_Events!A2:A500)</f>
        <v>12</v>
      </c>
      <c r="D4" t="str">
        <v>Use Main Safety row 1 as driver-level rollup headers.</v>
      </c>
    </row>
    <row r="5">
      <c r="A5" t="str">
        <v>Open Events</v>
      </c>
      <c r="B5">
        <f>COUNTIF(Safety_Events!F2:F500,"OPEN")</f>
        <v>8</v>
      </c>
      <c r="D5" t="str">
        <v>Use Safety_Events row 1 as event-level headers; AC:AY add workflow/operational fields.</v>
      </c>
    </row>
    <row r="6">
      <c r="A6" t="str">
        <v>Critical Events</v>
      </c>
      <c r="B6">
        <f>COUNTIF(Safety_Events!E2:E500,"CRITICAL")</f>
        <v>5</v>
      </c>
      <c r="D6" t="str">
        <v>Prioritize Safety Action Status, Dispatch Block?, Settlement Hold?, Evidence Packet Complete?, Corrective Action Status, and Driver Acknowledged? in UI badges.</v>
      </c>
    </row>
    <row r="7">
      <c r="A7" t="str">
        <v>Dispatch Blocks</v>
      </c>
      <c r="B7">
        <f>COUNTIF(Safety_Events!AU2:AU500,"YES")</f>
        <v>5</v>
      </c>
      <c r="D7" t="str">
        <v>Do not rename driver IDs unless the repo-wide ID convention audit confirms it is safe.</v>
      </c>
    </row>
    <row r="8">
      <c r="A8" t="str">
        <v>Settlement Holds</v>
      </c>
      <c r="B8">
        <f>COUNTIF(Safety_Events!AS2:AS500,"YES")</f>
        <v>5</v>
      </c>
      <c r="D8" t="str">
        <v>The dashboard should be powered by workbook data, not hardcoded safety events.</v>
      </c>
    </row>
    <row r="9">
      <c r="A9" t="str">
        <v>Evidence Packets Complete</v>
      </c>
      <c r="B9">
        <f>COUNTIF(Safety_Events!AV2:AV500,"YES")</f>
        <v>5</v>
      </c>
    </row>
    <row r="10">
      <c r="A10" t="str">
        <v>Average Driver Safety Score</v>
      </c>
      <c r="B10">
        <f>AVERAGE('Main Safety'!J2:J13)</f>
        <v>86.66666666666667</v>
      </c>
    </row>
    <row r="11">
      <c r="A11" t="str">
        <v>Drivers At Risk / Blocked</v>
      </c>
      <c r="B11">
        <f>COUNTIF('Main Safety'!W2:W13,"Dispatch Blocked")+COUNTIF('Main Safety'!W2:W13,"Settlement Hold")</f>
        <v>3</v>
      </c>
    </row>
    <row r="12">
      <c r="A12" t="str">
        <v>Insurance Claims Needed</v>
      </c>
      <c r="B12">
        <f>COUNTIF(Safety_Events!AB2:AB500,"YES")</f>
        <v>6</v>
      </c>
    </row>
    <row r="13">
      <c r="A13" t="str">
        <v>Open Corrective Actions</v>
      </c>
      <c r="B13">
        <f>COUNTIF(Safety_Events!AL2:AL500,"Open")+COUNTIF(Safety_Events!AL2:AL500,"In Progress")+COUNTIF(Safety_Events!AL2:AL500,"Scheduled")</f>
        <v>8</v>
      </c>
    </row>
    <row r="14">
      <c r="A14" t="str">
        <v>Driver Acknowledgments Pending</v>
      </c>
      <c r="B14">
        <f>COUNTIF(Safety_Events!AQ2:AQ500,"NO")</f>
        <v>8</v>
      </c>
    </row>
  </sheetData>
  <pageMargins left="0.7" right="0.7" top="0.75" bottom="0.75" header="0.3" footer="0.3"/>
  <ignoredErrors>
    <ignoredError numberStoredAsText="1" sqref="A1:H1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 rightToLeft="0"/>
  </sheetViews>
  <sheetData>
    <row r="1">
      <c r="A1" t="str">
        <v>Risk ID</v>
      </c>
      <c r="B1" t="str">
        <v>Module</v>
      </c>
      <c r="C1" t="str">
        <v>Driver ID</v>
      </c>
      <c r="D1" t="str">
        <v>Driver Name</v>
      </c>
      <c r="E1" t="str">
        <v>Load ID</v>
      </c>
      <c r="F1" t="str">
        <v>Asset ID</v>
      </c>
      <c r="G1" t="str">
        <v>Related Event ID</v>
      </c>
      <c r="H1" t="str">
        <v>Risk Type</v>
      </c>
      <c r="I1" t="str">
        <v>Severity</v>
      </c>
      <c r="J1" t="str">
        <v>Status</v>
      </c>
      <c r="K1" t="str">
        <v>Business Impact</v>
      </c>
      <c r="L1" t="str">
        <v>Dispatch Impact</v>
      </c>
      <c r="M1" t="str">
        <v>Settlement Impact</v>
      </c>
      <c r="N1" t="str">
        <v>Compliance Impact</v>
      </c>
      <c r="O1" t="str">
        <v>Insurance Impact</v>
      </c>
      <c r="P1" t="str">
        <v>Due Date</v>
      </c>
      <c r="Q1" t="str">
        <v>Assigned To</v>
      </c>
      <c r="R1" t="str">
        <v>Recommended Action</v>
      </c>
      <c r="S1" t="str">
        <v>Resolution Status</v>
      </c>
      <c r="T1" t="str">
        <v>Resolved Date</v>
      </c>
      <c r="U1" t="str">
        <v>Manager Action Required</v>
      </c>
    </row>
    <row r="2">
      <c r="A2" t="str">
        <v>RISK-001</v>
      </c>
      <c r="B2" t="str">
        <v>Dispatch/RFID</v>
      </c>
      <c r="C2" t="str">
        <v>DRV-001</v>
      </c>
      <c r="D2" t="str">
        <v>John Carter</v>
      </c>
      <c r="E2" t="str">
        <v>L-501</v>
      </c>
      <c r="F2" t="str">
        <v>T-102</v>
      </c>
      <c r="G2" t="str">
        <v>RFID-501-DEL</v>
      </c>
      <c r="H2" t="str">
        <v>Seal mismatch at delivery</v>
      </c>
      <c r="I2" t="str">
        <v>Critical</v>
      </c>
      <c r="J2" t="str">
        <v>Open</v>
      </c>
      <c r="K2" t="str">
        <v>Proof bundle must be reviewed before settlement release</v>
      </c>
      <c r="L2" t="str">
        <v>Blocked</v>
      </c>
      <c r="M2" t="str">
        <v>$750 hold</v>
      </c>
      <c r="N2" t="str">
        <v>None</v>
      </c>
      <c r="O2" t="str">
        <v>Medium</v>
      </c>
      <c r="P2">
        <v>46162</v>
      </c>
      <c r="Q2" t="str">
        <v>Tina Brooks</v>
      </c>
      <c r="R2" t="str">
        <v>Compare pickup and delivery seal photos; approve exception or escalate claim</v>
      </c>
      <c r="S2" t="str">
        <v>Open</v>
      </c>
      <c r="T2" t="str">
        <v/>
      </c>
      <c r="U2" t="str">
        <v>Review seal mismatch packet</v>
      </c>
    </row>
    <row r="3">
      <c r="A3" t="str">
        <v>RISK-002</v>
      </c>
      <c r="B3" t="str">
        <v>Safety</v>
      </c>
      <c r="C3" t="str">
        <v>DRV-010</v>
      </c>
      <c r="D3" t="str">
        <v>Noah Wilson</v>
      </c>
      <c r="E3" t="str">
        <v>L-510</v>
      </c>
      <c r="F3" t="str">
        <v>T-107</v>
      </c>
      <c r="G3" t="str">
        <v>EVT-001</v>
      </c>
      <c r="H3" t="str">
        <v>HOS coaching and driver acknowledgment pending</v>
      </c>
      <c r="I3" t="str">
        <v>Critical</v>
      </c>
      <c r="J3" t="str">
        <v>Open</v>
      </c>
      <c r="K3" t="str">
        <v>Driver safety coaching is blocking dispatch release and safety bonus approval</v>
      </c>
      <c r="L3" t="str">
        <v>Blocked</v>
      </c>
      <c r="M3" t="str">
        <v>$250 hold</v>
      </c>
      <c r="N3" t="str">
        <v>HOS review required</v>
      </c>
      <c r="O3" t="str">
        <v>Low</v>
      </c>
      <c r="P3">
        <v>46164</v>
      </c>
      <c r="Q3" t="str">
        <v>Safety Manager</v>
      </c>
      <c r="R3" t="str">
        <v>Complete HOS coaching, collect driver statement, and release safety hold</v>
      </c>
      <c r="S3" t="str">
        <v>In Progress</v>
      </c>
      <c r="T3" t="str">
        <v/>
      </c>
      <c r="U3" t="str">
        <v>Finish coaching and release hold</v>
      </c>
    </row>
    <row r="4">
      <c r="A4" t="str">
        <v>RISK-003</v>
      </c>
      <c r="B4" t="str">
        <v>Settlement</v>
      </c>
      <c r="C4" t="str">
        <v>DRV-007</v>
      </c>
      <c r="D4" t="str">
        <v>Sofia Gomez</v>
      </c>
      <c r="E4" t="str">
        <v>L-507</v>
      </c>
      <c r="F4" t="str">
        <v>T-109</v>
      </c>
      <c r="G4" t="str">
        <v>HOLD-003</v>
      </c>
      <c r="H4" t="str">
        <v>QR lumper authorization closeout pending</v>
      </c>
      <c r="I4" t="str">
        <v>Medium</v>
      </c>
      <c r="J4" t="str">
        <v>Open</v>
      </c>
      <c r="K4" t="str">
        <v>Accessorial closeout waits on dock-side QR authorization, empty-trailer proof, and Zelle payment confirmation</v>
      </c>
      <c r="L4" t="str">
        <v>Eligible</v>
      </c>
      <c r="M4" t="str">
        <v>$180 closeout hold</v>
      </c>
      <c r="N4" t="str">
        <v>None</v>
      </c>
      <c r="O4" t="str">
        <v>None</v>
      </c>
      <c r="P4">
        <v>46162</v>
      </c>
      <c r="Q4" t="str">
        <v>Settlement Desk</v>
      </c>
      <c r="R4" t="str">
        <v>Match QR dock authorization, empty-trailer proof, and Zelle payment confirmation to release accessorial closeout</v>
      </c>
      <c r="S4" t="str">
        <v>Open</v>
      </c>
      <c r="T4" t="str">
        <v/>
      </c>
      <c r="U4" t="str">
        <v>Review QR lumper closeout</v>
      </c>
    </row>
  </sheetData>
  <ignoredErrors>
    <ignoredError numberStoredAsText="1" sqref="A1:U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R7"/>
  <sheetViews>
    <sheetView workbookViewId="0" rightToLeft="0"/>
  </sheetViews>
  <sheetData>
    <row r="1">
      <c r="A1" t="str">
        <v>Action ID</v>
      </c>
      <c r="B1" t="str">
        <v>Driver ID</v>
      </c>
      <c r="C1" t="str">
        <v>Driver Name</v>
      </c>
      <c r="D1" t="str">
        <v>Compliance Area</v>
      </c>
      <c r="E1" t="str">
        <v>Document Type</v>
      </c>
      <c r="F1" t="str">
        <v>Issue Type</v>
      </c>
      <c r="G1" t="str">
        <v>Severity</v>
      </c>
      <c r="H1" t="str">
        <v>Status</v>
      </c>
      <c r="I1" t="str">
        <v>Due Date</v>
      </c>
      <c r="J1" t="str">
        <v>Days Until Due</v>
      </c>
      <c r="K1" t="str">
        <v>Dispatch Eligibility Impact</v>
      </c>
      <c r="L1" t="str">
        <v>Settlement Impact</v>
      </c>
      <c r="M1" t="str">
        <v>Assigned To</v>
      </c>
      <c r="N1" t="str">
        <v>Last Reviewed By</v>
      </c>
      <c r="O1" t="str">
        <v>Last Reviewed Date</v>
      </c>
      <c r="P1" t="str">
        <v>Required Fix</v>
      </c>
      <c r="Q1" t="str">
        <v>Fix Link</v>
      </c>
      <c r="R1" t="str">
        <v>Manager Action Required</v>
      </c>
    </row>
    <row r="2">
      <c r="A2" t="str">
        <v>CA-001</v>
      </c>
      <c r="B2" t="str">
        <v>DRV-004</v>
      </c>
      <c r="C2" t="str">
        <v>Priya Patel</v>
      </c>
      <c r="D2" t="str">
        <v>Medical/DQF</v>
      </c>
      <c r="E2" t="str">
        <v>Medical Card</v>
      </c>
      <c r="F2" t="str">
        <v>Needs final verification</v>
      </c>
      <c r="G2" t="str">
        <v>High</v>
      </c>
      <c r="H2" t="str">
        <v>Open</v>
      </c>
      <c r="I2">
        <v>46163</v>
      </c>
      <c r="J2">
        <v>3</v>
      </c>
      <c r="K2" t="str">
        <v>Blocked</v>
      </c>
      <c r="L2" t="str">
        <v>None</v>
      </c>
      <c r="M2" t="str">
        <v>Compliance Lead</v>
      </c>
      <c r="N2" t="str">
        <v>A. Reynolds</v>
      </c>
      <c r="O2">
        <v>46159</v>
      </c>
      <c r="P2" t="str">
        <v>Verify medical card expiration and mark DQF complete</v>
      </c>
      <c r="Q2" t="str">
        <v>/documents/vault/DRV-004</v>
      </c>
      <c r="R2" t="str">
        <v>Review med card and unlock dispatch</v>
      </c>
    </row>
    <row r="3">
      <c r="A3" t="str">
        <v>CA-002</v>
      </c>
      <c r="B3" t="str">
        <v>DRV-012</v>
      </c>
      <c r="C3" t="str">
        <v>Robert Johnson</v>
      </c>
      <c r="D3" t="str">
        <v>Pre-trip Evidence</v>
      </c>
      <c r="E3" t="str">
        <v>Pre-trip Photo Packet</v>
      </c>
      <c r="F3" t="str">
        <v>Missing required pre-trip photos</v>
      </c>
      <c r="G3" t="str">
        <v>Medium</v>
      </c>
      <c r="H3" t="str">
        <v>Open</v>
      </c>
      <c r="I3">
        <v>46161</v>
      </c>
      <c r="J3">
        <v>1</v>
      </c>
      <c r="K3" t="str">
        <v>Conditional</v>
      </c>
      <c r="L3" t="str">
        <v>None</v>
      </c>
      <c r="M3" t="str">
        <v>Driver Coordinator</v>
      </c>
      <c r="N3" t="str">
        <v>S. Howard</v>
      </c>
      <c r="O3">
        <v>46160</v>
      </c>
      <c r="P3" t="str">
        <v>Collect exterior, tire, cargo and seal pre-trip photos</v>
      </c>
      <c r="Q3" t="str">
        <v>/dispatch/L-512/proof</v>
      </c>
      <c r="R3" t="str">
        <v>Collect pre-trip photos</v>
      </c>
    </row>
    <row r="4">
      <c r="A4" t="str">
        <v>CA-003</v>
      </c>
      <c r="B4" t="str">
        <v>DRV-010</v>
      </c>
      <c r="C4" t="str">
        <v>Noah Wilson</v>
      </c>
      <c r="D4" t="str">
        <v>Safety/HOS</v>
      </c>
      <c r="E4" t="str">
        <v>Driver Acknowledgment</v>
      </c>
      <c r="F4" t="str">
        <v>HOS coaching acknowledgment missing</v>
      </c>
      <c r="G4" t="str">
        <v>High</v>
      </c>
      <c r="H4" t="str">
        <v>Open</v>
      </c>
      <c r="I4">
        <v>46164</v>
      </c>
      <c r="J4">
        <v>4</v>
      </c>
      <c r="K4" t="str">
        <v>Conditional</v>
      </c>
      <c r="L4" t="str">
        <v>Hold</v>
      </c>
      <c r="M4" t="str">
        <v>Safety Manager</v>
      </c>
      <c r="N4" t="str">
        <v>M. Davis</v>
      </c>
      <c r="O4">
        <v>46159</v>
      </c>
      <c r="P4" t="str">
        <v>Complete coaching acknowledgment and upload signed note</v>
      </c>
      <c r="Q4" t="str">
        <v>/safety/events/SE-010</v>
      </c>
      <c r="R4" t="str">
        <v>Complete safety acknowledgment</v>
      </c>
    </row>
    <row r="5">
      <c r="A5" t="str">
        <v>CA-004</v>
      </c>
      <c r="B5" t="str">
        <v>DRV-009</v>
      </c>
      <c r="C5" t="str">
        <v>Emma Brown</v>
      </c>
      <c r="D5" t="str">
        <v>Maintenance Evidence</v>
      </c>
      <c r="E5" t="str">
        <v>Post-repair Photo</v>
      </c>
      <c r="F5" t="str">
        <v>Tire repair evidence missing</v>
      </c>
      <c r="G5" t="str">
        <v>Critical</v>
      </c>
      <c r="H5" t="str">
        <v>Open</v>
      </c>
      <c r="I5">
        <v>46161</v>
      </c>
      <c r="J5">
        <v>1</v>
      </c>
      <c r="K5" t="str">
        <v>Blocked</v>
      </c>
      <c r="L5" t="str">
        <v>None</v>
      </c>
      <c r="M5" t="str">
        <v>Maintenance Desk</v>
      </c>
      <c r="N5" t="str">
        <v>R. Collins</v>
      </c>
      <c r="O5">
        <v>46160</v>
      </c>
      <c r="P5" t="str">
        <v>Upload tire repair invoice and photo evidence</v>
      </c>
      <c r="Q5" t="str">
        <v>/maintenance/work-orders/WO-003</v>
      </c>
      <c r="R5" t="str">
        <v>Clear maintenance dispatch block</v>
      </c>
    </row>
    <row r="6">
      <c r="A6" t="str">
        <v>CA-005</v>
      </c>
      <c r="B6" t="str">
        <v>DRV-001</v>
      </c>
      <c r="C6" t="str">
        <v>John Carter</v>
      </c>
      <c r="D6" t="str">
        <v>Dispatch Proof</v>
      </c>
      <c r="E6" t="str">
        <v>Seal Exception Packet</v>
      </c>
      <c r="F6" t="str">
        <v>Seal mismatch review required</v>
      </c>
      <c r="G6" t="str">
        <v>Critical</v>
      </c>
      <c r="H6" t="str">
        <v>Open</v>
      </c>
      <c r="I6">
        <v>46162</v>
      </c>
      <c r="J6">
        <v>2</v>
      </c>
      <c r="K6" t="str">
        <v>Blocked</v>
      </c>
      <c r="L6" t="str">
        <v>Hold</v>
      </c>
      <c r="M6" t="str">
        <v>Dispatch Supervisor</v>
      </c>
      <c r="N6" t="str">
        <v>T. Brooks</v>
      </c>
      <c r="O6">
        <v>46160</v>
      </c>
      <c r="P6" t="str">
        <v>Approve or escalate seal mismatch packet</v>
      </c>
      <c r="Q6" t="str">
        <v>/dispatch/L-501/proof</v>
      </c>
      <c r="R6" t="str">
        <v>Review seal exception</v>
      </c>
    </row>
    <row r="7">
      <c r="A7" t="str">
        <v>CA-006</v>
      </c>
      <c r="B7" t="str">
        <v>DRV-007</v>
      </c>
      <c r="C7" t="str">
        <v>Sofia Gomez</v>
      </c>
      <c r="D7" t="str">
        <v>Settlement Proof</v>
      </c>
      <c r="E7" t="str">
        <v>Lumper Receipt</v>
      </c>
      <c r="F7" t="str">
        <v>Missing accessorial receipt</v>
      </c>
      <c r="G7" t="str">
        <v>Medium</v>
      </c>
      <c r="H7" t="str">
        <v>Open</v>
      </c>
      <c r="I7">
        <v>46162</v>
      </c>
      <c r="J7">
        <v>2</v>
      </c>
      <c r="K7" t="str">
        <v>Eligible</v>
      </c>
      <c r="L7" t="str">
        <v>Hold</v>
      </c>
      <c r="M7" t="str">
        <v>Settlement Desk</v>
      </c>
      <c r="N7" t="str">
        <v>C. Nguyen</v>
      </c>
      <c r="O7">
        <v>46160</v>
      </c>
      <c r="P7" t="str">
        <v>Upload receipt or mark lumper not required</v>
      </c>
      <c r="Q7" t="str">
        <v>/settlements/DRV-007</v>
      </c>
      <c r="R7" t="str">
        <v>Resolve lumper receipt</v>
      </c>
    </row>
  </sheetData>
  <pageMargins left="0.7" right="0.7" top="0.75" bottom="0.75" header="0.3" footer="0.3"/>
  <ignoredErrors>
    <ignoredError numberStoredAsText="1" sqref="A1:R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P4"/>
  <sheetViews>
    <sheetView workbookViewId="0" rightToLeft="0"/>
  </sheetViews>
  <sheetData>
    <row r="1">
      <c r="A1" t="str">
        <v>Hold ID</v>
      </c>
      <c r="B1" t="str">
        <v>Week Ending</v>
      </c>
      <c r="C1" t="str">
        <v>Driver ID</v>
      </c>
      <c r="D1" t="str">
        <v>Driver Name</v>
      </c>
      <c r="E1" t="str">
        <v>Load ID</v>
      </c>
      <c r="F1" t="str">
        <v>Hold Type</v>
      </c>
      <c r="G1" t="str">
        <v>Hold Reason</v>
      </c>
      <c r="H1" t="str">
        <v>Related Module</v>
      </c>
      <c r="I1" t="str">
        <v>Related Event ID</v>
      </c>
      <c r="J1" t="str">
        <v>Hold Amount</v>
      </c>
      <c r="K1" t="str">
        <v>Status</v>
      </c>
      <c r="L1" t="str">
        <v>Opened Date</v>
      </c>
      <c r="M1" t="str">
        <v>Resolved Date</v>
      </c>
      <c r="N1" t="str">
        <v>Approved By</v>
      </c>
      <c r="O1" t="str">
        <v>Release Authorized By</v>
      </c>
      <c r="P1" t="str">
        <v>Manager Action Required</v>
      </c>
    </row>
    <row r="2">
      <c r="A2" t="str">
        <v>HOLD-001</v>
      </c>
      <c r="B2">
        <v>46159</v>
      </c>
      <c r="C2" t="str">
        <v>DRV-001</v>
      </c>
      <c r="D2" t="str">
        <v>John Carter</v>
      </c>
      <c r="E2" t="str">
        <v>L-501</v>
      </c>
      <c r="F2" t="str">
        <v>Proof Hold</v>
      </c>
      <c r="G2" t="str">
        <v>Delivery seal mismatch requires manager review</v>
      </c>
      <c r="H2" t="str">
        <v>Dispatch/RFID</v>
      </c>
      <c r="I2" t="str">
        <v>RFID-501-DEL</v>
      </c>
      <c r="J2">
        <v>750</v>
      </c>
      <c r="K2" t="str">
        <v>Open</v>
      </c>
      <c r="L2">
        <v>46160</v>
      </c>
      <c r="M2" t="str">
        <v/>
      </c>
      <c r="N2" t="str">
        <v>A. Reynolds</v>
      </c>
      <c r="O2" t="str">
        <v/>
      </c>
      <c r="P2" t="str">
        <v>Review seal proof bundle</v>
      </c>
    </row>
    <row r="3">
      <c r="A3" t="str">
        <v>HOLD-002</v>
      </c>
      <c r="B3">
        <v>46159</v>
      </c>
      <c r="C3" t="str">
        <v>DRV-010</v>
      </c>
      <c r="D3" t="str">
        <v>Noah Wilson</v>
      </c>
      <c r="E3" t="str">
        <v>L-510</v>
      </c>
      <c r="F3" t="str">
        <v>Safety Hold</v>
      </c>
      <c r="G3" t="str">
        <v>HOS coaching acknowledgment not complete</v>
      </c>
      <c r="H3" t="str">
        <v>Safety</v>
      </c>
      <c r="I3" t="str">
        <v>EVT-001</v>
      </c>
      <c r="J3">
        <v>250</v>
      </c>
      <c r="K3" t="str">
        <v>Open</v>
      </c>
      <c r="L3">
        <v>46160</v>
      </c>
      <c r="M3" t="str">
        <v/>
      </c>
      <c r="N3" t="str">
        <v>T. Brooks</v>
      </c>
      <c r="O3" t="str">
        <v/>
      </c>
      <c r="P3" t="str">
        <v>Complete coaching acknowledgment</v>
      </c>
    </row>
    <row r="4">
      <c r="A4" t="str">
        <v>HOLD-003</v>
      </c>
      <c r="B4">
        <v>46159</v>
      </c>
      <c r="C4" t="str">
        <v>DRV-007</v>
      </c>
      <c r="D4" t="str">
        <v>Sofia Gomez</v>
      </c>
      <c r="E4" t="str">
        <v>L-507</v>
      </c>
      <c r="F4" t="str">
        <v>QR Lumper Closeout</v>
      </c>
      <c r="G4" t="str">
        <v>QR lumper authorization and Zelle payment closeout pending</v>
      </c>
      <c r="H4" t="str">
        <v>Settlements</v>
      </c>
      <c r="I4" t="str">
        <v>LUMPER-QR-507</v>
      </c>
      <c r="J4">
        <v>180</v>
      </c>
      <c r="K4" t="str">
        <v>Open</v>
      </c>
      <c r="L4">
        <v>46160</v>
      </c>
      <c r="M4" t="str">
        <v/>
      </c>
      <c r="N4" t="str">
        <v>C. Nguyen</v>
      </c>
      <c r="O4" t="str">
        <v/>
      </c>
      <c r="P4" t="str">
        <v>Review QR lumper closeout</v>
      </c>
    </row>
  </sheetData>
  <ignoredErrors>
    <ignoredError numberStoredAsText="1" sqref="A1:P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W7"/>
  <sheetViews>
    <sheetView workbookViewId="0" rightToLeft="0"/>
  </sheetViews>
  <sheetData>
    <row r="1">
      <c r="A1" t="str">
        <v>Work Order ID</v>
      </c>
      <c r="B1" t="str">
        <v>Asset ID</v>
      </c>
      <c r="C1" t="str">
        <v>Trailer ID</v>
      </c>
      <c r="D1" t="str">
        <v>Driver ID</v>
      </c>
      <c r="E1" t="str">
        <v>Driver Name</v>
      </c>
      <c r="F1" t="str">
        <v>Issue Type</v>
      </c>
      <c r="G1" t="str">
        <v>Severity</v>
      </c>
      <c r="H1" t="str">
        <v>Reported Date</v>
      </c>
      <c r="I1" t="str">
        <v>Reported By</v>
      </c>
      <c r="J1" t="str">
        <v>Source</v>
      </c>
      <c r="K1" t="str">
        <v>Mileage</v>
      </c>
      <c r="L1" t="str">
        <v>Defect Description</v>
      </c>
      <c r="M1" t="str">
        <v>Photo Evidence URL</v>
      </c>
      <c r="N1" t="str">
        <v>DOT Impact</v>
      </c>
      <c r="O1" t="str">
        <v>Dispatch Block?</v>
      </c>
      <c r="P1" t="str">
        <v>Repair Status</v>
      </c>
      <c r="Q1" t="str">
        <v>Vendor Name</v>
      </c>
      <c r="R1" t="str">
        <v>Estimated Cost</v>
      </c>
      <c r="S1" t="str">
        <v>Actual Cost</v>
      </c>
      <c r="T1" t="str">
        <v>Scheduled Repair Date</v>
      </c>
      <c r="U1" t="str">
        <v>Completed Date</v>
      </c>
      <c r="V1" t="str">
        <v>Next PM Due</v>
      </c>
      <c r="W1" t="str">
        <v>Manager Action Required</v>
      </c>
    </row>
    <row r="2">
      <c r="A2" t="str">
        <v>WO-001</v>
      </c>
      <c r="B2" t="str">
        <v>T-102</v>
      </c>
      <c r="C2" t="str">
        <v>TRL-2854</v>
      </c>
      <c r="D2" t="str">
        <v>DRV-001</v>
      </c>
      <c r="E2" t="str">
        <v>John Carter</v>
      </c>
      <c r="F2" t="str">
        <v>Seal door inspection</v>
      </c>
      <c r="G2" t="str">
        <v>Medium</v>
      </c>
      <c r="H2">
        <v>46160</v>
      </c>
      <c r="I2" t="str">
        <v>Dispatch</v>
      </c>
      <c r="J2" t="str">
        <v>Post-delivery inspection</v>
      </c>
      <c r="K2">
        <v>184230</v>
      </c>
      <c r="L2" t="str">
        <v>Check trailer door seal after delivery seal mismatch</v>
      </c>
      <c r="M2" t="str">
        <v>/maintenance/photos/WO-001-door-seal.jpg</v>
      </c>
      <c r="N2" t="str">
        <v>No</v>
      </c>
      <c r="O2" t="str">
        <v>No</v>
      </c>
      <c r="P2" t="str">
        <v>Scheduled</v>
      </c>
      <c r="Q2" t="str">
        <v>Great Lakes Trailer Repair</v>
      </c>
      <c r="R2">
        <v>325</v>
      </c>
      <c r="T2">
        <v>46163</v>
      </c>
      <c r="V2">
        <v>46188</v>
      </c>
      <c r="W2" t="str">
        <v>Complete seal door inspection</v>
      </c>
    </row>
    <row r="3">
      <c r="A3" t="str">
        <v>WO-002</v>
      </c>
      <c r="B3" t="str">
        <v>T-107</v>
      </c>
      <c r="C3" t="str">
        <v>TRL-7142</v>
      </c>
      <c r="D3" t="str">
        <v>DRV-010</v>
      </c>
      <c r="E3" t="str">
        <v>Noah Wilson</v>
      </c>
      <c r="F3" t="str">
        <v>ELD/HOS diagnostic</v>
      </c>
      <c r="G3" t="str">
        <v>Medium</v>
      </c>
      <c r="H3">
        <v>46159</v>
      </c>
      <c r="I3" t="str">
        <v>Safety</v>
      </c>
      <c r="J3" t="str">
        <v>Telematics</v>
      </c>
      <c r="K3">
        <v>156812</v>
      </c>
      <c r="L3" t="str">
        <v>Review ELD sync issue connected to HOS coaching event</v>
      </c>
      <c r="M3" t="str">
        <v>/maintenance/photos/WO-002-eld.jpg</v>
      </c>
      <c r="N3" t="str">
        <v>No</v>
      </c>
      <c r="O3" t="str">
        <v>No</v>
      </c>
      <c r="P3" t="str">
        <v>In Progress</v>
      </c>
      <c r="Q3" t="str">
        <v>FleetTech Mobile</v>
      </c>
      <c r="R3">
        <v>240</v>
      </c>
      <c r="T3">
        <v>46162</v>
      </c>
      <c r="V3">
        <v>46174</v>
      </c>
      <c r="W3" t="str">
        <v>Complete ELD diagnostic</v>
      </c>
    </row>
    <row r="4">
      <c r="A4" t="str">
        <v>WO-003</v>
      </c>
      <c r="B4" t="str">
        <v>T-104</v>
      </c>
      <c r="C4" t="str">
        <v>TRL-6620</v>
      </c>
      <c r="D4" t="str">
        <v>DRV-009</v>
      </c>
      <c r="E4" t="str">
        <v>Emma Brown</v>
      </c>
      <c r="F4" t="str">
        <v>Tire defect</v>
      </c>
      <c r="G4" t="str">
        <v>Critical</v>
      </c>
      <c r="H4">
        <v>46160</v>
      </c>
      <c r="I4" t="str">
        <v>Driver</v>
      </c>
      <c r="J4" t="str">
        <v>Pre-trip photo</v>
      </c>
      <c r="K4">
        <v>201450</v>
      </c>
      <c r="L4" t="str">
        <v>Drive tire sidewall damage visible in pre-trip photo</v>
      </c>
      <c r="M4" t="str">
        <v>/maintenance/photos/WO-003-tire.jpg</v>
      </c>
      <c r="N4" t="str">
        <v>Yes</v>
      </c>
      <c r="O4" t="str">
        <v>Yes</v>
      </c>
      <c r="P4" t="str">
        <v>Open</v>
      </c>
      <c r="Q4" t="str">
        <v>Interstate Tire Service</v>
      </c>
      <c r="R4">
        <v>675</v>
      </c>
      <c r="T4">
        <v>46161</v>
      </c>
      <c r="V4">
        <v>46171</v>
      </c>
      <c r="W4" t="str">
        <v>Repair tire and upload closeout photo</v>
      </c>
    </row>
    <row r="5">
      <c r="A5" t="str">
        <v>WO-004</v>
      </c>
      <c r="B5" t="str">
        <v>T-103</v>
      </c>
      <c r="C5" t="str">
        <v>TRL-7305</v>
      </c>
      <c r="D5" t="str">
        <v>DRV-006</v>
      </c>
      <c r="E5" t="str">
        <v>Marcus Chen</v>
      </c>
      <c r="F5" t="str">
        <v>Reefer temperature check</v>
      </c>
      <c r="G5" t="str">
        <v>High</v>
      </c>
      <c r="H5">
        <v>46160</v>
      </c>
      <c r="I5" t="str">
        <v>Dispatch</v>
      </c>
      <c r="J5" t="str">
        <v>Weather reroute</v>
      </c>
      <c r="K5">
        <v>142090</v>
      </c>
      <c r="L5" t="str">
        <v>Verify reefer temp stability after route delay</v>
      </c>
      <c r="M5" t="str">
        <v>/maintenance/photos/WO-004-reefer.jpg</v>
      </c>
      <c r="N5" t="str">
        <v>No</v>
      </c>
      <c r="O5" t="str">
        <v>No</v>
      </c>
      <c r="P5" t="str">
        <v>Monitoring</v>
      </c>
      <c r="Q5" t="str">
        <v>Thermo King Partner</v>
      </c>
      <c r="R5">
        <v>180</v>
      </c>
      <c r="T5">
        <v>46163</v>
      </c>
      <c r="V5">
        <v>46176</v>
      </c>
      <c r="W5" t="str">
        <v>Monitor temp logs through delivery</v>
      </c>
    </row>
    <row r="6">
      <c r="A6" t="str">
        <v>WO-005</v>
      </c>
      <c r="B6" t="str">
        <v>T-108</v>
      </c>
      <c r="C6" t="str">
        <v>TRL-6127</v>
      </c>
      <c r="D6" t="str">
        <v>DRV-004</v>
      </c>
      <c r="E6" t="str">
        <v>Priya Patel</v>
      </c>
      <c r="F6" t="str">
        <v>Annual inspection packet</v>
      </c>
      <c r="G6" t="str">
        <v>Medium</v>
      </c>
      <c r="H6">
        <v>46158</v>
      </c>
      <c r="I6" t="str">
        <v>Compliance</v>
      </c>
      <c r="J6" t="str">
        <v>Asset file review</v>
      </c>
      <c r="K6">
        <v>175260</v>
      </c>
      <c r="L6" t="str">
        <v>Annual inspection file needs vendor invoice attached</v>
      </c>
      <c r="M6" t="str">
        <v>/maintenance/photos/WO-005-inspection.pdf</v>
      </c>
      <c r="N6" t="str">
        <v>Yes</v>
      </c>
      <c r="O6" t="str">
        <v>Conditional</v>
      </c>
      <c r="P6" t="str">
        <v>Awaiting Documents</v>
      </c>
      <c r="Q6" t="str">
        <v>Midwest Fleet Service</v>
      </c>
      <c r="R6">
        <v>0</v>
      </c>
      <c r="T6">
        <v>46165</v>
      </c>
      <c r="V6">
        <v>46183</v>
      </c>
      <c r="W6" t="str">
        <v>Attach inspection invoice</v>
      </c>
    </row>
    <row r="7">
      <c r="A7" t="str">
        <v>WO-006</v>
      </c>
      <c r="B7" t="str">
        <v>T-111</v>
      </c>
      <c r="C7" t="str">
        <v>TRL-3908</v>
      </c>
      <c r="D7" t="str">
        <v>DRV-005</v>
      </c>
      <c r="E7" t="str">
        <v>Kenji Tanaka</v>
      </c>
      <c r="F7" t="str">
        <v>Preventive maintenance</v>
      </c>
      <c r="G7" t="str">
        <v>Low</v>
      </c>
      <c r="H7">
        <v>46157</v>
      </c>
      <c r="I7" t="str">
        <v>System</v>
      </c>
      <c r="J7" t="str">
        <v>PM schedule</v>
      </c>
      <c r="K7">
        <v>99020</v>
      </c>
      <c r="L7" t="str">
        <v>Routine oil service due within 1,000 miles</v>
      </c>
      <c r="M7" t="str">
        <v>/maintenance/photos/WO-006-pm.jpg</v>
      </c>
      <c r="N7" t="str">
        <v>No</v>
      </c>
      <c r="O7" t="str">
        <v>No</v>
      </c>
      <c r="P7" t="str">
        <v>Scheduled</v>
      </c>
      <c r="Q7" t="str">
        <v>Rush Truck Centers</v>
      </c>
      <c r="R7">
        <v>475</v>
      </c>
      <c r="T7">
        <v>46167</v>
      </c>
      <c r="V7">
        <v>46204</v>
      </c>
      <c r="W7" t="str">
        <v>Keep PM appointment</v>
      </c>
    </row>
  </sheetData>
  <pageMargins left="0.7" right="0.7" top="0.75" bottom="0.75" header="0.3" footer="0.3"/>
  <ignoredErrors>
    <ignoredError numberStoredAsText="1" sqref="A1:W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U8"/>
  <sheetViews>
    <sheetView workbookViewId="0" rightToLeft="0"/>
  </sheetViews>
  <sheetData>
    <row r="1">
      <c r="A1" t="str">
        <v>RFID Event ID</v>
      </c>
      <c r="B1" t="str">
        <v>Load ID</v>
      </c>
      <c r="C1" t="str">
        <v>Asset ID</v>
      </c>
      <c r="D1" t="str">
        <v>Trailer ID</v>
      </c>
      <c r="E1" t="str">
        <v>Cargo Tag ID</v>
      </c>
      <c r="F1" t="str">
        <v>Driver ID</v>
      </c>
      <c r="G1" t="str">
        <v>Driver Name</v>
      </c>
      <c r="H1" t="str">
        <v>Event Type</v>
      </c>
      <c r="I1" t="str">
        <v>Scan Timestamp</v>
      </c>
      <c r="J1" t="str">
        <v>Scan Location</v>
      </c>
      <c r="K1" t="str">
        <v>Expected Location</v>
      </c>
      <c r="L1" t="str">
        <v>Scan Status</v>
      </c>
      <c r="M1" t="str">
        <v>Exception Type</v>
      </c>
      <c r="N1" t="str">
        <v>Temperature Reading</v>
      </c>
      <c r="O1" t="str">
        <v>Seal Match Status</v>
      </c>
      <c r="P1" t="str">
        <v>GeoFence Status</v>
      </c>
      <c r="Q1" t="str">
        <v>Reader Source</v>
      </c>
      <c r="R1" t="str">
        <v>Proof Impact</v>
      </c>
      <c r="S1" t="str">
        <v>Dispatch Impact</v>
      </c>
      <c r="T1" t="str">
        <v>Settlement Impact</v>
      </c>
      <c r="U1" t="str">
        <v>Manager Action Required</v>
      </c>
    </row>
    <row r="2">
      <c r="A2" t="str">
        <v>RFID-501-PU</v>
      </c>
      <c r="B2" t="str">
        <v>L-501</v>
      </c>
      <c r="C2" t="str">
        <v>T-102</v>
      </c>
      <c r="D2" t="str">
        <v>TRL-2854</v>
      </c>
      <c r="E2" t="str">
        <v>CARGO-5002</v>
      </c>
      <c r="F2" t="str">
        <v>DRV-001</v>
      </c>
      <c r="G2" t="str">
        <v>John Carter</v>
      </c>
      <c r="H2" t="str">
        <v>Pickup Gate Read</v>
      </c>
      <c r="I2">
        <v>46159.42152777778</v>
      </c>
      <c r="J2" t="str">
        <v>Atlanta Yard Gate 1</v>
      </c>
      <c r="K2" t="str">
        <v>Atlanta Yard Gate 1</v>
      </c>
      <c r="L2" t="str">
        <v>Verified</v>
      </c>
      <c r="N2">
        <v>-2.1</v>
      </c>
      <c r="O2" t="str">
        <v>Pickup seal captured</v>
      </c>
      <c r="P2" t="str">
        <v>Inside</v>
      </c>
      <c r="Q2" t="str">
        <v>Fixed reader</v>
      </c>
      <c r="R2" t="str">
        <v>Adds pickup proof</v>
      </c>
      <c r="S2" t="str">
        <v>Clear</v>
      </c>
      <c r="T2" t="str">
        <v>None</v>
      </c>
      <c r="U2" t="str">
        <v>No action</v>
      </c>
    </row>
    <row r="3">
      <c r="A3" t="str">
        <v>RFID-501-DEL</v>
      </c>
      <c r="B3" t="str">
        <v>L-501</v>
      </c>
      <c r="C3" t="str">
        <v>T-102</v>
      </c>
      <c r="D3" t="str">
        <v>TRL-2854</v>
      </c>
      <c r="E3" t="str">
        <v>CARGO-5002</v>
      </c>
      <c r="F3" t="str">
        <v>DRV-001</v>
      </c>
      <c r="G3" t="str">
        <v>John Carter</v>
      </c>
      <c r="H3" t="str">
        <v>Delivery Dock Read</v>
      </c>
      <c r="I3">
        <v>46160.38263888889</v>
      </c>
      <c r="J3" t="str">
        <v>Phoenix Dock Door 3</v>
      </c>
      <c r="K3" t="str">
        <v>Phoenix Dock Door 3</v>
      </c>
      <c r="L3" t="str">
        <v>Exception</v>
      </c>
      <c r="M3" t="str">
        <v>Seal mismatch</v>
      </c>
      <c r="N3">
        <v>-1.8</v>
      </c>
      <c r="O3" t="str">
        <v>Mismatch</v>
      </c>
      <c r="P3" t="str">
        <v>Inside</v>
      </c>
      <c r="Q3" t="str">
        <v>Dock reader</v>
      </c>
      <c r="R3" t="str">
        <v>Requires seal exception packet</v>
      </c>
      <c r="S3" t="str">
        <v>Blocked</v>
      </c>
      <c r="T3" t="str">
        <v>Hold</v>
      </c>
      <c r="U3" t="str">
        <v>Review seal photo packet</v>
      </c>
    </row>
    <row r="4">
      <c r="A4" t="str">
        <v>RFID-502-GEO</v>
      </c>
      <c r="B4" t="str">
        <v>L-502</v>
      </c>
      <c r="C4" t="str">
        <v>T-101</v>
      </c>
      <c r="D4" t="str">
        <v>TRL-2559</v>
      </c>
      <c r="E4" t="str">
        <v>CARGO-5004</v>
      </c>
      <c r="F4" t="str">
        <v>DRV-002</v>
      </c>
      <c r="G4" t="str">
        <v>Maria Lopez</v>
      </c>
      <c r="H4" t="str">
        <v>Route Geofence Read</v>
      </c>
      <c r="I4">
        <v>46159.65555555555</v>
      </c>
      <c r="J4" t="str">
        <v>Toledo OH I-75 corridor</v>
      </c>
      <c r="K4" t="str">
        <v>Planned I-90 corridor</v>
      </c>
      <c r="L4" t="str">
        <v>Reviewed</v>
      </c>
      <c r="M4" t="str">
        <v>Geofence exit</v>
      </c>
      <c r="O4" t="str">
        <v>Match</v>
      </c>
      <c r="P4" t="str">
        <v>Outside expected corridor</v>
      </c>
      <c r="Q4" t="str">
        <v>Mobile scan</v>
      </c>
      <c r="R4" t="str">
        <v>Adds route variance note</v>
      </c>
      <c r="S4" t="str">
        <v>Eligible</v>
      </c>
      <c r="T4" t="str">
        <v>None</v>
      </c>
      <c r="U4" t="str">
        <v>Preserve reroute note</v>
      </c>
    </row>
    <row r="5">
      <c r="A5" t="str">
        <v>RFID-503-DEL</v>
      </c>
      <c r="B5" t="str">
        <v>L-503</v>
      </c>
      <c r="C5" t="str">
        <v>T-106</v>
      </c>
      <c r="D5" t="str">
        <v>TRL-4412</v>
      </c>
      <c r="E5" t="str">
        <v>CARGO-5006</v>
      </c>
      <c r="F5" t="str">
        <v>DRV-003</v>
      </c>
      <c r="G5" t="str">
        <v>Alex Kim</v>
      </c>
      <c r="H5" t="str">
        <v>Delivery Dock Read</v>
      </c>
      <c r="I5">
        <v>46159.60277777778</v>
      </c>
      <c r="J5" t="str">
        <v>Nashville DC Dock 6</v>
      </c>
      <c r="K5" t="str">
        <v>Nashville DC Dock 6</v>
      </c>
      <c r="L5" t="str">
        <v>Verified</v>
      </c>
      <c r="N5">
        <v>42</v>
      </c>
      <c r="O5" t="str">
        <v>Match</v>
      </c>
      <c r="P5" t="str">
        <v>Inside</v>
      </c>
      <c r="Q5" t="str">
        <v>Dock reader</v>
      </c>
      <c r="R5" t="str">
        <v>Completes delivery proof</v>
      </c>
      <c r="S5" t="str">
        <v>Clear</v>
      </c>
      <c r="T5" t="str">
        <v>None</v>
      </c>
      <c r="U5" t="str">
        <v>No action</v>
      </c>
    </row>
    <row r="6">
      <c r="A6" t="str">
        <v>RFID-507-LUMP</v>
      </c>
      <c r="B6" t="str">
        <v>L-507</v>
      </c>
      <c r="C6" t="str">
        <v>T-109</v>
      </c>
      <c r="D6" t="str">
        <v>TRL-5174</v>
      </c>
      <c r="E6" t="str">
        <v>CARGO-5014</v>
      </c>
      <c r="F6" t="str">
        <v>DRV-007</v>
      </c>
      <c r="G6" t="str">
        <v>Sofia Gomez</v>
      </c>
      <c r="H6" t="str">
        <v>Lumper Area Read</v>
      </c>
      <c r="I6">
        <v>46159.50555555556</v>
      </c>
      <c r="J6" t="str">
        <v>Jacksonville DC Receiving</v>
      </c>
      <c r="K6" t="str">
        <v>Jacksonville DC Receiving</v>
      </c>
      <c r="L6" t="str">
        <v>Verified</v>
      </c>
      <c r="O6" t="str">
        <v>Match</v>
      </c>
      <c r="P6" t="str">
        <v>Inside</v>
      </c>
      <c r="Q6" t="str">
        <v>Handheld reader</v>
      </c>
      <c r="R6" t="str">
        <v>Supports lumper context</v>
      </c>
      <c r="S6" t="str">
        <v>Clear</v>
      </c>
      <c r="T6" t="str">
        <v>Hold until receipt</v>
      </c>
      <c r="U6" t="str">
        <v>Upload lumper receipt</v>
      </c>
    </row>
    <row r="7">
      <c r="A7" t="str">
        <v>RFID-509-PRE</v>
      </c>
      <c r="B7" t="str">
        <v>L-509</v>
      </c>
      <c r="C7" t="str">
        <v>T-104</v>
      </c>
      <c r="D7" t="str">
        <v>TRL-6620</v>
      </c>
      <c r="E7" t="str">
        <v>CARGO-5018</v>
      </c>
      <c r="F7" t="str">
        <v>DRV-009</v>
      </c>
      <c r="G7" t="str">
        <v>Emma Brown</v>
      </c>
      <c r="H7" t="str">
        <v>Pre-trip Yard Read</v>
      </c>
      <c r="I7">
        <v>46160.34722222222</v>
      </c>
      <c r="J7" t="str">
        <v>Cincinnati Yard</v>
      </c>
      <c r="K7" t="str">
        <v>Cincinnati Yard</v>
      </c>
      <c r="L7" t="str">
        <v>Exception</v>
      </c>
      <c r="M7" t="str">
        <v>Asset defect</v>
      </c>
      <c r="O7" t="str">
        <v>Not applicable</v>
      </c>
      <c r="P7" t="str">
        <v>Inside</v>
      </c>
      <c r="Q7" t="str">
        <v>Yard reader</v>
      </c>
      <c r="R7" t="str">
        <v>Pre-trip proof incomplete</v>
      </c>
      <c r="S7" t="str">
        <v>Blocked</v>
      </c>
      <c r="T7" t="str">
        <v>None</v>
      </c>
      <c r="U7" t="str">
        <v>Clear tire work order</v>
      </c>
    </row>
    <row r="8">
      <c r="A8" t="str">
        <v>RFID-510-MID</v>
      </c>
      <c r="B8" t="str">
        <v>L-510</v>
      </c>
      <c r="C8" t="str">
        <v>T-107</v>
      </c>
      <c r="D8" t="str">
        <v>TRL-7142</v>
      </c>
      <c r="E8" t="str">
        <v>CARGO-5020</v>
      </c>
      <c r="F8" t="str">
        <v>DRV-010</v>
      </c>
      <c r="G8" t="str">
        <v>Noah Wilson</v>
      </c>
      <c r="H8" t="str">
        <v>In-transit Read</v>
      </c>
      <c r="I8">
        <v>46160.69097222222</v>
      </c>
      <c r="J8" t="str">
        <v>Knoxville TN fuel stop</v>
      </c>
      <c r="K8" t="str">
        <v>I-75 corridor</v>
      </c>
      <c r="L8" t="str">
        <v>Verified</v>
      </c>
      <c r="O8" t="str">
        <v>Match</v>
      </c>
      <c r="P8" t="str">
        <v>Inside</v>
      </c>
      <c r="Q8" t="str">
        <v>Partner reader</v>
      </c>
      <c r="R8" t="str">
        <v>Adds chain-of-custody proof</v>
      </c>
      <c r="S8" t="str">
        <v>Eligible</v>
      </c>
      <c r="T8" t="str">
        <v>Conditional</v>
      </c>
      <c r="U8" t="str">
        <v>Finish HOS coaching</v>
      </c>
    </row>
  </sheetData>
  <pageMargins left="0.7" right="0.7" top="0.75" bottom="0.75" header="0.3" footer="0.3"/>
  <ignoredErrors>
    <ignoredError numberStoredAsText="1" sqref="A1:U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S8"/>
  <sheetViews>
    <sheetView workbookViewId="0" rightToLeft="0"/>
  </sheetViews>
  <sheetData>
    <row r="1">
      <c r="A1" t="str">
        <v>Route ID</v>
      </c>
      <c r="B1" t="str">
        <v>Load ID</v>
      </c>
      <c r="C1" t="str">
        <v>Driver ID</v>
      </c>
      <c r="D1" t="str">
        <v>Asset ID</v>
      </c>
      <c r="E1" t="str">
        <v>Origin</v>
      </c>
      <c r="F1" t="str">
        <v>Destination</v>
      </c>
      <c r="G1" t="str">
        <v>Planned Miles</v>
      </c>
      <c r="H1" t="str">
        <v>Estimated Drive Hours</v>
      </c>
      <c r="I1" t="str">
        <v>Fuel Stops Planned</v>
      </c>
      <c r="J1" t="str">
        <v>Rest Stops Planned</v>
      </c>
      <c r="K1" t="str">
        <v>Toll Estimate</v>
      </c>
      <c r="L1" t="str">
        <v>Weather Risk</v>
      </c>
      <c r="M1" t="str">
        <v>Route Risk Score</v>
      </c>
      <c r="N1" t="str">
        <v>Mapping Provider</v>
      </c>
      <c r="O1" t="str">
        <v>Route Polyline Status</v>
      </c>
      <c r="P1" t="str">
        <v>Diesel Data Status</v>
      </c>
      <c r="Q1" t="str">
        <v>Rest Stop Data Status</v>
      </c>
      <c r="R1" t="str">
        <v>Route Notes</v>
      </c>
      <c r="S1" t="str">
        <v>Manager Action Required</v>
      </c>
    </row>
    <row r="2">
      <c r="A2" t="str">
        <v>ROUTE-501</v>
      </c>
      <c r="B2" t="str">
        <v>L-501</v>
      </c>
      <c r="C2" t="str">
        <v>DRV-001</v>
      </c>
      <c r="D2" t="str">
        <v>T-102</v>
      </c>
      <c r="E2" t="str">
        <v>Atlanta, GA</v>
      </c>
      <c r="F2" t="str">
        <v>Phoenix, AZ</v>
      </c>
      <c r="G2">
        <v>1865</v>
      </c>
      <c r="H2">
        <v>29.5</v>
      </c>
      <c r="I2">
        <v>4</v>
      </c>
      <c r="J2">
        <v>3</v>
      </c>
      <c r="K2">
        <v>88</v>
      </c>
      <c r="L2" t="str">
        <v>Low</v>
      </c>
      <c r="M2">
        <v>72</v>
      </c>
      <c r="N2" t="str">
        <v>Mapbox/TomTom ready</v>
      </c>
      <c r="O2" t="str">
        <v>Ready for API polyline</v>
      </c>
      <c r="P2" t="str">
        <v>Demo price now / live-ready</v>
      </c>
      <c r="Q2" t="str">
        <v>Demo rest stops now / live-ready</v>
      </c>
      <c r="R2" t="str">
        <v>Long-haul route; seal exception affects proof not route</v>
      </c>
      <c r="S2" t="str">
        <v>Review seal exception only</v>
      </c>
    </row>
    <row r="3">
      <c r="A3" t="str">
        <v>ROUTE-502</v>
      </c>
      <c r="B3" t="str">
        <v>L-502</v>
      </c>
      <c r="C3" t="str">
        <v>DRV-002</v>
      </c>
      <c r="D3" t="str">
        <v>T-101</v>
      </c>
      <c r="E3" t="str">
        <v>Cleveland, OH</v>
      </c>
      <c r="F3" t="str">
        <v>Detroit, MI</v>
      </c>
      <c r="G3">
        <v>169</v>
      </c>
      <c r="H3">
        <v>3.1</v>
      </c>
      <c r="I3">
        <v>1</v>
      </c>
      <c r="J3">
        <v>0</v>
      </c>
      <c r="K3">
        <v>0</v>
      </c>
      <c r="L3" t="str">
        <v>Low</v>
      </c>
      <c r="M3">
        <v>35</v>
      </c>
      <c r="N3" t="str">
        <v>Mapbox/TomTom ready</v>
      </c>
      <c r="O3" t="str">
        <v>Ready for API polyline</v>
      </c>
      <c r="P3" t="str">
        <v>Demo price now / live-ready</v>
      </c>
      <c r="Q3" t="str">
        <v>Demo rest stops now / live-ready</v>
      </c>
      <c r="R3" t="str">
        <v>RFID geofence variance due to reroute note</v>
      </c>
      <c r="S3" t="str">
        <v>Preserve reroute note</v>
      </c>
    </row>
    <row r="4">
      <c r="A4" t="str">
        <v>ROUTE-503</v>
      </c>
      <c r="B4" t="str">
        <v>L-503</v>
      </c>
      <c r="C4" t="str">
        <v>DRV-003</v>
      </c>
      <c r="D4" t="str">
        <v>T-106</v>
      </c>
      <c r="E4" t="str">
        <v>Columbus, OH</v>
      </c>
      <c r="F4" t="str">
        <v>Nashville, TN</v>
      </c>
      <c r="G4">
        <v>380</v>
      </c>
      <c r="H4">
        <v>6.4</v>
      </c>
      <c r="I4">
        <v>1</v>
      </c>
      <c r="J4">
        <v>1</v>
      </c>
      <c r="K4">
        <v>0</v>
      </c>
      <c r="L4" t="str">
        <v>Low</v>
      </c>
      <c r="M4">
        <v>25</v>
      </c>
      <c r="N4" t="str">
        <v>Mapbox/TomTom ready</v>
      </c>
      <c r="O4" t="str">
        <v>Ready for API polyline</v>
      </c>
      <c r="P4" t="str">
        <v>Demo price now / live-ready</v>
      </c>
      <c r="Q4" t="str">
        <v>Demo rest stops now / live-ready</v>
      </c>
      <c r="R4" t="str">
        <v>Clean route and settlement packet complete</v>
      </c>
      <c r="S4" t="str">
        <v>No action</v>
      </c>
    </row>
    <row r="5">
      <c r="A5" t="str">
        <v>ROUTE-504</v>
      </c>
      <c r="B5" t="str">
        <v>L-504</v>
      </c>
      <c r="C5" t="str">
        <v>DRV-004</v>
      </c>
      <c r="D5" t="str">
        <v>T-108</v>
      </c>
      <c r="E5" t="str">
        <v>Indianapolis, IN</v>
      </c>
      <c r="F5" t="str">
        <v>Kansas City, MO</v>
      </c>
      <c r="G5">
        <v>482</v>
      </c>
      <c r="H5">
        <v>7.8</v>
      </c>
      <c r="I5">
        <v>1</v>
      </c>
      <c r="J5">
        <v>1</v>
      </c>
      <c r="K5">
        <v>22</v>
      </c>
      <c r="L5" t="str">
        <v>Medium</v>
      </c>
      <c r="M5">
        <v>67</v>
      </c>
      <c r="N5" t="str">
        <v>Mapbox/TomTom ready</v>
      </c>
      <c r="O5" t="str">
        <v>Ready for API polyline</v>
      </c>
      <c r="P5" t="str">
        <v>Demo price now / live-ready</v>
      </c>
      <c r="Q5" t="str">
        <v>Demo rest stops now / live-ready</v>
      </c>
      <c r="R5" t="str">
        <v>Dispatch is blocked by compliance, not route</v>
      </c>
      <c r="S5" t="str">
        <v>Resolve compliance action</v>
      </c>
    </row>
    <row r="6">
      <c r="A6" t="str">
        <v>ROUTE-506</v>
      </c>
      <c r="B6" t="str">
        <v>L-506</v>
      </c>
      <c r="C6" t="str">
        <v>DRV-006</v>
      </c>
      <c r="D6" t="str">
        <v>T-103</v>
      </c>
      <c r="E6" t="str">
        <v>Chicago, IL</v>
      </c>
      <c r="F6" t="str">
        <v>Minneapolis, MN</v>
      </c>
      <c r="G6">
        <v>409</v>
      </c>
      <c r="H6">
        <v>6.7</v>
      </c>
      <c r="I6">
        <v>1</v>
      </c>
      <c r="J6">
        <v>1</v>
      </c>
      <c r="K6">
        <v>18</v>
      </c>
      <c r="L6" t="str">
        <v>High</v>
      </c>
      <c r="M6">
        <v>74</v>
      </c>
      <c r="N6" t="str">
        <v>Mapbox/TomTom ready</v>
      </c>
      <c r="O6" t="str">
        <v>Ready for API polyline</v>
      </c>
      <c r="P6" t="str">
        <v>Demo price now / live-ready</v>
      </c>
      <c r="Q6" t="str">
        <v>Demo rest stops now / live-ready</v>
      </c>
      <c r="R6" t="str">
        <v>Weather reroute requires monitoring and temp log review</v>
      </c>
      <c r="S6" t="str">
        <v>Monitor route and reefer temps</v>
      </c>
    </row>
    <row r="7">
      <c r="A7" t="str">
        <v>ROUTE-509</v>
      </c>
      <c r="B7" t="str">
        <v>L-509</v>
      </c>
      <c r="C7" t="str">
        <v>DRV-009</v>
      </c>
      <c r="D7" t="str">
        <v>T-104</v>
      </c>
      <c r="E7" t="str">
        <v>Cincinnati, OH</v>
      </c>
      <c r="F7" t="str">
        <v>Pittsburgh, PA</v>
      </c>
      <c r="G7">
        <v>289</v>
      </c>
      <c r="H7">
        <v>5.1</v>
      </c>
      <c r="I7">
        <v>1</v>
      </c>
      <c r="J7">
        <v>1</v>
      </c>
      <c r="K7">
        <v>12</v>
      </c>
      <c r="L7" t="str">
        <v>Low</v>
      </c>
      <c r="M7">
        <v>90</v>
      </c>
      <c r="N7" t="str">
        <v>Mapbox/TomTom ready</v>
      </c>
      <c r="O7" t="str">
        <v>Blocked until dispatch release</v>
      </c>
      <c r="P7" t="str">
        <v>Demo price now / live-ready</v>
      </c>
      <c r="Q7" t="str">
        <v>Demo rest stops now / live-ready</v>
      </c>
      <c r="R7" t="str">
        <v>Route is ready but asset is dispatch-blocked</v>
      </c>
      <c r="S7" t="str">
        <v>Clear tire defect</v>
      </c>
    </row>
    <row r="8">
      <c r="A8" t="str">
        <v>ROUTE-510</v>
      </c>
      <c r="B8" t="str">
        <v>L-510</v>
      </c>
      <c r="C8" t="str">
        <v>DRV-010</v>
      </c>
      <c r="D8" t="str">
        <v>T-107</v>
      </c>
      <c r="E8" t="str">
        <v>Louisville, KY</v>
      </c>
      <c r="F8" t="str">
        <v>Atlanta, GA</v>
      </c>
      <c r="G8">
        <v>420</v>
      </c>
      <c r="H8">
        <v>7</v>
      </c>
      <c r="I8">
        <v>1</v>
      </c>
      <c r="J8">
        <v>1</v>
      </c>
      <c r="K8">
        <v>0</v>
      </c>
      <c r="L8" t="str">
        <v>Medium</v>
      </c>
      <c r="M8">
        <v>59</v>
      </c>
      <c r="N8" t="str">
        <v>Mapbox/TomTom ready</v>
      </c>
      <c r="O8" t="str">
        <v>Ready for API polyline</v>
      </c>
      <c r="P8" t="str">
        <v>Demo price now / live-ready</v>
      </c>
      <c r="Q8" t="str">
        <v>Demo rest stops now / live-ready</v>
      </c>
      <c r="R8" t="str">
        <v>HOS coaching pending; route may need rest compliance validation</v>
      </c>
      <c r="S8" t="str">
        <v>Validate HOS/rest window</v>
      </c>
    </row>
  </sheetData>
  <pageMargins left="0.7" right="0.7" top="0.75" bottom="0.75" header="0.3" footer="0.3"/>
  <ignoredErrors>
    <ignoredError numberStoredAsText="1" sqref="A1:S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R8"/>
  <sheetViews>
    <sheetView workbookViewId="0" rightToLeft="0"/>
  </sheetViews>
  <sheetData>
    <row r="1">
      <c r="A1" t="str">
        <v>Price ID</v>
      </c>
      <c r="B1" t="str">
        <v>Route ID</v>
      </c>
      <c r="C1" t="str">
        <v>Load ID</v>
      </c>
      <c r="D1" t="str">
        <v>Stop Sequence</v>
      </c>
      <c r="E1" t="str">
        <v>Station Name</v>
      </c>
      <c r="F1" t="str">
        <v>Brand</v>
      </c>
      <c r="G1" t="str">
        <v>City</v>
      </c>
      <c r="H1" t="str">
        <v>State</v>
      </c>
      <c r="I1" t="str">
        <v>Latitude</v>
      </c>
      <c r="J1" t="str">
        <v>Longitude</v>
      </c>
      <c r="K1" t="str">
        <v>Demo Diesel Price</v>
      </c>
      <c r="L1" t="str">
        <v>Price Timestamp</v>
      </c>
      <c r="M1" t="str">
        <v>Source Type</v>
      </c>
      <c r="N1" t="str">
        <v>TomTom/Provider Ready?</v>
      </c>
      <c r="O1" t="str">
        <v>Fuel Stop Recommended?</v>
      </c>
      <c r="P1" t="str">
        <v>Gallons Planned</v>
      </c>
      <c r="Q1" t="str">
        <v>Estimated Fuel Cost</v>
      </c>
      <c r="R1" t="str">
        <v>Reason</v>
      </c>
    </row>
    <row r="2">
      <c r="A2" t="str">
        <v>FUEL-501-1</v>
      </c>
      <c r="B2" t="str">
        <v>ROUTE-501</v>
      </c>
      <c r="C2" t="str">
        <v>L-501</v>
      </c>
      <c r="D2">
        <v>1</v>
      </c>
      <c r="E2" t="str">
        <v>Pilot Travel Center</v>
      </c>
      <c r="F2" t="str">
        <v>Pilot</v>
      </c>
      <c r="G2" t="str">
        <v>Birmingham</v>
      </c>
      <c r="H2" t="str">
        <v>AL</v>
      </c>
      <c r="I2">
        <v>33.5207</v>
      </c>
      <c r="J2">
        <v>-86.8025</v>
      </c>
      <c r="K2">
        <v>3.89</v>
      </c>
      <c r="L2">
        <v>46160.333333333336</v>
      </c>
      <c r="M2" t="str">
        <v>Demo synthetic - replace with live API</v>
      </c>
      <c r="N2" t="str">
        <v>Yes</v>
      </c>
      <c r="O2" t="str">
        <v>Yes</v>
      </c>
      <c r="P2">
        <v>95</v>
      </c>
      <c r="Q2">
        <v>369.55</v>
      </c>
      <c r="R2" t="str">
        <v>Best planned stop before long southwest leg</v>
      </c>
    </row>
    <row r="3">
      <c r="A3" t="str">
        <v>FUEL-501-2</v>
      </c>
      <c r="B3" t="str">
        <v>ROUTE-501</v>
      </c>
      <c r="C3" t="str">
        <v>L-501</v>
      </c>
      <c r="D3">
        <v>2</v>
      </c>
      <c r="E3" t="str">
        <v>Love's Travel Stop</v>
      </c>
      <c r="F3" t="str">
        <v>Love's</v>
      </c>
      <c r="G3" t="str">
        <v>Shreveport</v>
      </c>
      <c r="H3" t="str">
        <v>LA</v>
      </c>
      <c r="I3">
        <v>32.5252</v>
      </c>
      <c r="J3">
        <v>-93.7502</v>
      </c>
      <c r="K3">
        <v>3.81</v>
      </c>
      <c r="L3">
        <v>46160.333333333336</v>
      </c>
      <c r="M3" t="str">
        <v>Demo synthetic - replace with live API</v>
      </c>
      <c r="N3" t="str">
        <v>Yes</v>
      </c>
      <c r="O3" t="str">
        <v>Yes</v>
      </c>
      <c r="P3">
        <v>110</v>
      </c>
      <c r="Q3">
        <v>419.1</v>
      </c>
      <c r="R3" t="str">
        <v>Lower demo price and parking availability</v>
      </c>
    </row>
    <row r="4">
      <c r="A4" t="str">
        <v>FUEL-501-3</v>
      </c>
      <c r="B4" t="str">
        <v>ROUTE-501</v>
      </c>
      <c r="C4" t="str">
        <v>L-501</v>
      </c>
      <c r="D4">
        <v>3</v>
      </c>
      <c r="E4" t="str">
        <v>TA Travel Center</v>
      </c>
      <c r="F4" t="str">
        <v>TA</v>
      </c>
      <c r="G4" t="str">
        <v>El Paso</v>
      </c>
      <c r="H4" t="str">
        <v>TX</v>
      </c>
      <c r="I4">
        <v>31.7619</v>
      </c>
      <c r="J4">
        <v>-106.485</v>
      </c>
      <c r="K4">
        <v>3.94</v>
      </c>
      <c r="L4">
        <v>46160.333333333336</v>
      </c>
      <c r="M4" t="str">
        <v>Demo synthetic - replace with live API</v>
      </c>
      <c r="N4" t="str">
        <v>Yes</v>
      </c>
      <c r="O4" t="str">
        <v>Conditional</v>
      </c>
      <c r="P4">
        <v>100</v>
      </c>
      <c r="Q4">
        <v>394</v>
      </c>
      <c r="R4" t="str">
        <v>Use if reefer fuel reserve is low</v>
      </c>
    </row>
    <row r="5">
      <c r="A5" t="str">
        <v>FUEL-502-1</v>
      </c>
      <c r="B5" t="str">
        <v>ROUTE-502</v>
      </c>
      <c r="C5" t="str">
        <v>L-502</v>
      </c>
      <c r="D5">
        <v>1</v>
      </c>
      <c r="E5" t="str">
        <v>Speedway Diesel</v>
      </c>
      <c r="F5" t="str">
        <v>Speedway</v>
      </c>
      <c r="G5" t="str">
        <v>Toledo</v>
      </c>
      <c r="H5" t="str">
        <v>OH</v>
      </c>
      <c r="I5">
        <v>41.6528</v>
      </c>
      <c r="J5">
        <v>-83.5379</v>
      </c>
      <c r="K5">
        <v>3.72</v>
      </c>
      <c r="L5">
        <v>46160.333333333336</v>
      </c>
      <c r="M5" t="str">
        <v>Demo synthetic - replace with live API</v>
      </c>
      <c r="N5" t="str">
        <v>Yes</v>
      </c>
      <c r="O5" t="str">
        <v>Yes</v>
      </c>
      <c r="P5">
        <v>45</v>
      </c>
      <c r="Q5">
        <v>167.4</v>
      </c>
      <c r="R5" t="str">
        <v>Short-haul top-off</v>
      </c>
    </row>
    <row r="6">
      <c r="A6" t="str">
        <v>FUEL-506-1</v>
      </c>
      <c r="B6" t="str">
        <v>ROUTE-506</v>
      </c>
      <c r="C6" t="str">
        <v>L-506</v>
      </c>
      <c r="D6">
        <v>1</v>
      </c>
      <c r="E6" t="str">
        <v>Kwik Trip</v>
      </c>
      <c r="F6" t="str">
        <v>Kwik Trip</v>
      </c>
      <c r="G6" t="str">
        <v>Madison</v>
      </c>
      <c r="H6" t="str">
        <v>WI</v>
      </c>
      <c r="I6">
        <v>43.0731</v>
      </c>
      <c r="J6">
        <v>-89.4012</v>
      </c>
      <c r="K6">
        <v>3.76</v>
      </c>
      <c r="L6">
        <v>46160.333333333336</v>
      </c>
      <c r="M6" t="str">
        <v>Demo synthetic - replace with live API</v>
      </c>
      <c r="N6" t="str">
        <v>Yes</v>
      </c>
      <c r="O6" t="str">
        <v>Yes</v>
      </c>
      <c r="P6">
        <v>80</v>
      </c>
      <c r="Q6">
        <v>300.8</v>
      </c>
      <c r="R6" t="str">
        <v>Weather reroute safe stop</v>
      </c>
    </row>
    <row r="7">
      <c r="A7" t="str">
        <v>FUEL-509-1</v>
      </c>
      <c r="B7" t="str">
        <v>ROUTE-509</v>
      </c>
      <c r="C7" t="str">
        <v>L-509</v>
      </c>
      <c r="D7">
        <v>1</v>
      </c>
      <c r="E7" t="str">
        <v>Pilot Travel Center</v>
      </c>
      <c r="F7" t="str">
        <v>Pilot</v>
      </c>
      <c r="G7" t="str">
        <v>Columbus</v>
      </c>
      <c r="H7" t="str">
        <v>OH</v>
      </c>
      <c r="I7">
        <v>39.9612</v>
      </c>
      <c r="J7">
        <v>-82.9988</v>
      </c>
      <c r="K7">
        <v>3.69</v>
      </c>
      <c r="L7">
        <v>46160.333333333336</v>
      </c>
      <c r="M7" t="str">
        <v>Demo synthetic - replace with live API</v>
      </c>
      <c r="N7" t="str">
        <v>Yes</v>
      </c>
      <c r="O7" t="str">
        <v>No</v>
      </c>
      <c r="P7">
        <v>0</v>
      </c>
      <c r="Q7">
        <v>0</v>
      </c>
      <c r="R7" t="str">
        <v>Do not route until tire defect is cleared</v>
      </c>
    </row>
    <row r="8">
      <c r="A8" t="str">
        <v>FUEL-510-1</v>
      </c>
      <c r="B8" t="str">
        <v>ROUTE-510</v>
      </c>
      <c r="C8" t="str">
        <v>L-510</v>
      </c>
      <c r="D8">
        <v>1</v>
      </c>
      <c r="E8" t="str">
        <v>Love's Travel Stop</v>
      </c>
      <c r="F8" t="str">
        <v>Love's</v>
      </c>
      <c r="G8" t="str">
        <v>Knoxville</v>
      </c>
      <c r="H8" t="str">
        <v>TN</v>
      </c>
      <c r="I8">
        <v>35.9606</v>
      </c>
      <c r="J8">
        <v>-83.9207</v>
      </c>
      <c r="K8">
        <v>3.83</v>
      </c>
      <c r="L8">
        <v>46160.333333333336</v>
      </c>
      <c r="M8" t="str">
        <v>Demo synthetic - replace with live API</v>
      </c>
      <c r="N8" t="str">
        <v>Yes</v>
      </c>
      <c r="O8" t="str">
        <v>Yes</v>
      </c>
      <c r="P8">
        <v>75</v>
      </c>
      <c r="Q8">
        <v>287.25</v>
      </c>
      <c r="R8" t="str">
        <v>Combine HOS rest break and fuel stop</v>
      </c>
    </row>
  </sheetData>
  <pageMargins left="0.7" right="0.7" top="0.75" bottom="0.75" header="0.3" footer="0.3"/>
  <ignoredErrors>
    <ignoredError numberStoredAsText="1" sqref="A1:R8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Q8"/>
  <sheetViews>
    <sheetView workbookViewId="0" rightToLeft="0"/>
  </sheetViews>
  <sheetData>
    <row r="1">
      <c r="A1" t="str">
        <v>Rest Stop ID</v>
      </c>
      <c r="B1" t="str">
        <v>Route ID</v>
      </c>
      <c r="C1" t="str">
        <v>Load ID</v>
      </c>
      <c r="D1" t="str">
        <v>Stop Sequence</v>
      </c>
      <c r="E1" t="str">
        <v>Rest Stop Name</v>
      </c>
      <c r="F1" t="str">
        <v>City</v>
      </c>
      <c r="G1" t="str">
        <v>State</v>
      </c>
      <c r="H1" t="str">
        <v>Latitude</v>
      </c>
      <c r="I1" t="str">
        <v>Longitude</v>
      </c>
      <c r="J1" t="str">
        <v>Stop Type</v>
      </c>
      <c r="K1" t="str">
        <v>Parking Confidence</v>
      </c>
      <c r="L1" t="str">
        <v>Amenities</v>
      </c>
      <c r="M1" t="str">
        <v>HOS Break Fit</v>
      </c>
      <c r="N1" t="str">
        <v>Security Level</v>
      </c>
      <c r="O1" t="str">
        <v>Recommended Arrival Window</v>
      </c>
      <c r="P1" t="str">
        <v>Distance From Origin</v>
      </c>
      <c r="Q1" t="str">
        <v>Manager Note</v>
      </c>
    </row>
    <row r="2">
      <c r="A2" t="str">
        <v>REST-501-1</v>
      </c>
      <c r="B2" t="str">
        <v>ROUTE-501</v>
      </c>
      <c r="C2" t="str">
        <v>L-501</v>
      </c>
      <c r="D2">
        <v>1</v>
      </c>
      <c r="E2" t="str">
        <v>I-20 West Truck Parking</v>
      </c>
      <c r="F2" t="str">
        <v>Birmingham</v>
      </c>
      <c r="G2" t="str">
        <v>AL</v>
      </c>
      <c r="H2">
        <v>33.5207</v>
      </c>
      <c r="I2">
        <v>-86.8025</v>
      </c>
      <c r="J2" t="str">
        <v>Fuel + 30-min break</v>
      </c>
      <c r="K2" t="str">
        <v>High</v>
      </c>
      <c r="L2" t="str">
        <v>Diesel, showers, food, parking</v>
      </c>
      <c r="M2" t="str">
        <v>30-minute break</v>
      </c>
      <c r="N2" t="str">
        <v>Medium</v>
      </c>
      <c r="O2" t="str">
        <v>14:00-17:00</v>
      </c>
      <c r="P2">
        <v>150</v>
      </c>
      <c r="Q2" t="str">
        <v>Good first break and fuel stop</v>
      </c>
    </row>
    <row r="3">
      <c r="A3" t="str">
        <v>REST-501-2</v>
      </c>
      <c r="B3" t="str">
        <v>ROUTE-501</v>
      </c>
      <c r="C3" t="str">
        <v>L-501</v>
      </c>
      <c r="D3">
        <v>2</v>
      </c>
      <c r="E3" t="str">
        <v>Shreveport Long-Haul Stop</v>
      </c>
      <c r="F3" t="str">
        <v>Shreveport</v>
      </c>
      <c r="G3" t="str">
        <v>LA</v>
      </c>
      <c r="H3">
        <v>32.5252</v>
      </c>
      <c r="I3">
        <v>-93.7502</v>
      </c>
      <c r="J3" t="str">
        <v>10-hour break</v>
      </c>
      <c r="K3" t="str">
        <v>Medium</v>
      </c>
      <c r="L3" t="str">
        <v>Diesel, showers, mechanic nearby</v>
      </c>
      <c r="M3" t="str">
        <v>10-hour reset</v>
      </c>
      <c r="N3" t="str">
        <v>Medium</v>
      </c>
      <c r="O3" t="str">
        <v>20:00-23:00</v>
      </c>
      <c r="P3">
        <v>620</v>
      </c>
      <c r="Q3" t="str">
        <v>Use if driver needs full reset</v>
      </c>
    </row>
    <row r="4">
      <c r="A4" t="str">
        <v>REST-501-3</v>
      </c>
      <c r="B4" t="str">
        <v>ROUTE-501</v>
      </c>
      <c r="C4" t="str">
        <v>L-501</v>
      </c>
      <c r="D4">
        <v>3</v>
      </c>
      <c r="E4" t="str">
        <v>El Paso Secure Truck Stop</v>
      </c>
      <c r="F4" t="str">
        <v>El Paso</v>
      </c>
      <c r="G4" t="str">
        <v>TX</v>
      </c>
      <c r="H4">
        <v>31.7619</v>
      </c>
      <c r="I4">
        <v>-106.485</v>
      </c>
      <c r="J4" t="str">
        <v>Fuel + inspection</v>
      </c>
      <c r="K4" t="str">
        <v>Medium</v>
      </c>
      <c r="L4" t="str">
        <v>Diesel, secure parking</v>
      </c>
      <c r="M4" t="str">
        <v>30-minute break</v>
      </c>
      <c r="N4" t="str">
        <v>High</v>
      </c>
      <c r="O4" t="str">
        <v>10:00-14:00</v>
      </c>
      <c r="P4">
        <v>1280</v>
      </c>
      <c r="Q4" t="str">
        <v>Recommended security stop before Arizona</v>
      </c>
    </row>
    <row r="5">
      <c r="A5" t="str">
        <v>REST-502-1</v>
      </c>
      <c r="B5" t="str">
        <v>ROUTE-502</v>
      </c>
      <c r="C5" t="str">
        <v>L-502</v>
      </c>
      <c r="D5">
        <v>1</v>
      </c>
      <c r="E5" t="str">
        <v>Toledo Corridor Stop</v>
      </c>
      <c r="F5" t="str">
        <v>Toledo</v>
      </c>
      <c r="G5" t="str">
        <v>OH</v>
      </c>
      <c r="H5">
        <v>41.6528</v>
      </c>
      <c r="I5">
        <v>-83.5379</v>
      </c>
      <c r="J5" t="str">
        <v>Short-haul break</v>
      </c>
      <c r="K5" t="str">
        <v>High</v>
      </c>
      <c r="L5" t="str">
        <v>Diesel, food</v>
      </c>
      <c r="M5" t="str">
        <v>Optional</v>
      </c>
      <c r="N5" t="str">
        <v>Medium</v>
      </c>
      <c r="O5" t="str">
        <v>12:00-15:00</v>
      </c>
      <c r="P5">
        <v>105</v>
      </c>
      <c r="Q5" t="str">
        <v>Use only if delay occurs</v>
      </c>
    </row>
    <row r="6">
      <c r="A6" t="str">
        <v>REST-506-1</v>
      </c>
      <c r="B6" t="str">
        <v>ROUTE-506</v>
      </c>
      <c r="C6" t="str">
        <v>L-506</v>
      </c>
      <c r="D6">
        <v>1</v>
      </c>
      <c r="E6" t="str">
        <v>Madison Weather Reroute Stop</v>
      </c>
      <c r="F6" t="str">
        <v>Madison</v>
      </c>
      <c r="G6" t="str">
        <v>WI</v>
      </c>
      <c r="H6">
        <v>43.0731</v>
      </c>
      <c r="I6">
        <v>-89.4012</v>
      </c>
      <c r="J6" t="str">
        <v>Weather hold</v>
      </c>
      <c r="K6" t="str">
        <v>Medium</v>
      </c>
      <c r="L6" t="str">
        <v>Diesel, parking, food</v>
      </c>
      <c r="M6" t="str">
        <v>30-minute break</v>
      </c>
      <c r="N6" t="str">
        <v>Medium</v>
      </c>
      <c r="O6" t="str">
        <v>15:00-19:00</v>
      </c>
      <c r="P6">
        <v>147</v>
      </c>
      <c r="Q6" t="str">
        <v>Safe stop during weather reroute</v>
      </c>
    </row>
    <row r="7">
      <c r="A7" t="str">
        <v>REST-509-1</v>
      </c>
      <c r="B7" t="str">
        <v>ROUTE-509</v>
      </c>
      <c r="C7" t="str">
        <v>L-509</v>
      </c>
      <c r="D7">
        <v>1</v>
      </c>
      <c r="E7" t="str">
        <v>Columbus Maintenance/Fuel Stop</v>
      </c>
      <c r="F7" t="str">
        <v>Columbus</v>
      </c>
      <c r="G7" t="str">
        <v>OH</v>
      </c>
      <c r="H7">
        <v>39.9612</v>
      </c>
      <c r="I7">
        <v>-82.9988</v>
      </c>
      <c r="J7" t="str">
        <v>Maintenance hold</v>
      </c>
      <c r="K7" t="str">
        <v>High</v>
      </c>
      <c r="L7" t="str">
        <v>Diesel, tire vendor nearby</v>
      </c>
      <c r="M7" t="str">
        <v>Not released</v>
      </c>
      <c r="N7" t="str">
        <v>Medium</v>
      </c>
      <c r="O7" t="str">
        <v>N/A</v>
      </c>
      <c r="P7">
        <v>105</v>
      </c>
      <c r="Q7" t="str">
        <v>Do not dispatch until tire defect clears</v>
      </c>
    </row>
    <row r="8">
      <c r="A8" t="str">
        <v>REST-510-1</v>
      </c>
      <c r="B8" t="str">
        <v>ROUTE-510</v>
      </c>
      <c r="C8" t="str">
        <v>L-510</v>
      </c>
      <c r="D8">
        <v>1</v>
      </c>
      <c r="E8" t="str">
        <v>Knoxville HOS Break Stop</v>
      </c>
      <c r="F8" t="str">
        <v>Knoxville</v>
      </c>
      <c r="G8" t="str">
        <v>TN</v>
      </c>
      <c r="H8">
        <v>35.9606</v>
      </c>
      <c r="I8">
        <v>-83.9207</v>
      </c>
      <c r="J8" t="str">
        <v>Fuel + HOS break</v>
      </c>
      <c r="K8" t="str">
        <v>High</v>
      </c>
      <c r="L8" t="str">
        <v>Diesel, showers, food, parking</v>
      </c>
      <c r="M8" t="str">
        <v>30-minute break</v>
      </c>
      <c r="N8" t="str">
        <v>Medium</v>
      </c>
      <c r="O8" t="str">
        <v>16:00-19:00</v>
      </c>
      <c r="P8">
        <v>250</v>
      </c>
      <c r="Q8" t="str">
        <v>Pair fuel stop with HOS compliance break</v>
      </c>
    </row>
  </sheetData>
  <pageMargins left="0.7" right="0.7" top="0.75" bottom="0.75" header="0.3" footer="0.3"/>
  <ignoredErrors>
    <ignoredError numberStoredAsText="1" sqref="A1:Q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9"/>
  <sheetViews>
    <sheetView workbookViewId="0" rightToLeft="0"/>
  </sheetViews>
  <sheetData>
    <row r="1">
      <c r="A1" t="str">
        <v>Area</v>
      </c>
      <c r="B1" t="str">
        <v>Workbook Tab</v>
      </c>
      <c r="C1" t="str">
        <v>Purpose</v>
      </c>
      <c r="D1" t="str">
        <v>Live API/Data Dependency</v>
      </c>
      <c r="E1" t="str">
        <v>Demo Status</v>
      </c>
      <c r="F1" t="str">
        <v>Windsurf/App Notes</v>
      </c>
    </row>
    <row r="2">
      <c r="A2" t="str">
        <v>Operational Risk</v>
      </c>
      <c r="B2" t="str">
        <v>Operational_Risk_Queue</v>
      </c>
      <c r="C2" t="str">
        <v>Cross-module command center queue that explains what needs attention now</v>
      </c>
      <c r="D2" t="str">
        <v>None for demo; can be generated from other tabs later</v>
      </c>
      <c r="E2" t="str">
        <v>Ready</v>
      </c>
      <c r="F2" t="str">
        <v>Use for dashboard/command center and page-level alert cards</v>
      </c>
    </row>
    <row r="3">
      <c r="A3" t="str">
        <v>Compliance</v>
      </c>
      <c r="B3" t="str">
        <v>Compliance_Action_Queue</v>
      </c>
      <c r="C3" t="str">
        <v>Driver/document/compliance fixes with due dates and impact</v>
      </c>
      <c r="D3" t="str">
        <v>None for demo</v>
      </c>
      <c r="E3" t="str">
        <v>Ready</v>
      </c>
      <c r="F3" t="str">
        <v>Use to solve vague 'needs review' UX problems</v>
      </c>
    </row>
    <row r="4">
      <c r="A4" t="str">
        <v>Settlements</v>
      </c>
      <c r="B4" t="str">
        <v>Settlement_Holds</v>
      </c>
      <c r="C4" t="str">
        <v>Settlement holds linked to dispatch, safety, compliance, RFID and claims</v>
      </c>
      <c r="D4" t="str">
        <v>None for demo</v>
      </c>
      <c r="E4" t="str">
        <v>Ready</v>
      </c>
      <c r="F4" t="str">
        <v>Use to explain why pay is held or released</v>
      </c>
    </row>
    <row r="5">
      <c r="A5" t="str">
        <v>Maintenance</v>
      </c>
      <c r="B5" t="str">
        <v>Maintenance_Work_Orders</v>
      </c>
      <c r="C5" t="str">
        <v>Open repair/work order workflow tied to assets, drivers and dispatch blocks</v>
      </c>
      <c r="D5" t="str">
        <v>None for demo</v>
      </c>
      <c r="E5" t="str">
        <v>Ready</v>
      </c>
      <c r="F5" t="str">
        <v>Use for maintenance page premium work-order queue</v>
      </c>
    </row>
    <row r="6">
      <c r="A6" t="str">
        <v>RFID</v>
      </c>
      <c r="B6" t="str">
        <v>RFID_Events</v>
      </c>
      <c r="C6" t="str">
        <v>RFID chain-of-custody event timeline per load</v>
      </c>
      <c r="D6" t="str">
        <v>RFID hardware/live source later</v>
      </c>
      <c r="E6" t="str">
        <v>Demo timeline ready</v>
      </c>
      <c r="F6" t="str">
        <v>Use for RFID timeline and proof impact</v>
      </c>
    </row>
    <row r="7">
      <c r="A7" t="str">
        <v>Mapping</v>
      </c>
      <c r="B7" t="str">
        <v>Route_Intelligence</v>
      </c>
      <c r="C7" t="str">
        <v>Route-level summary for map, route risk, fuel/rest stop planning</v>
      </c>
      <c r="D7" t="str">
        <v>Mapbox/TomTom token for live route/polyline</v>
      </c>
      <c r="E7" t="str">
        <v>Demo routing metadata ready</v>
      </c>
      <c r="F7" t="str">
        <v>Mapbox can draw route; TomTom can supply traffic/fuel depending integration</v>
      </c>
    </row>
    <row r="8">
      <c r="A8" t="str">
        <v>Diesel</v>
      </c>
      <c r="B8" t="str">
        <v>Diesel_Pricing</v>
      </c>
      <c r="C8" t="str">
        <v>Synthetic diesel prices and fuel stop planning by route</v>
      </c>
      <c r="D8" t="str">
        <v>Live fuel price API or TomTom-compatible provider</v>
      </c>
      <c r="E8" t="str">
        <v>Demo prices only</v>
      </c>
      <c r="F8" t="str">
        <v>Label as demo unless live API connected</v>
      </c>
    </row>
    <row r="9">
      <c r="A9" t="str">
        <v>Rest stops</v>
      </c>
      <c r="B9" t="str">
        <v>Rest_Stop_Locations</v>
      </c>
      <c r="C9" t="str">
        <v>Rest/fuel/parking/HOS stop candidates with lat/lon</v>
      </c>
      <c r="D9" t="str">
        <v>Live POI/places API for production freshness</v>
      </c>
      <c r="E9" t="str">
        <v>Demo stop locations ready</v>
      </c>
      <c r="F9" t="str">
        <v>Map markers can be rendered immediately from lat/lon</v>
      </c>
    </row>
  </sheetData>
  <pageMargins left="0.7" right="0.7" top="0.75" bottom="0.75" header="0.3" footer="0.3"/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Driver Data</vt:lpstr>
      <vt:lpstr>Dispatch</vt:lpstr>
      <vt:lpstr>Payroll</vt:lpstr>
      <vt:lpstr>Payroll Summary</vt:lpstr>
      <vt:lpstr>Settlement Summary</vt:lpstr>
      <vt:lpstr>Main Safety</vt:lpstr>
      <vt:lpstr>Safety_Events</vt:lpstr>
      <vt:lpstr>Assets</vt:lpstr>
      <vt:lpstr>Weekly_Settlements</vt:lpstr>
      <vt:lpstr>Settlement_Dashboard</vt:lpstr>
      <vt:lpstr>Settlement_Driver_Summary</vt:lpstr>
      <vt:lpstr>Safety_KPI_Source</vt:lpstr>
      <vt:lpstr>Operational_Risk_Queue</vt:lpstr>
      <vt:lpstr>Compliance_Action_Queue</vt:lpstr>
      <vt:lpstr>Settlement_Holds</vt:lpstr>
      <vt:lpstr>Maintenance_Work_Orders</vt:lpstr>
      <vt:lpstr>RFID_Events</vt:lpstr>
      <vt:lpstr>Route_Intelligence</vt:lpstr>
      <vt:lpstr>Diesel_Pricing</vt:lpstr>
      <vt:lpstr>Rest_Stop_Locations</vt:lpstr>
      <vt:lpstr>V3_Elite_Readme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2026-05-18T14:18:31Z</dcterms:created>
  <dcterms:modified xsi:type="dcterms:W3CDTF">2026-05-18T14:18:31Z</dcterms:modified>
  <cp:lastModifiedBy>Sylvester Holmes</cp:lastModifiedBy>
  <dc:creator>Sylvester Holmes</dc:creator>
</cp:coreProperties>
</file>