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92b236d40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98ef98ecca74d5a"/>
    <x:sheet xmlns:r="http://schemas.openxmlformats.org/officeDocument/2006/relationships" name="Drivers" sheetId="2" r:id="R5aa4972a522345ae"/>
    <x:sheet xmlns:r="http://schemas.openxmlformats.org/officeDocument/2006/relationships" name="Documents" sheetId="3" r:id="R124bbdad90d04bda"/>
    <x:sheet xmlns:r="http://schemas.openxmlformats.org/officeDocument/2006/relationships" name="Assets" sheetId="4" r:id="Rd74831f6c5864af6"/>
    <x:sheet xmlns:r="http://schemas.openxmlformats.org/officeDocument/2006/relationships" name="Maintenance" sheetId="5" r:id="R917f43df9ef94143"/>
    <x:sheet xmlns:r="http://schemas.openxmlformats.org/officeDocument/2006/relationships" name="Dispatch" sheetId="6" r:id="R3530e53053894345"/>
    <x:sheet xmlns:r="http://schemas.openxmlformats.org/officeDocument/2006/relationships" name="Dashboard" sheetId="7" r:id="R1366bd29c42e4312"/>
    <x:sheet xmlns:r="http://schemas.openxmlformats.org/officeDocument/2006/relationships" name="Payroll" sheetId="8" r:id="R5008e609b06f4025"/>
    <x:sheet xmlns:r="http://schemas.openxmlformats.org/officeDocument/2006/relationships" name="Payroll Summary" sheetId="9" r:id="Rea247a5e77694568"/>
    <x:sheet xmlns:r="http://schemas.openxmlformats.org/officeDocument/2006/relationships" name="Drivers_Clean" sheetId="10" r:id="R06aa54e043cb4cb8"/>
    <x:sheet xmlns:r="http://schemas.openxmlformats.org/officeDocument/2006/relationships" name="Documents_Clean" sheetId="11" r:id="Ref87fdc7f1334ea4"/>
    <x:sheet xmlns:r="http://schemas.openxmlformats.org/officeDocument/2006/relationships" name="Assets_Clean" sheetId="12" r:id="R2e542a4d15e343bd"/>
    <x:sheet xmlns:r="http://schemas.openxmlformats.org/officeDocument/2006/relationships" name="Dispatch_Clean" sheetId="13" r:id="Rc1f98078d6694d8e"/>
    <x:sheet xmlns:r="http://schemas.openxmlformats.org/officeDocument/2006/relationships" name="Payroll_Clean" sheetId="14" r:id="R79e146ced1d44182"/>
    <x:sheet xmlns:r="http://schemas.openxmlformats.org/officeDocument/2006/relationships" name="Safety_Events" sheetId="15" r:id="Rfc3828bee63a4c79"/>
    <x:sheet xmlns:r="http://schemas.openxmlformats.org/officeDocument/2006/relationships" name="Compliance_Events" sheetId="16" r:id="R0e4023c41e1947dc"/>
    <x:sheet xmlns:r="http://schemas.openxmlformats.org/officeDocument/2006/relationships" name="Lookups" sheetId="17" r:id="R101cd9f4720145b8"/>
    <x:sheet xmlns:r="http://schemas.openxmlformats.org/officeDocument/2006/relationships" name="Vercel_Drivers" sheetId="18" r:id="Rf7da08885e9c4377"/>
    <x:sheet xmlns:r="http://schemas.openxmlformats.org/officeDocument/2006/relationships" name="Vercel_Settlements" sheetId="19" r:id="R8b8092cf03b94841"/>
    <x:sheet xmlns:r="http://schemas.openxmlformats.org/officeDocument/2006/relationships" name="Vercel_Loads" sheetId="20" r:id="Rf57ee4189c0a47af"/>
    <x:sheet xmlns:r="http://schemas.openxmlformats.org/officeDocument/2006/relationships" name="Vercel_Safety" sheetId="21" r:id="Rdf51af281a5242ac"/>
    <x:sheet xmlns:r="http://schemas.openxmlformats.org/officeDocument/2006/relationships" name="Vercel_Compliance" sheetId="22" r:id="R33877dc9924347bc"/>
    <x:sheet xmlns:r="http://schemas.openxmlformats.org/officeDocument/2006/relationships" name="Vercel_Documents" sheetId="23" r:id="R0879ff88c43c4f57"/>
    <x:sheet xmlns:r="http://schemas.openxmlformats.org/officeDocument/2006/relationships" name="Cleanup_Summary" sheetId="24" r:id="Rebc922dcd1e6468c"/>
    <x:sheet xmlns:r="http://schemas.openxmlformats.org/officeDocument/2006/relationships" name="Driver_Date_Reconciliation" sheetId="25" r:id="R89e06229d135444f"/>
    <x:sheet xmlns:r="http://schemas.openxmlformats.org/officeDocument/2006/relationships" name="Field_Differences" sheetId="26" r:id="R4d5408c9b12443f3"/>
    <x:sheet xmlns:r="http://schemas.openxmlformats.org/officeDocument/2006/relationships" name="Stale_Date_Scan" sheetId="27" r:id="Re7b92dd15fa145c2"/>
    <x:sheet xmlns:r="http://schemas.openxmlformats.org/officeDocument/2006/relationships" name="Consolidation_Readme" sheetId="28" r:id="Rdebb1f8b4aaf447d"/>
    <x:sheet xmlns:r="http://schemas.openxmlformats.org/officeDocument/2006/relationships" name="Import_DriverTemplates2" sheetId="29" r:id="R4e60caed10e24731"/>
    <x:sheet xmlns:r="http://schemas.openxmlformats.org/officeDocument/2006/relationships" name="DriverTemplate_Normalized" sheetId="30" r:id="R2e3cdb69327a4eb9"/>
    <x:sheet xmlns:r="http://schemas.openxmlformats.org/officeDocument/2006/relationships" name="Import_Settlement_New" sheetId="31" r:id="Rbbb0b6271596410f"/>
    <x:sheet xmlns:r="http://schemas.openxmlformats.org/officeDocument/2006/relationships" name="Import_Settlement_Summary" sheetId="32" r:id="Ra8a1d5af94b34489"/>
    <x:sheet xmlns:r="http://schemas.openxmlformats.org/officeDocument/2006/relationships" name="DriverTemplate_Diff" sheetId="33" r:id="R52b6e50a8752420f"/>
    <x:sheet xmlns:r="http://schemas.openxmlformats.org/officeDocument/2006/relationships" name="Settlement_Diff" sheetId="34" r:id="Rde2a9566b61746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&quot;$&quot;#,##0_);[Red]\(&quot;$&quot;#,##0\)"/>
    <x:numFmt numFmtId="165" formatCode="\$#,##0"/>
    <x:numFmt numFmtId="166" formatCode="0.0%"/>
    <x:numFmt numFmtId="167" formatCode="&quot;$&quot;#,##0.00_-"/>
    <x:numFmt numFmtId="168" formatCode="$#,##0"/>
    <x:numFmt numFmtId="169" formatCode="mm/dd/yyyy"/>
    <x:numFmt numFmtId="170" formatCode="$#,##0.00;[Red]($#,##0.00)"/>
    <x:numFmt numFmtId="171" formatCode="mm/dd/yyyy hh:mm AM/PM"/>
    <x:numFmt numFmtId="172" formatCode="m/d/yyyy"/>
    <x:numFmt numFmtId="173" formatCode="$#,##0.00"/>
    <x:numFmt numFmtId="174" formatCode="m/d/yyyy h:mm AM/PM"/>
    <x:numFmt numFmtId="175" formatCode="m/d/yyyy h:mm"/>
    <x:numFmt numFmtId="176" formatCode="yyyy-mm-dd"/>
    <x:numFmt numFmtId="177" formatCode="yyyy-mm-dd h:mm:ss"/>
  </x:numFmts>
  <x:fonts count="14">
    <x:font>
      <x:sz val="11"/>
      <x:color theme="1"/>
      <x:name val="Aptos Narrow"/>
    </x:font>
    <x:font>
      <x:i/>
      <x:sz val="11"/>
      <x:color theme="1"/>
      <x:name val="Aptos Narrow"/>
    </x:font>
    <x:font>
      <x:b/>
      <x:sz val="11"/>
      <x:color theme="1"/>
      <x:name val="Aptos Narrow"/>
    </x:font>
    <x:font>
      <x:sz val="11"/>
      <x:color theme="1"/>
      <x:name val="Times New Roman"/>
    </x:font>
    <x:font>
      <x:sz val="10"/>
      <x:color theme="1"/>
      <x:name val="Arial"/>
    </x:font>
    <x:font>
      <x:b/>
      <x:sz val="10"/>
      <x:color theme="1"/>
      <x:name val="Arial"/>
    </x:font>
    <x:font>
      <x:sz val="11"/>
      <x:color rgb="FF0000"/>
      <x:name val="Aptos Narrow"/>
    </x:font>
    <x:font>
      <x:b/>
      <x:sz val="14"/>
      <x:color rgb="FFFFFF"/>
      <x:name val="Aptos Narrow"/>
    </x:font>
    <x:font>
      <x:b/>
      <x:sz val="11"/>
      <x:color rgb="000000"/>
      <x:name val="Aptos Narrow"/>
    </x:font>
    <x:font>
      <x:sz val="11"/>
      <x:color theme="1"/>
      <x:name val="Calibri"/>
    </x:font>
    <x:font>
      <x:b/>
      <x:color rgb="FFFFFF"/>
    </x:font>
    <x:font>
      <x:b/>
    </x:font>
    <x:font>
      <x:b/>
      <x:sz val="11"/>
      <x:color rgb="FFFFFF"/>
      <x:name val="Aptos Narrow"/>
    </x:font>
    <x:font>
      <x:b/>
      <x:sz val="11"/>
      <x:color rgb="FFFFFF"/>
      <x:name val="Times New Roman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7E6E6"/>
      </x:patternFill>
    </x:fill>
    <x:fill>
      <x:patternFill patternType="solid">
        <x:fgColor rgb="D9EAF7"/>
      </x:patternFill>
    </x:fill>
    <x:fill>
      <x:patternFill patternType="solid">
        <x:fgColor rgb="DDEBF7"/>
      </x:patternFill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E6F4F4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5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  <x:border>
      <x:bottom style="thin">
        <x:color rgb="D1D5DB"/>
      </x:bottom>
    </x:border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0" borderId="0" xfId="0" applyAlignment="1">
      <x:alignment wrapText="1"/>
    </x:xf>
    <x:xf numFmtId="0" fontId="1" fillId="0" borderId="0" xfId="0"/>
    <x:xf numFmtId="10" fontId="0" fillId="0" borderId="0" xfId="0"/>
    <x:xf numFmtId="14" fontId="0" fillId="0" borderId="0" xfId="0"/>
    <x:xf numFmtId="0" fontId="3" fillId="0" borderId="0" xfId="0"/>
    <x:xf numFmtId="14" fontId="3" fillId="0" borderId="0" xfId="0"/>
    <x:xf numFmtId="0" fontId="0" fillId="0" borderId="0" xfId="0" applyAlignment="1">
      <x:alignment wrapText="1"/>
    </x:xf>
    <x:xf numFmtId="0" fontId="5" fillId="0" borderId="0" xfId="0" applyAlignment="1">
      <x:alignment horizontal="center"/>
    </x:xf>
    <x:xf numFmtId="0" fontId="2" fillId="0" borderId="0" xfId="0" applyAlignment="1">
      <x:alignment horizontal="center" wrapText="1"/>
    </x:xf>
    <x:xf numFmtId="0" fontId="2" fillId="0" borderId="0" xfId="0" applyAlignment="1">
      <x:alignment horizontal="center"/>
    </x:xf>
    <x:xf numFmtId="0" fontId="4" fillId="0" borderId="0" xfId="0" applyAlignment="1">
      <x:alignment horizontal="center"/>
    </x:xf>
    <x:xf numFmtId="164" fontId="4" fillId="0" borderId="0" xfId="0" applyAlignment="1">
      <x:alignment horizontal="center"/>
    </x:xf>
    <x:xf numFmtId="0" fontId="0" fillId="0" borderId="0" xfId="0" applyAlignment="1">
      <x:alignment horizontal="center"/>
    </x:xf>
    <x:xf numFmtId="0" fontId="0" fillId="0" borderId="0" xfId="0"/>
    <x:xf numFmtId="0" fontId="6" fillId="0" borderId="0" xfId="0" applyAlignment="1">
      <x:alignment horizontal="center" wrapText="1"/>
    </x:xf>
    <x:xf numFmtId="0" fontId="8" fillId="4" borderId="1" xfId="0" applyAlignment="1">
      <x:alignment horizontal="center"/>
    </x:xf>
    <x:xf numFmtId="0" fontId="0" fillId="0" borderId="1" xfId="0"/>
    <x:xf numFmtId="165" fontId="0" fillId="0" borderId="1" xfId="0"/>
    <x:xf numFmtId="166" fontId="0" fillId="0" borderId="1" xfId="0"/>
    <x:xf numFmtId="0" fontId="8" fillId="5" borderId="1" xfId="0"/>
    <x:xf numFmtId="0" fontId="0" fillId="0" borderId="1" xfId="0" applyAlignment="1">
      <x:alignment horizontal="center"/>
    </x:xf>
    <x:xf numFmtId="166" fontId="0" fillId="0" borderId="1" xfId="0" applyAlignment="1">
      <x:alignment horizontal="center"/>
    </x:xf>
    <x:xf numFmtId="0" fontId="0" fillId="3" borderId="0" xfId="0"/>
    <x:xf numFmtId="0" fontId="0" fillId="0" borderId="0" xfId="0"/>
    <x:xf numFmtId="0" fontId="7" fillId="2" borderId="0" xfId="0" applyAlignment="1">
      <x:alignment horizontal="center"/>
    </x:xf>
    <x:xf numFmtId="164" fontId="4" fillId="0" borderId="0" xfId="0" applyAlignment="1">
      <x:alignment horizontal="center"/>
    </x:xf>
    <x:xf numFmtId="166" fontId="0" fillId="0" borderId="1" xfId="0" applyAlignment="1">
      <x:alignment horizontal="center"/>
    </x:xf>
    <x:xf numFmtId="165" fontId="0" fillId="0" borderId="1" xfId="0"/>
    <x:xf numFmtId="166" fontId="0" fillId="0" borderId="1" xfId="0"/>
    <x:xf numFmtId="167" fontId="9" fillId="0" borderId="0" xfId="0"/>
    <x:xf numFmtId="10" fontId="0" fillId="0" borderId="0" xfId="0"/>
    <x:xf numFmtId="0" fontId="3" fillId="0" borderId="0" xfId="0"/>
    <x:xf numFmtId="14" fontId="3" fillId="0" borderId="0" xfId="0"/>
    <x:xf numFmtId="0" fontId="0" fillId="0" borderId="0" xfId="0" applyAlignment="1">
      <x:alignment wrapText="1"/>
    </x:xf>
    <x:xf numFmtId="0" fontId="0" fillId="0" borderId="0" xfId="0" applyAlignment="1">
      <x:alignment wrapText="1"/>
    </x:xf>
    <x:xf numFmtId="14" fontId="0" fillId="0" borderId="0" xfId="0"/>
    <x:xf numFmtId="0" fontId="5" fillId="0" borderId="0" xfId="0" applyAlignment="1">
      <x:alignment horizontal="center"/>
    </x:xf>
    <x:xf numFmtId="0" fontId="2" fillId="0" borderId="0" xfId="0" applyAlignment="1">
      <x:alignment horizontal="center" wrapText="1"/>
    </x:xf>
    <x:xf numFmtId="0" fontId="10" fillId="6" borderId="0" xfId="0" applyAlignment="1">
      <x:alignment horizontal="center"/>
    </x:xf>
    <x:xf numFmtId="0" fontId="0" fillId="3" borderId="0" xfId="0"/>
    <x:xf numFmtId="0" fontId="11" fillId="5" borderId="1" xfId="0"/>
    <x:xf numFmtId="0" fontId="0" fillId="0" borderId="1" xfId="0" applyAlignment="1">
      <x:alignment horizontal="center"/>
    </x:xf>
    <x:xf numFmtId="166" fontId="0" fillId="0" borderId="1" xfId="0" applyAlignment="1">
      <x:alignment horizontal="center"/>
    </x:xf>
    <x:xf numFmtId="0" fontId="10" fillId="6" borderId="1" xfId="0" applyAlignment="1">
      <x:alignment horizontal="center"/>
    </x:xf>
    <x:xf numFmtId="0" fontId="0" fillId="0" borderId="1" xfId="0"/>
    <x:xf numFmtId="168" fontId="0" fillId="0" borderId="1" xfId="0"/>
    <x:xf numFmtId="166" fontId="0" fillId="0" borderId="1" xfId="0"/>
    <x:xf numFmtId="167" fontId="9" fillId="0" borderId="0" xfId="0"/>
    <x:xf numFmtId="0" fontId="10" fillId="7" borderId="2" xfId="0" applyAlignment="1">
      <x:alignment horizontal="center" vertical="center"/>
    </x:xf>
    <x:xf numFmtId="0" fontId="11" fillId="8" borderId="2" xfId="0"/>
    <x:xf numFmtId="0" fontId="0" fillId="0" borderId="0" xfId="0" applyAlignment="1">
      <x:alignment vertical="top" wrapText="1"/>
    </x:xf>
    <x:xf numFmtId="169" fontId="0" fillId="0" borderId="0" xfId="0"/>
    <x:xf numFmtId="170" fontId="0" fillId="0" borderId="0" xfId="0"/>
    <x:xf numFmtId="171" fontId="0" fillId="0" borderId="0" xfId="0"/>
    <x:xf numFmtId="169" fontId="0" fillId="0" borderId="0" xfId="0"/>
    <x:xf numFmtId="170" fontId="0" fillId="0" borderId="0" xfId="0"/>
    <x:xf numFmtId="171" fontId="0" fillId="0" borderId="0" xfId="0"/>
    <x:xf numFmtId="0" fontId="10" fillId="7" borderId="2" xfId="0" applyAlignment="1">
      <x:alignment wrapText="1"/>
    </x:xf>
    <x:xf numFmtId="0" fontId="11" fillId="8" borderId="2" xfId="0" applyAlignment="1">
      <x:alignment wrapText="1"/>
    </x:xf>
    <x:xf numFmtId="172" fontId="0" fillId="0" borderId="0" xfId="0"/>
    <x:xf numFmtId="173" fontId="0" fillId="0" borderId="0" xfId="0"/>
    <x:xf numFmtId="174" fontId="0" fillId="0" borderId="0" xfId="0"/>
    <x:xf numFmtId="172" fontId="0" fillId="0" borderId="0" xfId="0"/>
    <x:xf numFmtId="173" fontId="0" fillId="0" borderId="0" xfId="0"/>
    <x:xf numFmtId="174" fontId="0" fillId="0" borderId="0" xfId="0"/>
    <x:xf numFmtId="0" fontId="10" fillId="7" borderId="2" xfId="0" applyAlignment="1">
      <x:alignment horizontal="center"/>
    </x:xf>
    <x:xf numFmtId="175" fontId="0" fillId="0" borderId="0" xfId="0"/>
    <x:xf numFmtId="1" fontId="0" fillId="0" borderId="0" xfId="0"/>
    <x:xf numFmtId="173" fontId="4" fillId="0" borderId="0" xfId="0" applyAlignment="1">
      <x:alignment horizont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10" fontId="0" fillId="0" borderId="3" xfId="0" applyNumberFormat="1" applyFont="1" applyFill="1" applyBorder="1"/>
    <x:xf numFmtId="14" fontId="0" fillId="0" borderId="3" xfId="0" applyNumberFormat="1" applyFont="1" applyFill="1" applyBorder="1"/>
    <x:xf numFmtId="0" fontId="3" fillId="0" borderId="3" xfId="0" applyNumberFormat="1" applyFont="1" applyFill="1" applyBorder="1"/>
    <x:xf numFmtId="14" fontId="3" fillId="0" borderId="3" xfId="0" applyNumberFormat="1" applyFont="1" applyFill="1" applyBorder="1"/>
    <x:xf numFmtId="0" fontId="5" fillId="0" borderId="3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 wrapText="1"/>
    </x:xf>
    <x:xf numFmtId="0" fontId="2" fillId="0" borderId="3" xfId="0" applyNumberFormat="1" applyFont="1" applyFill="1" applyBorder="1" applyAlignment="1">
      <x:alignment horizontal="center"/>
    </x:xf>
    <x:xf numFmtId="0" fontId="4" fillId="0" borderId="3" xfId="0" applyNumberFormat="1" applyFont="1" applyFill="1" applyBorder="1" applyAlignment="1">
      <x:alignment horizontal="center"/>
    </x:xf>
    <x:xf numFmtId="164" fontId="4" fillId="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horizontal="center" wrapText="1"/>
    </x:xf>
    <x:xf numFmtId="0" fontId="8" fillId="4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165" fontId="0" fillId="0" borderId="4" xfId="0" applyNumberFormat="1" applyFont="1" applyFill="1" applyBorder="1"/>
    <x:xf numFmtId="166" fontId="0" fillId="0" borderId="4" xfId="0" applyNumberFormat="1" applyFont="1" applyFill="1" applyBorder="1"/>
    <x:xf numFmtId="0" fontId="8" fillId="5" borderId="4" xfId="0" applyNumberFormat="1" applyFont="1" applyFill="1" applyBorder="1"/>
    <x:xf numFmtId="0" fontId="0" fillId="0" borderId="4" xfId="0" applyNumberFormat="1" applyFont="1" applyFill="1" applyBorder="1" applyAlignment="1">
      <x:alignment horizontal="center"/>
    </x:xf>
    <x:xf numFmtId="166" fontId="0" fillId="0" borderId="4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/>
    <x:xf numFmtId="0" fontId="7" fillId="2" borderId="3" xfId="0" applyNumberFormat="1" applyFont="1" applyFill="1" applyBorder="1" applyAlignment="1">
      <x:alignment horizontal="center"/>
    </x:xf>
    <x:xf numFmtId="167" fontId="9" fillId="0" borderId="3" xfId="0" applyNumberFormat="1" applyFont="1" applyFill="1" applyBorder="1"/>
    <x:xf numFmtId="0" fontId="10" fillId="2" borderId="3" xfId="0" applyNumberFormat="1" applyFont="1" applyFill="1" applyBorder="1" applyAlignment="1">
      <x:alignment horizontal="center"/>
    </x:xf>
    <x:xf numFmtId="0" fontId="11" fillId="5" borderId="4" xfId="0" applyNumberFormat="1" applyFont="1" applyFill="1" applyBorder="1"/>
    <x:xf numFmtId="0" fontId="10" fillId="2" borderId="4" xfId="0" applyNumberFormat="1" applyFont="1" applyFill="1" applyBorder="1" applyAlignment="1">
      <x:alignment horizontal="center"/>
    </x:xf>
    <x:xf numFmtId="168" fontId="0" fillId="0" borderId="4" xfId="0" applyNumberFormat="1" applyFont="1" applyFill="1" applyBorder="1"/>
    <x:xf numFmtId="0" fontId="10" fillId="7" borderId="2" xfId="0" applyNumberFormat="1" applyFont="1" applyFill="1" applyBorder="1" applyAlignment="1">
      <x:alignment horizontal="center" vertical="center"/>
    </x:xf>
    <x:xf numFmtId="0" fontId="11" fillId="8" borderId="2" xfId="0" applyNumberFormat="1" applyFont="1" applyFill="1" applyBorder="1"/>
    <x:xf numFmtId="0" fontId="0" fillId="0" borderId="3" xfId="0" applyNumberFormat="1" applyFont="1" applyFill="1" applyBorder="1" applyAlignment="1">
      <x:alignment vertical="top" wrapText="1"/>
    </x:xf>
    <x:xf numFmtId="169" fontId="0" fillId="0" borderId="3" xfId="0" applyNumberFormat="1" applyFont="1" applyFill="1" applyBorder="1"/>
    <x:xf numFmtId="170" fontId="0" fillId="0" borderId="3" xfId="0" applyNumberFormat="1" applyFont="1" applyFill="1" applyBorder="1"/>
    <x:xf numFmtId="171" fontId="0" fillId="0" borderId="3" xfId="0" applyNumberFormat="1" applyFont="1" applyFill="1" applyBorder="1"/>
    <x:xf numFmtId="0" fontId="10" fillId="7" borderId="2" xfId="0" applyNumberFormat="1" applyFont="1" applyFill="1" applyBorder="1" applyAlignment="1">
      <x:alignment wrapText="1"/>
    </x:xf>
    <x:xf numFmtId="0" fontId="11" fillId="8" borderId="2" xfId="0" applyNumberFormat="1" applyFont="1" applyFill="1" applyBorder="1" applyAlignment="1">
      <x:alignment wrapText="1"/>
    </x:xf>
    <x:xf numFmtId="172" fontId="0" fillId="0" borderId="3" xfId="0" applyNumberFormat="1" applyFont="1" applyFill="1" applyBorder="1"/>
    <x:xf numFmtId="173" fontId="0" fillId="0" borderId="3" xfId="0" applyNumberFormat="1" applyFont="1" applyFill="1" applyBorder="1"/>
    <x:xf numFmtId="174" fontId="0" fillId="0" borderId="3" xfId="0" applyNumberFormat="1" applyFont="1" applyFill="1" applyBorder="1"/>
    <x:xf numFmtId="0" fontId="10" fillId="7" borderId="2" xfId="0" applyNumberFormat="1" applyFont="1" applyFill="1" applyBorder="1" applyAlignment="1">
      <x:alignment horizontal="center"/>
    </x:xf>
    <x:xf numFmtId="175" fontId="0" fillId="0" borderId="3" xfId="0" applyNumberFormat="1" applyFont="1" applyFill="1" applyBorder="1"/>
    <x:xf numFmtId="1" fontId="0" fillId="0" borderId="3" xfId="0" applyNumberFormat="1" applyFont="1" applyFill="1" applyBorder="1"/>
    <x:xf numFmtId="173" fontId="4" fillId="0" borderId="3" xfId="0" applyNumberFormat="1" applyFont="1" applyFill="1" applyBorder="1" applyAlignment="1">
      <x:alignment horizontal="center"/>
    </x:xf>
    <x:xf numFmtId="176" fontId="0" fillId="0" borderId="0" xfId="0" applyNumberFormat="1" applyFont="1" applyFill="1" applyBorder="1"/>
    <x:xf numFmtId="176" fontId="0" fillId="0" borderId="3" xfId="0" applyNumberFormat="1" applyFont="1" applyFill="1" applyBorder="1"/>
    <x:xf numFmtId="176" fontId="3" fillId="0" borderId="0" xfId="0" applyNumberFormat="1" applyFont="1" applyFill="1" applyBorder="1"/>
    <x:xf numFmtId="176" fontId="3" fillId="0" borderId="3" xfId="0" applyNumberFormat="1" applyFont="1" applyFill="1" applyBorder="1"/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0" fillId="9" borderId="3" xfId="0" applyNumberFormat="1" applyFont="1" applyFill="1" applyBorder="1"/>
    <x:xf numFmtId="0" fontId="12" fillId="9" borderId="3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3" xfId="0" applyNumberFormat="1" applyFont="1" applyFill="1" applyBorder="1" applyAlignment="1">
      <x:alignment wrapText="1"/>
    </x:xf>
    <x:xf numFmtId="0" fontId="10" fillId="9" borderId="2" xfId="0" applyNumberFormat="1" applyFont="1" applyFill="1" applyBorder="1" applyAlignment="1">
      <x:alignment horizontal="center" vertical="center"/>
    </x:xf>
    <x:xf numFmtId="0" fontId="10" fillId="9" borderId="2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/>
    <x:xf numFmtId="14" fontId="3" fillId="9" borderId="0" xfId="0" applyNumberFormat="1" applyFont="1" applyFill="1" applyBorder="1"/>
    <x:xf numFmtId="0" fontId="13" fillId="9" borderId="0" xfId="0" applyNumberFormat="1" applyFont="1" applyFill="1" applyBorder="1"/>
    <x:xf numFmtId="14" fontId="13" fillId="9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10" fontId="0" fillId="0" borderId="0" xfId="0" applyNumberFormat="1" applyFont="1" applyFill="1" applyBorder="1"/>
    <x:xf numFmtId="14" fontId="0" fillId="0" borderId="0" xfId="0" applyNumberFormat="1" applyFont="1" applyFill="1" applyBorder="1"/>
    <x:xf numFmtId="0" fontId="3" fillId="0" borderId="0" xfId="0" applyNumberFormat="1" applyFont="1" applyFill="1" applyBorder="1"/>
    <x:xf numFmtId="14" fontId="3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0" fontId="2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164" fontId="4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165" fontId="0" fillId="0" borderId="1" xfId="0" applyNumberFormat="1" applyFont="1" applyFill="1" applyBorder="1"/>
    <x:xf numFmtId="166" fontId="0" fillId="0" borderId="1" xfId="0" applyNumberFormat="1" applyFont="1" applyFill="1" applyBorder="1"/>
    <x:xf numFmtId="0" fontId="8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166" fontId="0" fillId="0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167" fontId="9" fillId="0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/>
    <x:xf numFmtId="0" fontId="10" fillId="2" borderId="1" xfId="0" applyNumberFormat="1" applyFont="1" applyFill="1" applyBorder="1" applyAlignment="1">
      <x:alignment horizontal="center"/>
    </x:xf>
    <x:xf numFmtId="168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169" fontId="0" fillId="0" borderId="0" xfId="0" applyNumberFormat="1" applyFont="1" applyFill="1" applyBorder="1"/>
    <x:xf numFmtId="170" fontId="0" fillId="0" borderId="0" xfId="0" applyNumberFormat="1" applyFont="1" applyFill="1" applyBorder="1"/>
    <x:xf numFmtId="171" fontId="0" fillId="0" borderId="0" xfId="0" applyNumberFormat="1" applyFont="1" applyFill="1" applyBorder="1"/>
    <x:xf numFmtId="172" fontId="0" fillId="0" borderId="0" xfId="0" applyNumberFormat="1" applyFont="1" applyFill="1" applyBorder="1"/>
    <x:xf numFmtId="173" fontId="0" fillId="0" borderId="0" xfId="0" applyNumberFormat="1" applyFont="1" applyFill="1" applyBorder="1"/>
    <x:xf numFmtId="174" fontId="0" fillId="0" borderId="0" xfId="0" applyNumberFormat="1" applyFont="1" applyFill="1" applyBorder="1"/>
    <x:xf numFmtId="175" fontId="0" fillId="0" borderId="0" xfId="0" applyNumberFormat="1" applyFont="1" applyFill="1" applyBorder="1"/>
    <x:xf numFmtId="1" fontId="0" fillId="0" borderId="0" xfId="0" applyNumberFormat="1" applyFont="1" applyFill="1" applyBorder="1"/>
    <x:xf numFmtId="173" fontId="4" fillId="0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14" fontId="3" fillId="7" borderId="0" xfId="0" applyNumberFormat="1" applyFont="1" applyFill="1" applyBorder="1"/>
    <x:xf numFmtId="0" fontId="13" fillId="7" borderId="0" xfId="0" applyNumberFormat="1" applyFont="1" applyFill="1" applyBorder="1"/>
    <x:xf numFmtId="14" fontId="13" fillId="7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 applyAlignment="1">
      <x:alignment horizont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176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7"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b/>
        <x:color rgb="FFFFFFFF"/>
      </x:font>
      <x:fill>
        <x:patternFill>
          <x:bgColor rgb="FF00B050"/>
        </x:patternFill>
      </x:fill>
    </x:dxf>
    <x:dxf>
      <x:font>
        <x:b/>
        <x:color rgb="FF000000"/>
      </x:font>
      <x:fill>
        <x:patternFill>
          <x:bgColor rgb="FFF4B183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000000"/>
      </x:font>
      <x:fill>
        <x:patternFill>
          <x:bgColor rgb="FFFFA500"/>
        </x:patternFill>
      </x:fill>
    </x:dxf>
    <x:dxf>
      <x:font>
        <x:b/>
        <x:color rgb="FFFFFFFF"/>
      </x:font>
      <x:fill>
        <x:patternFill>
          <x:bgColor rgb="FFAA0000"/>
        </x:patternFill>
      </x:fill>
    </x:dxf>
    <x:dxf>
      <x:font>
        <x:b/>
        <x:color rgb="FF000000"/>
      </x:font>
      <x:fill>
        <x:patternFill>
          <x:bgColor rgb="FFFFFF00"/>
        </x:patternFill>
      </x:fill>
    </x:dxf>
    <x:dxf>
      <x:font>
        <x:b/>
        <x:color rgb="FFFFFFFF"/>
      </x:font>
      <x:fill>
        <x:patternFill>
          <x:bgColor rgb="FFAA0000"/>
        </x:patternFill>
      </x:fill>
    </x:dxf>
    <x:dxf>
      <x:font>
        <x:b/>
        <x:color rgb="FFFFFFFF"/>
      </x:font>
      <x:fill>
        <x:patternFill>
          <x:bgColor rgb="FF00AA00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ae508104540c7" /><Relationship Type="http://schemas.openxmlformats.org/officeDocument/2006/relationships/theme" Target="/xl/theme/theme1.xml" Id="R624e6dd0f50545f5" /><Relationship Type="http://schemas.openxmlformats.org/officeDocument/2006/relationships/sharedStrings" Target="/xl/sharedStrings.xml" Id="Rda903b48b2de4a1b" /><Relationship Type="http://schemas.openxmlformats.org/officeDocument/2006/relationships/worksheet" Target="/xl/worksheets/sheet1.xml" Id="R798ef98ecca74d5a" /><Relationship Type="http://schemas.openxmlformats.org/officeDocument/2006/relationships/worksheet" Target="/xl/worksheets/sheet2.xml" Id="R5aa4972a522345ae" /><Relationship Type="http://schemas.openxmlformats.org/officeDocument/2006/relationships/worksheet" Target="/xl/worksheets/sheet3.xml" Id="R124bbdad90d04bda" /><Relationship Type="http://schemas.openxmlformats.org/officeDocument/2006/relationships/worksheet" Target="/xl/worksheets/sheet4.xml" Id="Rd74831f6c5864af6" /><Relationship Type="http://schemas.openxmlformats.org/officeDocument/2006/relationships/worksheet" Target="/xl/worksheets/sheet5.xml" Id="R917f43df9ef94143" /><Relationship Type="http://schemas.openxmlformats.org/officeDocument/2006/relationships/worksheet" Target="/xl/worksheets/sheet6.xml" Id="R3530e53053894345" /><Relationship Type="http://schemas.openxmlformats.org/officeDocument/2006/relationships/worksheet" Target="/xl/worksheets/sheet7.xml" Id="R1366bd29c42e4312" /><Relationship Type="http://schemas.openxmlformats.org/officeDocument/2006/relationships/worksheet" Target="/xl/worksheets/sheet8.xml" Id="R5008e609b06f4025" /><Relationship Type="http://schemas.openxmlformats.org/officeDocument/2006/relationships/worksheet" Target="/xl/worksheets/sheet9.xml" Id="Rea247a5e77694568" /><Relationship Type="http://schemas.openxmlformats.org/officeDocument/2006/relationships/worksheet" Target="/xl/worksheets/sheet10.xml" Id="R06aa54e043cb4cb8" /><Relationship Type="http://schemas.openxmlformats.org/officeDocument/2006/relationships/worksheet" Target="/xl/worksheets/sheet11.xml" Id="Ref87fdc7f1334ea4" /><Relationship Type="http://schemas.openxmlformats.org/officeDocument/2006/relationships/worksheet" Target="/xl/worksheets/sheet12.xml" Id="R2e542a4d15e343bd" /><Relationship Type="http://schemas.openxmlformats.org/officeDocument/2006/relationships/worksheet" Target="/xl/worksheets/sheet13.xml" Id="Rc1f98078d6694d8e" /><Relationship Type="http://schemas.openxmlformats.org/officeDocument/2006/relationships/worksheet" Target="/xl/worksheets/sheet14.xml" Id="R79e146ced1d44182" /><Relationship Type="http://schemas.openxmlformats.org/officeDocument/2006/relationships/worksheet" Target="/xl/worksheets/sheet15.xml" Id="Rfc3828bee63a4c79" /><Relationship Type="http://schemas.openxmlformats.org/officeDocument/2006/relationships/worksheet" Target="/xl/worksheets/sheet16.xml" Id="R0e4023c41e1947dc" /><Relationship Type="http://schemas.openxmlformats.org/officeDocument/2006/relationships/worksheet" Target="/xl/worksheets/sheet17.xml" Id="R101cd9f4720145b8" /><Relationship Type="http://schemas.openxmlformats.org/officeDocument/2006/relationships/worksheet" Target="/xl/worksheets/sheet18.xml" Id="Rf7da08885e9c4377" /><Relationship Type="http://schemas.openxmlformats.org/officeDocument/2006/relationships/worksheet" Target="/xl/worksheets/sheet19.xml" Id="R8b8092cf03b94841" /><Relationship Type="http://schemas.openxmlformats.org/officeDocument/2006/relationships/worksheet" Target="/xl/worksheets/sheet20.xml" Id="Rf57ee4189c0a47af" /><Relationship Type="http://schemas.openxmlformats.org/officeDocument/2006/relationships/worksheet" Target="/xl/worksheets/sheet21.xml" Id="Rdf51af281a5242ac" /><Relationship Type="http://schemas.openxmlformats.org/officeDocument/2006/relationships/worksheet" Target="/xl/worksheets/sheet22.xml" Id="R33877dc9924347bc" /><Relationship Type="http://schemas.openxmlformats.org/officeDocument/2006/relationships/worksheet" Target="/xl/worksheets/sheet23.xml" Id="R0879ff88c43c4f57" /><Relationship Type="http://schemas.openxmlformats.org/officeDocument/2006/relationships/worksheet" Target="/xl/worksheets/sheet24.xml" Id="Rebc922dcd1e6468c" /><Relationship Type="http://schemas.openxmlformats.org/officeDocument/2006/relationships/worksheet" Target="/xl/worksheets/sheet25.xml" Id="R89e06229d135444f" /><Relationship Type="http://schemas.openxmlformats.org/officeDocument/2006/relationships/worksheet" Target="/xl/worksheets/sheet26.xml" Id="R4d5408c9b12443f3" /><Relationship Type="http://schemas.openxmlformats.org/officeDocument/2006/relationships/worksheet" Target="/xl/worksheets/sheet27.xml" Id="Re7b92dd15fa145c2" /><Relationship Type="http://schemas.openxmlformats.org/officeDocument/2006/relationships/worksheet" Target="/xl/worksheets/sheet28.xml" Id="Rdebb1f8b4aaf447d" /><Relationship Type="http://schemas.openxmlformats.org/officeDocument/2006/relationships/worksheet" Target="/xl/worksheets/sheet29.xml" Id="R4e60caed10e24731" /><Relationship Type="http://schemas.openxmlformats.org/officeDocument/2006/relationships/worksheet" Target="/xl/worksheets/sheet30.xml" Id="R2e3cdb69327a4eb9" /><Relationship Type="http://schemas.openxmlformats.org/officeDocument/2006/relationships/worksheet" Target="/xl/worksheets/sheet31.xml" Id="Rbbb0b6271596410f" /><Relationship Type="http://schemas.openxmlformats.org/officeDocument/2006/relationships/worksheet" Target="/xl/worksheets/sheet32.xml" Id="Ra8a1d5af94b34489" /><Relationship Type="http://schemas.openxmlformats.org/officeDocument/2006/relationships/worksheet" Target="/xl/worksheets/sheet33.xml" Id="R52b6e50a8752420f" /><Relationship Type="http://schemas.openxmlformats.org/officeDocument/2006/relationships/worksheet" Target="/xl/worksheets/sheet34.xml" Id="Rde2a9566b61746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72a370c11c414e" /><Relationship Type="http://schemas.openxmlformats.org/officeDocument/2006/relationships/chart" Target="/xl/drawings/charts/chart2.xml" Id="R6eb4413482e348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Deal Count by DriverNone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'Dashboard'!B13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'Dashboard'!$B$14:$B$25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Compliance % by DriverNone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'Dashboard'!D13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'Dashboard'!$A$14:$A$25</c:f>
              <c:strCache>
                <c:ptCount val="0"/>
              </c:strCache>
            </c:strRef>
          </c:cat>
          <c:val>
            <c:numRef>
              <c:f>'Dashboard'!$D$14:$D$25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72a370c11c414e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b4413482e3487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riversCleanTable" displayName="DriversCleanTable" ref="A1:M12" headerRowCount="1">
  <x:autoFilter ref="A1:M12"/>
  <x:tableColumns count="13">
    <x:tableColumn id="1" name="Driver ID"/>
    <x:tableColumn id="2" name="Full Name"/>
    <x:tableColumn id="3" name="Phone Number"/>
    <x:tableColumn id="4" name="Address"/>
    <x:tableColumn id="5" name="CDL Expiration Date"/>
    <x:tableColumn id="6" name="Medical Card Expiration"/>
    <x:tableColumn id="7" name="MVR Expiration"/>
    <x:tableColumn id="8" name="Assigned Truck"/>
    <x:tableColumn id="9" name="Compliance Status"/>
    <x:tableColumn id="10" name="Photo URL"/>
    <x:tableColumn id="11" name="CDL URL"/>
    <x:tableColumn id="12" name="MVR URL"/>
    <x:tableColumn id="13" name="Medical URL"/>
  </x:tableColumns>
  <x:tableStyleInfo name="TableStyleMedium2" showRowStripes="1"/>
</x:table>
</file>

<file path=xl/tables/table2.xml><?xml version="1.0" encoding="utf-8"?>
<x:table xmlns:x="http://schemas.openxmlformats.org/spreadsheetml/2006/main" id="2" name="tblDriversClean" displayName="tblDriversClean" ref="A1:P12" headerRowCount="1">
  <x:autoFilter ref="A1:P12"/>
  <x:tableColumns count="16">
    <x:tableColumn id="1" name="Legacy Driver ID"/>
    <x:tableColumn id="2" name="Driver ID"/>
    <x:tableColumn id="3" name="Full Name"/>
    <x:tableColumn id="4" name="Phone Number"/>
    <x:tableColumn id="5" name="Address"/>
    <x:tableColumn id="6" name="CDL Expiration Date"/>
    <x:tableColumn id="7" name="Medical Card Expiration"/>
    <x:tableColumn id="8" name="MVR Expiration"/>
    <x:tableColumn id="9" name="Assigned Truck"/>
    <x:tableColumn id="10" name="Compliance Status"/>
    <x:tableColumn id="11" name="Photo URL"/>
    <x:tableColumn id="12" name="CDL URL"/>
    <x:tableColumn id="13" name="MVR URL"/>
    <x:tableColumn id="14" name="Medical URL"/>
    <x:tableColumn id="15" name="Compliance Tier"/>
    <x:tableColumn id="16" name="Primary Truck"/>
  </x:tableColumns>
  <x:tableStyleInfo name="TableStyleMedium2" showRowStripes="1"/>
</x:table>
</file>

<file path=xl/tables/table3.xml><?xml version="1.0" encoding="utf-8"?>
<x:table xmlns:x="http://schemas.openxmlformats.org/spreadsheetml/2006/main" id="3" name="DocumentsCleanTable" displayName="DocumentsCleanTable" ref="A1:J85" headerRowCount="1">
  <x:autoFilter ref="A1:J85"/>
  <x:tableColumns count="10">
    <x:tableColumn id="1" name="Driver ID"/>
    <x:tableColumn id="2" name="Full Name"/>
    <x:tableColumn id="3" name="Phone"/>
    <x:tableColumn id="4" name="Address"/>
    <x:tableColumn id="5" name="Compliance Status"/>
    <x:tableColumn id="6" name="Document Type"/>
    <x:tableColumn id="7" name="Expiration Date"/>
    <x:tableColumn id="8" name="File Link"/>
    <x:tableColumn id="9" name="Standard Doc Type"/>
    <x:tableColumn id="10" name="Document URL"/>
  </x:tableColumns>
  <x:tableStyleInfo name="TableStyleMedium2" showRowStripes="1"/>
</x:table>
</file>

<file path=xl/tables/table4.xml><?xml version="1.0" encoding="utf-8"?>
<x:table xmlns:x="http://schemas.openxmlformats.org/spreadsheetml/2006/main" id="4" name="tblDocumentsClean" displayName="tblDocumentsClean" ref="A1:L85" headerRowCount="1">
  <x:autoFilter ref="A1:L85"/>
  <x:tableColumns count="12">
    <x:tableColumn id="1" name="Driver ID"/>
    <x:tableColumn id="2" name="Full Name"/>
    <x:tableColumn id="3" name="Phone"/>
    <x:tableColumn id="4" name="Address"/>
    <x:tableColumn id="5" name="Compliance Status"/>
    <x:tableColumn id="6" name="Document Type"/>
    <x:tableColumn id="7" name="Expiration Date"/>
    <x:tableColumn id="8" name="File Link"/>
    <x:tableColumn id="9" name="Standard Doc Type"/>
    <x:tableColumn id="10" name="Document URL"/>
    <x:tableColumn id="11" name="Doc Status"/>
    <x:tableColumn id="12" name="Export Key"/>
  </x:tableColumns>
  <x:tableStyleInfo name="TableStyleMedium2" showRowStripes="1"/>
</x:table>
</file>

<file path=xl/tables/table5.xml><?xml version="1.0" encoding="utf-8"?>
<x:table xmlns:x="http://schemas.openxmlformats.org/spreadsheetml/2006/main" id="5" name="AssetsCleanTable" displayName="AssetsCleanTable" ref="A1:F26" headerRowCount="1">
  <x:autoFilter ref="A1:F26"/>
  <x:tableColumns count="6">
    <x:tableColumn id="1" name="Asset ID"/>
    <x:tableColumn id="2" name="Assigned Driver ID"/>
    <x:tableColumn id="3" name="Assigned Driver Name"/>
    <x:tableColumn id="4" name="Last Service Date"/>
    <x:tableColumn id="5" name="Next Service Date"/>
    <x:tableColumn id="6" name="Status Indicator"/>
  </x:tableColumns>
  <x:tableStyleInfo name="TableStyleMedium2" showRowStripes="1"/>
</x:table>
</file>

<file path=xl/tables/table6.xml><?xml version="1.0" encoding="utf-8"?>
<x:table xmlns:x="http://schemas.openxmlformats.org/spreadsheetml/2006/main" id="6" name="tblAssetsClean" displayName="tblAssetsClean" ref="A1:H26" headerRowCount="1">
  <x:autoFilter ref="A1:H26"/>
  <x:tableColumns count="8">
    <x:tableColumn id="1" name="Asset ID"/>
    <x:tableColumn id="2" name="Assigned Driver ID"/>
    <x:tableColumn id="3" name="Assigned Driver Name"/>
    <x:tableColumn id="4" name="Last Service Date"/>
    <x:tableColumn id="5" name="Next Service Date"/>
    <x:tableColumn id="6" name="Status Indicator"/>
    <x:tableColumn id="7" name="Service Status"/>
    <x:tableColumn id="8" name="Export Ready"/>
  </x:tableColumns>
  <x:tableStyleInfo name="TableStyleMedium2" showRowStripes="1"/>
</x:table>
</file>

<file path=xl/tables/table7.xml><?xml version="1.0" encoding="utf-8"?>
<x:table xmlns:x="http://schemas.openxmlformats.org/spreadsheetml/2006/main" id="7" name="DispatchCleanTable" displayName="DispatchCleanTable" ref="A1:U13" headerRowCount="1">
  <x:autoFilter ref="A1:U13"/>
  <x:tableColumns count="21">
    <x:tableColumn id="1" name="Load ID"/>
    <x:tableColumn id="2" name="Driver ID"/>
    <x:tableColumn id="3" name="Driver Name"/>
    <x:tableColumn id="4" name="Asset ID"/>
    <x:tableColumn id="5" name="Revenue"/>
    <x:tableColumn id="6" name="Backhaul Pay"/>
    <x:tableColumn id="7" name="Driver Signature?"/>
    <x:tableColumn id="8" name="Load Status"/>
    <x:tableColumn id="9" name="Reason for Pending Status"/>
    <x:tableColumn id="10" name="Seal Number (Pickup)"/>
    <x:tableColumn id="11" name="Seal Photo (Pickup)"/>
    <x:tableColumn id="12" name="Seal Number (Delivery)"/>
    <x:tableColumn id="13" name="Seal Photo (Delivery)"/>
    <x:tableColumn id="14" name="Seal Status"/>
    <x:tableColumn id="15" name="Exception Flag"/>
    <x:tableColumn id="16" name="Override Reason"/>
    <x:tableColumn id="17" name="Audit Log"/>
    <x:tableColumn id="18" name="Compliance Lock"/>
    <x:tableColumn id="19" name="Seal Issue Type"/>
    <x:tableColumn id="20" name="Photo Required?"/>
    <x:tableColumn id="21" name="Review Status"/>
  </x:tableColumns>
  <x:tableStyleInfo name="TableStyleMedium2" showRowStripes="1"/>
</x:table>
</file>

<file path=xl/tables/table8.xml><?xml version="1.0" encoding="utf-8"?>
<x:table xmlns:x="http://schemas.openxmlformats.org/spreadsheetml/2006/main" id="8" name="tblDispatchClean" displayName="tblDispatchClean" ref="A1:X13" headerRowCount="1">
  <x:autoFilter ref="A1:X13"/>
  <x:tableColumns count="24">
    <x:tableColumn id="1" name="Load ID"/>
    <x:tableColumn id="2" name="Driver ID"/>
    <x:tableColumn id="3" name="Driver Name"/>
    <x:tableColumn id="4" name="Asset ID"/>
    <x:tableColumn id="5" name="Revenue"/>
    <x:tableColumn id="6" name="Backhaul Pay"/>
    <x:tableColumn id="7" name="Driver Signature?"/>
    <x:tableColumn id="8" name="Load Status"/>
    <x:tableColumn id="9" name="Reason for Pending Status"/>
    <x:tableColumn id="10" name="Seal Number (Pickup)"/>
    <x:tableColumn id="11" name="Seal Photo (Pickup)"/>
    <x:tableColumn id="12" name="Seal Number (Delivery)"/>
    <x:tableColumn id="13" name="Seal Photo (Delivery)"/>
    <x:tableColumn id="14" name="Seal Status"/>
    <x:tableColumn id="15" name="Exception Flag"/>
    <x:tableColumn id="16" name="Override Reason"/>
    <x:tableColumn id="17" name="Audit Log"/>
    <x:tableColumn id="18" name="Compliance Lock"/>
    <x:tableColumn id="19" name="Seal Issue Type"/>
    <x:tableColumn id="20" name="Photo Required?"/>
    <x:tableColumn id="21" name="Review Status"/>
    <x:tableColumn id="22" name="Legacy Driver ID"/>
    <x:tableColumn id="23" name="Revenue Status"/>
    <x:tableColumn id="24" name="Export Load Status"/>
  </x:tableColumns>
  <x:tableStyleInfo name="TableStyleMedium2" showRowStripes="1"/>
</x:table>
</file>

<file path=xl/tables/table9.xml><?xml version="1.0" encoding="utf-8"?>
<x:table xmlns:x="http://schemas.openxmlformats.org/spreadsheetml/2006/main" id="9" name="PayrollCleanTable" displayName="PayrollCleanTable" ref="A1:Y12" headerRowCount="1">
  <x:autoFilter ref="A1:Y12"/>
  <x:tableColumns count="25">
    <x:tableColumn id="1" name="Driver ID"/>
    <x:tableColumn id="2" name="Full Name"/>
    <x:tableColumn id="3" name="Driver"/>
    <x:tableColumn id="4" name="Base Earnings"/>
    <x:tableColumn id="5" name="Backhaul Pay"/>
    <x:tableColumn id="6" name="Gross Pay"/>
    <x:tableColumn id="7" name="FICA"/>
    <x:tableColumn id="8" name="OASDI"/>
    <x:tableColumn id="9" name="Federal Withholding"/>
    <x:tableColumn id="10" name="State Withholding"/>
    <x:tableColumn id="11" name="SDI"/>
    <x:tableColumn id="12" name="FM Leave"/>
    <x:tableColumn id="13" name="Family Support"/>
    <x:tableColumn id="14" name="Insurance Premiums"/>
    <x:tableColumn id="15" name="Credit Union Savings Club"/>
    <x:tableColumn id="16" name="401(k) Contribution"/>
    <x:tableColumn id="17" name="HSA/FSA Health Deduction"/>
    <x:tableColumn id="18" name="Health Insurance Premiums"/>
    <x:tableColumn id="19" name="Life Insurance Above 50k"/>
    <x:tableColumn id="20" name="Total Deductions"/>
    <x:tableColumn id="21" name="Fuel Reimb."/>
    <x:tableColumn id="22" name="Net Pay"/>
    <x:tableColumn id="23" name="Status"/>
    <x:tableColumn id="24" name="Pending Reason"/>
    <x:tableColumn id="25" name="401(k) Rate"/>
  </x:tableColumns>
  <x:tableStyleInfo name="TableStyleMedium2" showRowStripes="1"/>
</x:table>
</file>

<file path=xl/tables/table10.xml><?xml version="1.0" encoding="utf-8"?>
<x:table xmlns:x="http://schemas.openxmlformats.org/spreadsheetml/2006/main" id="10" name="tblPayrollClean" displayName="tblPayrollClean" ref="A1:AB12" headerRowCount="1">
  <x:autoFilter ref="A1:AB12"/>
  <x:tableColumns count="28">
    <x:tableColumn id="1" name="Driver ID"/>
    <x:tableColumn id="2" name="Full Name"/>
    <x:tableColumn id="3" name="Driver"/>
    <x:tableColumn id="4" name="Base Earnings"/>
    <x:tableColumn id="5" name="Backhaul Pay"/>
    <x:tableColumn id="6" name="Gross Pay"/>
    <x:tableColumn id="7" name="FICA"/>
    <x:tableColumn id="8" name="OASDI"/>
    <x:tableColumn id="9" name="Federal Withholding"/>
    <x:tableColumn id="10" name="State Withholding"/>
    <x:tableColumn id="11" name="SDI"/>
    <x:tableColumn id="12" name="FM Leave"/>
    <x:tableColumn id="13" name="Family Support"/>
    <x:tableColumn id="14" name="Insurance Premiums"/>
    <x:tableColumn id="15" name="Credit Union Savings Club"/>
    <x:tableColumn id="16" name="401(k) Contribution"/>
    <x:tableColumn id="17" name="HSA/FSA Health Deduction"/>
    <x:tableColumn id="18" name="Health Insurance Premiums"/>
    <x:tableColumn id="19" name="Life Insurance Above 50k"/>
    <x:tableColumn id="20" name="Total Deductions"/>
    <x:tableColumn id="21" name="Fuel Reimb."/>
    <x:tableColumn id="22" name="Net Pay"/>
    <x:tableColumn id="23" name="Status"/>
    <x:tableColumn id="24" name="Pending Reason"/>
    <x:tableColumn id="25" name="401(k) Rate"/>
    <x:tableColumn id="26" name="Legacy Driver ID"/>
    <x:tableColumn id="27" name="Settlement ID"/>
    <x:tableColumn id="28" name="Export Status"/>
  </x:tableColumns>
  <x:tableStyleInfo name="TableStyleMedium2" showRowStripes="1"/>
</x:table>
</file>

<file path=xl/tables/table11.xml><?xml version="1.0" encoding="utf-8"?>
<x:table xmlns:x="http://schemas.openxmlformats.org/spreadsheetml/2006/main" id="11" name="SafetyEventsTable" displayName="SafetyEventsTable" ref="A1:J5" headerRowCount="1">
  <x:autoFilter ref="A1:J5"/>
  <x:tableColumns count="10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Timestamp"/>
    <x:tableColumn id="8" name="Unit"/>
    <x:tableColumn id="9" name="Location"/>
    <x:tableColumn id="10" name="Details"/>
  </x:tableColumns>
  <x:tableStyleInfo name="TableStyleMedium2" showRowStripes="1"/>
</x:table>
</file>

<file path=xl/tables/table12.xml><?xml version="1.0" encoding="utf-8"?>
<x:table xmlns:x="http://schemas.openxmlformats.org/spreadsheetml/2006/main" id="12" name="tblSafetyEvents" displayName="tblSafetyEvents" ref="A1:L5" headerRowCount="1">
  <x:autoFilter ref="A1:L5"/>
  <x:tableColumns count="12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Timestamp"/>
    <x:tableColumn id="8" name="Unit"/>
    <x:tableColumn id="9" name="Location"/>
    <x:tableColumn id="10" name="Details"/>
    <x:tableColumn id="11" name="Driver Photo URL"/>
    <x:tableColumn id="12" name="Export Status"/>
  </x:tableColumns>
  <x:tableStyleInfo name="TableStyleMedium2" showRowStripes="1"/>
</x:table>
</file>

<file path=xl/tables/table13.xml><?xml version="1.0" encoding="utf-8"?>
<x:table xmlns:x="http://schemas.openxmlformats.org/spreadsheetml/2006/main" id="13" name="ComplianceEventsTable" displayName="ComplianceEventsTable" ref="A1:H5" headerRowCount="1">
  <x:autoFilter ref="A1:H5"/>
  <x:tableColumns count="8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Due Date"/>
    <x:tableColumn id="8" name="Details"/>
  </x:tableColumns>
  <x:tableStyleInfo name="TableStyleMedium2" showRowStripes="1"/>
</x:table>
</file>

<file path=xl/tables/table14.xml><?xml version="1.0" encoding="utf-8"?>
<x:table xmlns:x="http://schemas.openxmlformats.org/spreadsheetml/2006/main" id="14" name="tblComplianceEvents" displayName="tblComplianceEvents" ref="A1:J5" headerRowCount="1">
  <x:autoFilter ref="A1:J5"/>
  <x:tableColumns count="10">
    <x:tableColumn id="1" name="Event ID"/>
    <x:tableColumn id="2" name="Driver ID"/>
    <x:tableColumn id="3" name="Driver Name"/>
    <x:tableColumn id="4" name="Event Type"/>
    <x:tableColumn id="5" name="Severity"/>
    <x:tableColumn id="6" name="Status"/>
    <x:tableColumn id="7" name="Due Date"/>
    <x:tableColumn id="8" name="Details"/>
    <x:tableColumn id="9" name="Driver Photo URL"/>
    <x:tableColumn id="10" name="Export Status"/>
  </x:tableColumns>
  <x:tableStyleInfo name="TableStyleMedium2" showRowStripes="1"/>
</x:table>
</file>

<file path=xl/tables/table15.xml><?xml version="1.0" encoding="utf-8"?>
<x:table xmlns:x="http://schemas.openxmlformats.org/spreadsheetml/2006/main" id="15" name="tblLookups" displayName="tblLookups" ref="A1:C21" headerRowCount="1">
  <x:autoFilter ref="A1:C21"/>
  <x:tableColumns count="3">
    <x:tableColumn id="1" name="Category"/>
    <x:tableColumn id="2" name="Allowed Value"/>
    <x:tableColumn id="3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tblVercelDrivers" displayName="tblVercelDrivers" ref="A1:H12" headerRowCount="1">
  <x:autoFilter ref="A1:H12"/>
  <x:tableColumns count="8">
    <x:tableColumn id="1" name="Driver ID"/>
    <x:tableColumn id="2" name="Full Name"/>
    <x:tableColumn id="3" name="Photo URL"/>
    <x:tableColumn id="4" name="Primary Truck"/>
    <x:tableColumn id="5" name="Compliance Tier"/>
    <x:tableColumn id="6" name="CDL Expiration Date"/>
    <x:tableColumn id="7" name="Medical Card Expiration"/>
    <x:tableColumn id="8" name="MVR Expiration"/>
  </x:tableColumns>
  <x:tableStyleInfo name="TableStyleMedium2" showRowStripes="1"/>
</x:table>
</file>

<file path=xl/tables/table17.xml><?xml version="1.0" encoding="utf-8"?>
<x:table xmlns:x="http://schemas.openxmlformats.org/spreadsheetml/2006/main" id="17" name="tblVercelSettlements" displayName="tblVercelSettlements" ref="A1:J12" headerRowCount="1">
  <x:autoFilter ref="A1:J12"/>
  <x:tableColumns count="10">
    <x:tableColumn id="1" name="Settlement ID"/>
    <x:tableColumn id="2" name="Driver ID"/>
    <x:tableColumn id="3" name="Full Name"/>
    <x:tableColumn id="4" name="Gross Pay"/>
    <x:tableColumn id="5" name="Total Deductions"/>
    <x:tableColumn id="6" name="Fuel Reimb."/>
    <x:tableColumn id="7" name="Net Pay"/>
    <x:tableColumn id="8" name="Status"/>
    <x:tableColumn id="9" name="Pending Reason"/>
    <x:tableColumn id="10" name="Export Status"/>
  </x:tableColumns>
  <x:tableStyleInfo name="TableStyleMedium2" showRowStripes="1"/>
</x:table>
</file>

<file path=xl/tables/table18.xml><?xml version="1.0" encoding="utf-8"?>
<x:table xmlns:x="http://schemas.openxmlformats.org/spreadsheetml/2006/main" id="18" name="tblVercelLoads" displayName="tblVercelLoads" ref="A1:N13" headerRowCount="1">
  <x:autoFilter ref="A1:N13"/>
  <x:tableColumns count="14">
    <x:tableColumn id="1" name="Load ID"/>
    <x:tableColumn id="2" name="Driver ID"/>
    <x:tableColumn id="3" name="Driver Name"/>
    <x:tableColumn id="4" name="Asset ID"/>
    <x:tableColumn id="5" name="Revenue"/>
    <x:tableColumn id="6" name="Backhaul Pay"/>
    <x:tableColumn id="7" name="Load Status"/>
    <x:tableColumn id="8" name="Export Load Status"/>
    <x:tableColumn id="9" name="Seal Status"/>
    <x:tableColumn id="10" name="Seal Issue Type"/>
    <x:tableColumn id="11" name="Photo Required?"/>
    <x:tableColumn id="12" name="Review Status"/>
    <x:tableColumn id="13" name="Exception Flag"/>
    <x:tableColumn id="14" name="Revenue Status"/>
  </x:tableColumns>
  <x:tableStyleInfo name="TableStyleMedium2" showRowStripes="1"/>
</x:table>
</file>

<file path=xl/tables/table19.xml><?xml version="1.0" encoding="utf-8"?>
<x:table xmlns:x="http://schemas.openxmlformats.org/spreadsheetml/2006/main" id="19" name="tblVercelSafety" displayName="tblVercelSafety" ref="A1:L5" headerRowCount="1">
  <x:autoFilter ref="A1:L5"/>
  <x:tableColumns count="12">
    <x:tableColumn id="1" name="Event ID"/>
    <x:tableColumn id="2" name="Driver ID"/>
    <x:tableColumn id="3" name="Driver Name"/>
    <x:tableColumn id="4" name="Driver Photo URL"/>
    <x:tableColumn id="5" name="Event Type"/>
    <x:tableColumn id="6" name="Severity"/>
    <x:tableColumn id="7" name="Status"/>
    <x:tableColumn id="8" name="Timestamp"/>
    <x:tableColumn id="9" name="Unit"/>
    <x:tableColumn id="10" name="Location"/>
    <x:tableColumn id="11" name="Details"/>
    <x:tableColumn id="12" name="Export Status"/>
  </x:tableColumns>
  <x:tableStyleInfo name="TableStyleMedium2" showRowStripes="1"/>
</x:table>
</file>

<file path=xl/tables/table20.xml><?xml version="1.0" encoding="utf-8"?>
<x:table xmlns:x="http://schemas.openxmlformats.org/spreadsheetml/2006/main" id="20" name="tblVercelCompliance" displayName="tblVercelCompliance" ref="A1:J5" headerRowCount="1">
  <x:autoFilter ref="A1:J5"/>
  <x:tableColumns count="10">
    <x:tableColumn id="1" name="Event ID"/>
    <x:tableColumn id="2" name="Driver ID"/>
    <x:tableColumn id="3" name="Driver Name"/>
    <x:tableColumn id="4" name="Driver Photo URL"/>
    <x:tableColumn id="5" name="Event Type"/>
    <x:tableColumn id="6" name="Severity"/>
    <x:tableColumn id="7" name="Status"/>
    <x:tableColumn id="8" name="Due Date"/>
    <x:tableColumn id="9" name="Details"/>
    <x:tableColumn id="10" name="Export 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2d35e188acd477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3f272cdc88e74c6b" /><Relationship Type="http://schemas.openxmlformats.org/officeDocument/2006/relationships/table" Target="/xl/tables/table2.xml" Id="R93d2b166d6614c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3.xml" Id="R6a4b9a5688f44efa" /><Relationship Type="http://schemas.openxmlformats.org/officeDocument/2006/relationships/table" Target="/xl/tables/table4.xml" Id="Reddeb799c8f24a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7687a466077a4fda" /><Relationship Type="http://schemas.openxmlformats.org/officeDocument/2006/relationships/table" Target="/xl/tables/table6.xml" Id="Rd7dcd5b86e834a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7.xml" Id="Rf91a624a2eaf45fa" /><Relationship Type="http://schemas.openxmlformats.org/officeDocument/2006/relationships/table" Target="/xl/tables/table8.xml" Id="Rbb137c0e1d7f48c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12b481db2f634323" /><Relationship Type="http://schemas.openxmlformats.org/officeDocument/2006/relationships/table" Target="/xl/tables/table10.xml" Id="Rf921043bc26e42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b88c469234b84974" /><Relationship Type="http://schemas.openxmlformats.org/officeDocument/2006/relationships/table" Target="/xl/tables/table12.xml" Id="Re9a5af3735a5414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887a14cee6646b8" /><Relationship Type="http://schemas.openxmlformats.org/officeDocument/2006/relationships/table" Target="/xl/tables/table14.xml" Id="Re2ff78286b08482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1dfb5717403e408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fc809b2c02b144c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29300b16803741d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8d99732c7a8847e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330bcc9a2d584730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d1220dbdfd414053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20" style="24" customWidth="1"/>
    <x:col min="2" max="2" width="120" style="24" customWidth="1"/>
  </x:cols>
  <x:sheetData>
    <x:row r="1">
      <x:c r="A1" s="58" t="inlineStr">
        <x:is>
          <x:t xml:space="preserve">Workbook Cleanup Summary</x:t>
        </x:is>
      </x:c>
      <x:c r="B1" s="49" t="inlineStr">
        <x:is>
          <x:t xml:space="preserve">This workbook was cleaned and structured for migration planning and polished demo use.</x:t>
        </x:is>
      </x:c>
    </x:row>
    <x:row r="2">
      <x:c r="A2" s="59" t="inlineStr">
        <x:is>
          <x:t xml:space="preserve">Second pass completed for MVP use.</x:t>
        </x:is>
      </x:c>
      <x:c r="B2" s="51" t="inlineStr">
        <x:is>
          <x:t xml:space="preserve">Documents was converted from one CSV-packed column into proper fields. Normalized clean tabs were added for Drivers, Documents, Assets, Dispatch, and Payroll. Structured Safety_Events and Compliance_Events tabs were added for app planning.</x:t>
        </x:is>
      </x:c>
    </x:row>
    <x:row r="3">
      <x:c r="A3" s="59" t="inlineStr">
        <x:is>
          <x:t xml:space="preserve">- Statuses standardized across clean tabs (PAID/PENDING/ON_HOLD, DELIVERED/IN_TRANSIT/PENDING, VALID/EXPIRING_SOON/EXPIRED, OPEN/REVIEWED/CLOSED).</x:t>
        </x:is>
      </x:c>
      <x:c r="B3" s="51" t="inlineStr">
        <x:is>
          <x:t xml:space="preserve">Keep the original tabs for current formulas and dashboards. Use the *_Clean tabs when mapping data into Vercel or a future database.</x:t>
        </x:is>
      </x:c>
    </x:row>
    <x:row r="4">
      <x:c r="A4" s="59" t="inlineStr">
        <x:is>
          <x:t xml:space="preserve">Latest upgrade</x:t>
        </x:is>
      </x:c>
      <x:c r="B4" s="51" t="inlineStr">
        <x:is>
          <x:t xml:space="preserve">Link wiring added for photos and documents; Vercel export tabs now include direct URLs and a Vercel_Documents export was added.</x:t>
        </x:is>
      </x:c>
    </x:row>
    <x:row r="5">
      <x:c r="A5" s="59" t="inlineStr">
        <x:is>
          <x:t xml:space="preserve">JSON seed file</x:t>
        </x:is>
      </x:c>
      <x:c r="B5" s="51" t="inlineStr">
        <x:is>
          <x:t xml:space="preserve">See backofficefleet_vercel_seed.json generated alongside this workbook.</x:t>
        </x:is>
      </x:c>
    </x:row>
    <x:row r="7">
      <x:c r="A7" t="inlineStr">
        <x:is>
          <x:t xml:space="preserve">Photo Layer Added</x:t>
        </x:is>
      </x:c>
    </x:row>
    <x:row r="8">
      <x:c r="A8" t="inlineStr">
        <x:is>
          <x:t xml:space="preserve">Dispatch, document preview, safety, compliance, POD, pickup, delivery, lumper, and seal-related image URLs are now wired for Vercel.</x:t>
        </x:is>
      </x:c>
    </x:row>
    <x:row r="10">
      <x:c r="A10" t="inlineStr">
        <x:is>
          <x:t xml:space="preserve">Photo Layer Exports</x:t>
        </x:is>
      </x:c>
    </x:row>
    <x:row r="11">
      <x:c r="A11" t="inlineStr">
        <x:is>
          <x:t xml:space="preserve">Use Vercel_Loads, Vercel_Documents, Vercel_Safety, and Vercel_Compliance for image URLs including POD, pickup, delivery, lumper, document previews, safety event images, and compliance evidence.</x:t>
        </x:is>
      </x:c>
    </x:row>
    <x:row r="13">
      <x:c r="A13" t="inlineStr">
        <x:is>
          <x:t xml:space="preserve">Update</x:t>
        </x:is>
      </x:c>
      <x:c r="B13" t="inlineStr">
        <x:is>
          <x:t xml:space="preserve">Added standard dispatch, RFID, and insurance-claim fields to load/event sheets with demo data.</x:t>
        </x:is>
      </x:c>
    </x:row>
    <x:row r="15">
      <x:c r="A15" t="inlineStr">
        <x:is>
          <x:t xml:space="preserve">Enhancement Pass 2</x:t>
        </x:is>
      </x:c>
    </x:row>
    <x:row r="16">
      <x:c r="A16" t="inlineStr">
        <x:is>
          <x:t xml:space="preserve">Added BOF/Cursor-aligned alias columns for dispatch/load, proof, RFID, and insurance workflows.</x:t>
        </x:is>
      </x:c>
    </x:row>
    <x:row r="17">
      <x:c r="A17" t="inlineStr">
        <x:is>
          <x:t xml:space="preserve">Key additions include Origin/Destination, Pickup/Delivery Dates, Total Pay, POD URL/Status, BOL Status, Rate Confirmation Status, claim reserve/exposure, and settlement hold helpers.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16.625" style="24" customWidth="1"/>
    <x:col min="2" max="2" width="17.75" style="24" customWidth="1"/>
    <x:col min="3" max="3" width="16.375" style="24" customWidth="1"/>
    <x:col min="4" max="4" width="36" style="24" customWidth="1"/>
    <x:col min="5" max="5" width="32" style="24" customWidth="1"/>
    <x:col min="6" max="6" width="17.75" style="24" customWidth="1"/>
    <x:col min="7" max="7" width="21.375" style="24" customWidth="1"/>
    <x:col min="8" max="8" width="16.625" style="36" customWidth="1"/>
    <x:col min="9" max="9" width="23.125" style="24" customWidth="1"/>
    <x:col min="10" max="10" width="16.25" style="24" customWidth="1"/>
  </x:cols>
  <x:sheetData>
    <x:row r="1" s="24" customFormat="1" ht="15" customHeight="1">
      <x:c r="A1" t="str">
        <x:v>Total Drivers:</x:v>
      </x:c>
      <x:c r="B1" t="n">
        <x:v>11</x:v>
      </x:c>
      <x:c r="C1"/>
      <x:c r="D1"/>
      <x:c r="E1"/>
      <x:c r="F1"/>
      <x:c r="G1"/>
      <x:c r="H1"/>
      <x:c r="I1"/>
    </x:row>
    <x:row r="2" s="24" customFormat="1" ht="15" customHeight="1">
      <x:c r="A2" t="str">
        <x:v>Compliant Drivers:</x:v>
      </x:c>
      <x:c r="B2" t="n">
        <x:v>8</x:v>
      </x:c>
      <x:c r="C2"/>
      <x:c r="D2"/>
      <x:c r="E2"/>
      <x:c r="F2"/>
      <x:c r="G2"/>
      <x:c r="H2"/>
      <x:c r="I2"/>
    </x:row>
    <x:row r="3" s="24" customFormat="1" ht="15" customHeight="1">
      <x:c r="A3" t="str">
        <x:v>Fleet Health %:</x:v>
      </x:c>
      <x:c r="B3" s="31" t="n">
        <x:v>0.7272727272727273</x:v>
      </x:c>
      <x:c r="C3"/>
      <x:c r="D3"/>
      <x:c r="E3"/>
      <x:c r="F3"/>
      <x:c r="G3"/>
      <x:c r="H3"/>
      <x:c r="I3"/>
    </x:row>
    <x:row r="4">
      <x:c r="A4"/>
      <x:c r="B4"/>
      <x:c r="C4"/>
      <x:c r="D4"/>
      <x:c r="E4"/>
      <x:c r="F4"/>
      <x:c r="G4"/>
      <x:c r="H4"/>
      <x:c r="I4"/>
    </x:row>
    <x:row r="5" s="2" customFormat="1" ht="15" customHeight="1">
      <x:c r="A5" s="127" t="str">
        <x:v>Driver ID</x:v>
      </x:c>
      <x:c r="B5" s="127" t="str">
        <x:v>Full Name</x:v>
      </x:c>
      <x:c r="C5" s="127" t="str">
        <x:v>Phone Number</x:v>
      </x:c>
      <x:c r="D5" s="127" t="str">
        <x:v>Address</x:v>
      </x:c>
      <x:c r="E5" s="127" t="str">
        <x:v>Compliance Status</x:v>
      </x:c>
      <x:c r="F5" s="127" t="str">
        <x:v>CDL Expiration Date</x:v>
      </x:c>
      <x:c r="G5" s="127" t="str">
        <x:v>Medical Card Expiration</x:v>
      </x:c>
      <x:c r="H5" s="128" t="str">
        <x:v>MVR Expiration</x:v>
      </x:c>
      <x:c r="I5" s="118" t="str">
        <x:v>Assigned Truck</x:v>
      </x:c>
      <x:c r="J5" s="32" t="n"/>
      <x:c r="K5" s="32" t="n"/>
      <x:c r="L5" s="32" t="n"/>
      <x:c r="M5" s="32" t="n"/>
      <x:c r="N5" s="32" t="n"/>
      <x:c r="O5" s="32" t="n"/>
      <x:c r="P5" s="32" t="n"/>
      <x:c r="Q5" s="32" t="n"/>
      <x:c r="R5" s="32" t="n"/>
      <x:c r="S5" s="32" t="n"/>
      <x:c r="T5" s="32" t="n"/>
      <x:c r="U5" s="32" t="n"/>
      <x:c r="V5" s="32" t="n"/>
      <x:c r="W5" s="32" t="n"/>
    </x:row>
    <x:row r="6" s="2" customFormat="1" ht="16.5" customHeight="1">
      <x:c r="A6" s="32" t="str">
        <x:v>Driver 1</x:v>
      </x:c>
      <x:c r="B6" s="32" t="str">
        <x:v>John Carter</x:v>
      </x:c>
      <x:c r="C6" s="32" t="str">
        <x:v>206-555-0102</x:v>
      </x:c>
      <x:c r="D6" s="32" t="str">
        <x:v>220 Demo Street, Cleveland, OH 44113</x:v>
      </x:c>
      <x:c r="E6" s="32" t="str">
        <x:v>READY</x:v>
      </x:c>
      <x:c r="F6" s="115" t="n">
        <x:v>46621</x:v>
      </x:c>
      <x:c r="G6" s="115" t="n">
        <x:v>46638</x:v>
      </x:c>
      <x:c r="H6" s="115" t="n">
        <x:v>46677</x:v>
      </x:c>
      <x:c r="I6" s="32" t="str">
        <x:f t="array" ref="I6"/>
        <x:v>T-102, T-121</x:v>
      </x:c>
      <x:c r="J6" s="35" t="n"/>
      <x:c r="K6" s="32" t="n"/>
      <x:c r="L6" s="32" t="n"/>
      <x:c r="M6" s="32" t="n"/>
      <x:c r="N6" s="32" t="n"/>
      <x:c r="O6" s="32" t="n"/>
      <x:c r="P6" s="32" t="n"/>
      <x:c r="Q6" s="32" t="n"/>
      <x:c r="R6" s="32" t="n"/>
      <x:c r="S6" s="32" t="n"/>
      <x:c r="T6" s="32" t="n"/>
      <x:c r="U6" s="32" t="n"/>
      <x:c r="V6" s="32" t="n"/>
      <x:c r="W6" s="32" t="n"/>
    </x:row>
    <x:row r="7" s="2" customFormat="1" ht="15" customHeight="1">
      <x:c r="A7" s="32" t="str">
        <x:v>Driver 2</x:v>
      </x:c>
      <x:c r="B7" s="32" t="str">
        <x:v>Maria Lopez</x:v>
      </x:c>
      <x:c r="C7" s="32" t="str">
        <x:v>707-555-0100</x:v>
      </x:c>
      <x:c r="D7" s="32" t="str">
        <x:v>770 Demo Street, Chicago, IL 60611</x:v>
      </x:c>
      <x:c r="E7" s="32" t="str">
        <x:v>READY</x:v>
      </x:c>
      <x:c r="F7" s="115" t="n">
        <x:v>46518</x:v>
      </x:c>
      <x:c r="G7" s="115" t="n">
        <x:v>46596</x:v>
      </x:c>
      <x:c r="H7" s="115" t="n">
        <x:v>46455</x:v>
      </x:c>
      <x:c r="I7" s="32" t="str">
        <x:f t="array" ref="I7"/>
        <x:v>T-122, T-124, T-125</x:v>
      </x:c>
      <x:c r="J7" s="35" t="n"/>
      <x:c r="K7" s="32" t="n"/>
      <x:c r="L7" s="32" t="n"/>
      <x:c r="M7" s="32" t="n"/>
      <x:c r="N7" s="32" t="n"/>
      <x:c r="O7" s="32" t="n"/>
      <x:c r="P7" s="32" t="n"/>
      <x:c r="Q7" s="32" t="n"/>
      <x:c r="R7" s="32" t="n"/>
      <x:c r="S7" s="32" t="n"/>
      <x:c r="T7" s="32" t="n"/>
      <x:c r="U7" s="32" t="n"/>
      <x:c r="V7" s="32" t="n"/>
      <x:c r="W7" s="32" t="n"/>
    </x:row>
    <x:row r="8" s="2" customFormat="1" ht="15" customHeight="1">
      <x:c r="A8" s="32" t="str">
        <x:v>Driver 3</x:v>
      </x:c>
      <x:c r="B8" s="32" t="str">
        <x:v>Alex Kim</x:v>
      </x:c>
      <x:c r="C8" s="32" t="str">
        <x:v>675-555-0100</x:v>
      </x:c>
      <x:c r="D8" s="32" t="str">
        <x:v>960 Demo Street, Atlanta, GA 30308</x:v>
      </x:c>
      <x:c r="E8" s="32" t="str">
        <x:v>READY</x:v>
      </x:c>
      <x:c r="F8" s="115" t="n">
        <x:v>46420</x:v>
      </x:c>
      <x:c r="G8" s="115" t="n">
        <x:v>46659</x:v>
      </x:c>
      <x:c r="H8" s="115" t="n">
        <x:v>46449</x:v>
      </x:c>
      <x:c r="I8" s="32" t="str">
        <x:f t="array" ref="I8"/>
        <x:v>T-107, T-123</x:v>
      </x:c>
      <x:c r="J8" s="35" t="n"/>
      <x:c r="K8" s="32" t="n"/>
      <x:c r="L8" s="32" t="n"/>
      <x:c r="M8" s="32" t="n"/>
      <x:c r="N8" s="32" t="n"/>
      <x:c r="O8" s="32" t="n"/>
      <x:c r="P8" s="32" t="n"/>
      <x:c r="Q8" s="32" t="n"/>
      <x:c r="R8" s="32" t="n"/>
      <x:c r="S8" s="32" t="n"/>
      <x:c r="T8" s="32" t="n"/>
      <x:c r="U8" s="32" t="n"/>
      <x:c r="V8" s="32" t="n"/>
      <x:c r="W8" s="32" t="n"/>
    </x:row>
    <x:row r="9" s="24" customFormat="1" ht="15" customHeight="1">
      <x:c r="A9" s="32" t="str">
        <x:v>Driver 4</x:v>
      </x:c>
      <x:c r="B9" s="32" t="str">
        <x:v>Priya Patel</x:v>
      </x:c>
      <x:c r="C9" s="32" t="str">
        <x:v>359-555-0100</x:v>
      </x:c>
      <x:c r="D9" s="32" t="str">
        <x:v>520 Demo Street, Cleveland, OH 44114</x:v>
      </x:c>
      <x:c r="E9" s="32" t="str">
        <x:v>READY</x:v>
      </x:c>
      <x:c r="F9" s="115" t="n">
        <x:v>46739</x:v>
      </x:c>
      <x:c r="G9" s="115" t="n">
        <x:v>46486</x:v>
      </x:c>
      <x:c r="H9" s="115" t="n">
        <x:v>46452</x:v>
      </x:c>
      <x:c r="I9" s="32" t="str">
        <x:f t="array" ref="I9"/>
        <x:v>T-108, T-110, T-113, T-116</x:v>
      </x:c>
      <x:c r="J9" s="35" t="n"/>
      <x:c r="K9" s="32" t="n"/>
      <x:c r="L9" s="32" t="n"/>
      <x:c r="M9" s="32" t="n"/>
      <x:c r="N9" s="32" t="n"/>
      <x:c r="O9" s="32" t="n"/>
      <x:c r="P9" s="32" t="n"/>
      <x:c r="Q9" s="32" t="n"/>
      <x:c r="R9" s="32" t="n"/>
      <x:c r="S9" s="32" t="n"/>
      <x:c r="T9" s="32" t="n"/>
      <x:c r="U9" s="32" t="n"/>
      <x:c r="V9" s="32" t="n"/>
      <x:c r="W9" s="32" t="n"/>
    </x:row>
    <x:row r="10" s="24" customFormat="1" ht="15" customHeight="1">
      <x:c r="A10" s="32" t="str">
        <x:v>Driver 5</x:v>
      </x:c>
      <x:c r="B10" s="32" t="str">
        <x:v>Kenji Tanaka</x:v>
      </x:c>
      <x:c r="C10" s="32" t="str">
        <x:v>871-555-0100</x:v>
      </x:c>
      <x:c r="D10" s="32" t="str">
        <x:v>150 Demo Street, Columbus, OH 43215</x:v>
      </x:c>
      <x:c r="E10" s="32" t="str">
        <x:v>READY</x:v>
      </x:c>
      <x:c r="F10" s="115" t="n">
        <x:v>46577</x:v>
      </x:c>
      <x:c r="G10" s="115" t="n">
        <x:v>46496</x:v>
      </x:c>
      <x:c r="H10" s="115" t="n">
        <x:v>46478</x:v>
      </x:c>
      <x:c r="I10" s="32" t="str">
        <x:f t="array" ref="I10"/>
        <x:v>T-104, T-112</x:v>
      </x:c>
      <x:c r="J10" s="35" t="n"/>
      <x:c r="K10" s="32" t="n"/>
      <x:c r="L10" s="32" t="n"/>
      <x:c r="M10" s="32" t="n"/>
      <x:c r="N10" s="32" t="n"/>
      <x:c r="O10" s="32" t="n"/>
      <x:c r="P10" s="32" t="n"/>
      <x:c r="Q10" s="32" t="n"/>
      <x:c r="R10" s="32" t="n"/>
      <x:c r="S10" s="32" t="n"/>
      <x:c r="T10" s="32" t="n"/>
      <x:c r="U10" s="32" t="n"/>
      <x:c r="V10" s="32" t="n"/>
      <x:c r="W10" s="32" t="n"/>
    </x:row>
    <x:row r="11" s="24" customFormat="1" ht="15" customHeight="1">
      <x:c r="A11" s="32" t="str">
        <x:v>Driver 6</x:v>
      </x:c>
      <x:c r="B11" s="32" t="str">
        <x:v>Marcus Chen</x:v>
      </x:c>
      <x:c r="C11" s="32" t="str">
        <x:v>283-555-0100</x:v>
      </x:c>
      <x:c r="D11" s="32" t="str">
        <x:v>810 Demo Street, Dallas, TX 75202</x:v>
      </x:c>
      <x:c r="E11" s="32" t="str">
        <x:v>READY</x:v>
      </x:c>
      <x:c r="F11" s="115" t="n">
        <x:v>46556</x:v>
      </x:c>
      <x:c r="G11" s="115" t="n">
        <x:v>46394</x:v>
      </x:c>
      <x:c r="H11" s="115" t="n">
        <x:v>46455</x:v>
      </x:c>
      <x:c r="I11" s="32" t="str">
        <x:f t="array" ref="I11"/>
        <x:v>T-103, T-117, T-119</x:v>
      </x:c>
      <x:c r="J11" s="35" t="n"/>
      <x:c r="K11" s="32" t="n"/>
      <x:c r="L11" s="32" t="n"/>
      <x:c r="M11" s="32" t="n"/>
      <x:c r="N11" s="32" t="n"/>
      <x:c r="O11" s="32" t="n"/>
      <x:c r="P11" s="32" t="n"/>
      <x:c r="Q11" s="32" t="n"/>
      <x:c r="R11" s="32" t="n"/>
      <x:c r="S11" s="32" t="n"/>
      <x:c r="T11" s="32" t="n"/>
      <x:c r="U11" s="32" t="n"/>
      <x:c r="V11" s="32" t="n"/>
      <x:c r="W11" s="32" t="n"/>
    </x:row>
    <x:row r="12" s="24" customFormat="1" ht="15" customHeight="1">
      <x:c r="A12" s="32" t="str">
        <x:v>Driver 7</x:v>
      </x:c>
      <x:c r="B12" s="32" t="str">
        <x:v>Sofia Gomez</x:v>
      </x:c>
      <x:c r="C12" s="32" t="str">
        <x:v>896-555-0100</x:v>
      </x:c>
      <x:c r="D12" s="32" t="str">
        <x:v>1020 Demo Street, Cleveland, OH 44115</x:v>
      </x:c>
      <x:c r="E12" s="32" t="str">
        <x:v>READY</x:v>
      </x:c>
      <x:c r="F12" s="115" t="n">
        <x:v>46530</x:v>
      </x:c>
      <x:c r="G12" s="115" t="n">
        <x:v>46469</x:v>
      </x:c>
      <x:c r="H12" s="115" t="n">
        <x:v>46456</x:v>
      </x:c>
      <x:c r="I12" s="32" t="str">
        <x:f t="array" ref="I12"/>
        <x:v>T-111</x:v>
      </x:c>
      <x:c r="J12" s="35" t="n"/>
      <x:c r="K12" s="32" t="n"/>
      <x:c r="L12" s="32" t="n"/>
      <x:c r="M12" s="32" t="n"/>
      <x:c r="N12" s="32" t="n"/>
      <x:c r="O12" s="32" t="n"/>
      <x:c r="P12" s="32" t="n"/>
      <x:c r="Q12" s="32" t="n"/>
      <x:c r="R12" s="32" t="n"/>
      <x:c r="S12" s="32" t="n"/>
      <x:c r="T12" s="32" t="n"/>
      <x:c r="U12" s="32" t="n"/>
      <x:c r="V12" s="32" t="n"/>
      <x:c r="W12" s="32" t="n"/>
    </x:row>
    <x:row r="13" s="24" customFormat="1" ht="15" customHeight="1">
      <x:c r="A13" s="32" t="str">
        <x:v>Driver 8</x:v>
      </x:c>
      <x:c r="B13" s="32" t="str">
        <x:v>Liam Smith</x:v>
      </x:c>
      <x:c r="C13" s="32" t="str">
        <x:v>820-555-0100</x:v>
      </x:c>
      <x:c r="D13" s="32" t="str">
        <x:v>530 Demo Street, Toledo, OH 43604</x:v>
      </x:c>
      <x:c r="E13" s="32" t="str">
        <x:v>READY</x:v>
      </x:c>
      <x:c r="F13" s="115" t="n">
        <x:v>46620</x:v>
      </x:c>
      <x:c r="G13" s="115" t="n">
        <x:v>46670</x:v>
      </x:c>
      <x:c r="H13" s="115" t="n">
        <x:v>46452</x:v>
      </x:c>
      <x:c r="I13" s="32" t="str">
        <x:f t="array" ref="I13"/>
        <x:v>T-106, T-120</x:v>
      </x:c>
      <x:c r="J13" s="35" t="n"/>
      <x:c r="K13" s="32" t="n"/>
      <x:c r="L13" s="32" t="n"/>
      <x:c r="M13" s="32" t="n"/>
      <x:c r="N13" s="32" t="n"/>
      <x:c r="O13" s="32" t="n"/>
      <x:c r="P13" s="32" t="n"/>
      <x:c r="Q13" s="32" t="n"/>
      <x:c r="R13" s="32" t="n"/>
      <x:c r="S13" s="32" t="n"/>
      <x:c r="T13" s="32" t="n"/>
      <x:c r="U13" s="32" t="n"/>
      <x:c r="V13" s="32" t="n"/>
      <x:c r="W13" s="32" t="n"/>
    </x:row>
    <x:row r="14" s="24" customFormat="1" ht="15" customHeight="1">
      <x:c r="A14" s="32" t="str">
        <x:v>Driver 9</x:v>
      </x:c>
      <x:c r="B14" s="32" t="str">
        <x:v>Emma Brown </x:v>
      </x:c>
      <x:c r="C14" s="32" t="str">
        <x:v>206-555-0103</x:v>
      </x:c>
      <x:c r="D14" s="32" t="str">
        <x:v>630 Demo Street, Columbus, OH 43215</x:v>
      </x:c>
      <x:c r="E14" s="32" t="str">
        <x:v>READY</x:v>
      </x:c>
      <x:c r="F14" s="115" t="n">
        <x:v>46424</x:v>
      </x:c>
      <x:c r="G14" s="115" t="n">
        <x:v>46645</x:v>
      </x:c>
      <x:c r="H14" s="115" t="n">
        <x:v>46451</x:v>
      </x:c>
      <x:c r="I14" s="32" t="str">
        <x:f t="array" ref="I14"/>
        <x:v>T-109</x:v>
      </x:c>
      <x:c r="J14" s="35" t="n"/>
      <x:c r="K14" s="32" t="n"/>
      <x:c r="L14" s="32" t="n"/>
      <x:c r="M14" s="32" t="n"/>
      <x:c r="N14" s="32" t="n"/>
      <x:c r="O14" s="32" t="n"/>
      <x:c r="P14" s="32" t="n"/>
      <x:c r="Q14" s="32" t="n"/>
      <x:c r="R14" s="32" t="n"/>
      <x:c r="S14" s="32" t="n"/>
      <x:c r="T14" s="32" t="n"/>
      <x:c r="U14" s="32" t="n"/>
      <x:c r="V14" s="32" t="n"/>
      <x:c r="W14" s="32" t="n"/>
    </x:row>
    <x:row r="15" s="24" customFormat="1" ht="15" customHeight="1">
      <x:c r="A15" s="32" t="str">
        <x:v>Driver 10</x:v>
      </x:c>
      <x:c r="B15" s="32" t="str">
        <x:v>Noah Wilson </x:v>
      </x:c>
      <x:c r="C15" s="32" t="str">
        <x:v>582-555-0100</x:v>
      </x:c>
      <x:c r="D15" s="32" t="str">
        <x:v>130 Demo Street, Chicago, IL 60603</x:v>
      </x:c>
      <x:c r="E15" s="32" t="str">
        <x:v>READY</x:v>
      </x:c>
      <x:c r="F15" s="115" t="n">
        <x:v>46647</x:v>
      </x:c>
      <x:c r="G15" s="115" t="n">
        <x:v>46752</x:v>
      </x:c>
      <x:c r="H15" s="115" t="n">
        <x:v>46481</x:v>
      </x:c>
      <x:c r="I15" s="32" t="str">
        <x:f t="array" ref="I15"/>
        <x:v>T-105</x:v>
      </x:c>
      <x:c r="J15" s="35" t="n"/>
      <x:c r="K15" s="32" t="n"/>
      <x:c r="L15" s="32" t="n"/>
      <x:c r="M15" s="32" t="n"/>
      <x:c r="N15" s="32" t="n"/>
      <x:c r="O15" s="32" t="n"/>
      <x:c r="P15" s="32" t="n"/>
      <x:c r="Q15" s="32" t="n"/>
      <x:c r="R15" s="32" t="n"/>
      <x:c r="S15" s="32" t="n"/>
      <x:c r="T15" s="32" t="n"/>
      <x:c r="U15" s="32" t="n"/>
      <x:c r="V15" s="32" t="n"/>
      <x:c r="W15" s="32" t="n"/>
    </x:row>
    <x:row r="16" s="24" customFormat="1" ht="15" customHeight="1">
      <x:c r="A16" s="32" t="str">
        <x:v>Driver 11</x:v>
      </x:c>
      <x:c r="B16" s="32" t="str">
        <x:v>Olivia Lee</x:v>
      </x:c>
      <x:c r="C16" s="32" t="str">
        <x:v>337-555-0100</x:v>
      </x:c>
      <x:c r="D16" s="32" t="str">
        <x:v>900 Demo Street, Atlanta, GA 30308</x:v>
      </x:c>
      <x:c r="E16" s="32" t="str">
        <x:v>READY</x:v>
      </x:c>
      <x:c r="F16" s="115" t="n">
        <x:v>46566</x:v>
      </x:c>
      <x:c r="G16" s="115" t="n">
        <x:v>46499</x:v>
      </x:c>
      <x:c r="H16" s="115" t="n">
        <x:v>46484</x:v>
      </x:c>
      <x:c r="I16" s="32" t="str">
        <x:f t="array" ref="I16"/>
        <x:v>T-114, T-118</x:v>
      </x:c>
      <x:c r="J16" s="35" t="n"/>
      <x:c r="K16" s="32" t="n"/>
      <x:c r="L16" s="32" t="n"/>
      <x:c r="M16" s="32" t="n"/>
      <x:c r="N16" s="32" t="n"/>
      <x:c r="O16" s="32" t="n"/>
      <x:c r="P16" s="32" t="n"/>
      <x:c r="Q16" s="32" t="n"/>
      <x:c r="R16" s="32" t="n"/>
      <x:c r="S16" s="32" t="n"/>
      <x:c r="T16" s="32" t="n"/>
      <x:c r="U16" s="32" t="n"/>
      <x:c r="V16" s="32" t="n"/>
      <x:c r="W16" s="32" t="n"/>
    </x:row>
    <x:row r="17" s="24" customFormat="1" ht="15" customHeight="1">
      <x:c r="A17" s="32"/>
      <x:c r="B17" s="32"/>
      <x:c r="C17" s="32"/>
      <x:c r="D17" s="32"/>
      <x:c r="E17" s="32"/>
      <x:c r="F17" s="115"/>
      <x:c r="G17" s="115"/>
      <x:c r="H17" s="115"/>
      <x:c r="I17" s="32"/>
      <x:c r="J17" s="35" t="n"/>
      <x:c r="K17" s="32" t="n"/>
      <x:c r="L17" s="32" t="n"/>
      <x:c r="M17" s="32" t="n"/>
      <x:c r="N17" s="32" t="n"/>
      <x:c r="O17" s="32" t="n"/>
      <x:c r="P17" s="32" t="n"/>
      <x:c r="Q17" s="32" t="n"/>
      <x:c r="R17" s="32" t="n"/>
      <x:c r="S17" s="32" t="n"/>
      <x:c r="T17" s="32" t="n"/>
      <x:c r="U17" s="32" t="n"/>
      <x:c r="V17" s="32" t="n"/>
      <x:c r="W17" s="32" t="n"/>
    </x:row>
  </x:sheetData>
  <x:conditionalFormatting sqref="E6:E17">
    <x:cfRule type="containsText" dxfId="2" priority="1" operator="containsText">
      <x:formula>NOT(ISERROR(SEARCH("""Compliant"" (or ✅)",E6)))</x:formula>
    </x:cfRule>
    <x:cfRule type="containsText" dxfId="2" priority="2" operator="containsText">
      <x:formula>NOT(ISERROR(SEARCH("""Compliant"" (or✅)",E6)))</x:formula>
    </x:cfRule>
    <x:cfRule type="iconSet" priority="3"/>
    <x:cfRule type="containsText" dxfId="1" priority="8" operator="containsText">
      <x:formula>NOT(ISERROR(SEARCH("Expired",E6)))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24" customWidth="1"/>
    <x:col min="2" max="2" width="16" style="24" customWidth="1"/>
    <x:col min="3" max="3" width="14" style="24" customWidth="1"/>
    <x:col min="4" max="4" width="32" style="24" customWidth="1"/>
    <x:col min="5" max="5" width="19" style="24" customWidth="1"/>
    <x:col min="6" max="6" width="32" style="24" customWidth="1"/>
    <x:col min="7" max="7" width="21" style="24" customWidth="1"/>
    <x:col min="8" max="8" width="12" style="24" customWidth="1"/>
  </x:cols>
  <x:sheetData>
    <x:row r="1">
      <x:c r="A1" s="123" t="str">
        <x:v>Driver ID</x:v>
      </x:c>
      <x:c r="B1" s="123" t="str">
        <x:v>Full Name</x:v>
      </x:c>
      <x:c r="C1" s="123" t="str">
        <x:v>Phone</x:v>
      </x:c>
      <x:c r="D1" s="123" t="str">
        <x:v>Address</x:v>
      </x:c>
      <x:c r="E1" s="123" t="str">
        <x:v>Compliance Status</x:v>
      </x:c>
      <x:c r="F1" s="123" t="str">
        <x:v>Document Type</x:v>
      </x:c>
      <x:c r="G1" s="123" t="str">
        <x:v>Expiration Date</x:v>
      </x:c>
      <x:c r="H1" s="123" t="str">
        <x:v>File Link</x:v>
      </x:c>
      <x:c r="I1" s="118"/>
      <x:c r="J1" s="118"/>
      <x:c r="K1" s="118"/>
      <x:c r="L1" s="118"/>
      <x:c r="M1" s="118"/>
      <x:c r="N1" s="118"/>
      <x:c r="O1" s="118"/>
      <x:c r="P1" s="118"/>
      <x:c r="Q1" s="118"/>
      <x:c r="R1" s="118"/>
      <x:c r="S1" s="118"/>
      <x:c r="T1" s="118"/>
      <x:c r="U1" s="118"/>
    </x:row>
    <x:row r="2">
      <x:c r="A2" t="str">
        <x:v>DRV-001</x:v>
      </x:c>
      <x:c r="B2" t="str">
        <x:v>John Carter</x:v>
      </x:c>
      <x:c r="C2" t="str">
        <x:v>206-555-0102</x:v>
      </x:c>
      <x:c r="D2" t="str">
        <x:v>220 Demo Street, Cleveland, OH</x:v>
      </x:c>
      <x:c r="E2" t="str">
        <x:v>READY</x:v>
      </x:c>
      <x:c r="F2" t="str">
        <x:v>CDL Summary</x:v>
      </x:c>
      <x:c r="G2" s="113" t="n">
        <x:v>46621</x:v>
      </x:c>
      <x:c r="H2" t="str">
        <x:v>Link</x:v>
      </x:c>
    </x:row>
    <x:row r="3">
      <x:c r="A3" t="str">
        <x:v>DRV-001</x:v>
      </x:c>
      <x:c r="B3" t="str">
        <x:v>John Carter</x:v>
      </x:c>
      <x:c r="C3" t="str">
        <x:v>206-555-0102</x:v>
      </x:c>
      <x:c r="D3" t="str">
        <x:v>220 Demo Street, Cleveland, OH</x:v>
      </x:c>
      <x:c r="E3" t="str">
        <x:v>READY</x:v>
      </x:c>
      <x:c r="F3" t="str">
        <x:v>Medical Certification Summary</x:v>
      </x:c>
      <x:c r="G3" s="113" t="n">
        <x:v>46638</x:v>
      </x:c>
      <x:c r="H3" t="str">
        <x:v>Link</x:v>
      </x:c>
    </x:row>
    <x:row r="4">
      <x:c r="A4" t="str">
        <x:v>DRV-001</x:v>
      </x:c>
      <x:c r="B4" t="str">
        <x:v>John Carter</x:v>
      </x:c>
      <x:c r="C4" t="str">
        <x:v>206-555-0102</x:v>
      </x:c>
      <x:c r="D4" t="str">
        <x:v>220 Demo Street, Cleveland, OH</x:v>
      </x:c>
      <x:c r="E4" t="str">
        <x:v>READY</x:v>
      </x:c>
      <x:c r="F4" t="str">
        <x:v>MVR Summary</x:v>
      </x:c>
      <x:c r="G4" s="113" t="n">
        <x:v>46677</x:v>
      </x:c>
      <x:c r="H4" t="str">
        <x:v>Link</x:v>
      </x:c>
    </x:row>
    <x:row r="5">
      <x:c r="A5" t="str">
        <x:v>DRV-001</x:v>
      </x:c>
      <x:c r="B5" t="str">
        <x:v>John Carter</x:v>
      </x:c>
      <x:c r="C5" t="str">
        <x:v>206-555-0102</x:v>
      </x:c>
      <x:c r="D5" t="str">
        <x:v>220 Demo Street, Cleveland, OH</x:v>
      </x:c>
      <x:c r="E5" t="str">
        <x:v>NON-COMPLIANT</x:v>
      </x:c>
      <x:c r="F5" t="str">
        <x:v>Employment Eligibility Summary</x:v>
      </x:c>
      <x:c r="G5" s="113" t="n">
        <x:v>46104</x:v>
      </x:c>
      <x:c r="H5" t="str">
        <x:v>Link</x:v>
      </x:c>
    </x:row>
    <x:row r="6">
      <x:c r="A6" t="str">
        <x:v>DRV-001</x:v>
      </x:c>
      <x:c r="B6" t="str">
        <x:v>John Carter</x:v>
      </x:c>
      <x:c r="C6" t="str">
        <x:v>206-555-0102</x:v>
      </x:c>
      <x:c r="D6" t="str">
        <x:v>220 Demo Street, Cleveland, OH</x:v>
      </x:c>
      <x:c r="E6" t="str">
        <x:v>NON-COMPLIANT</x:v>
      </x:c>
      <x:c r="F6" t="str">
        <x:v>FMCSA Compliance Summary</x:v>
      </x:c>
      <x:c r="G6" s="113" t="n">
        <x:v>45978</x:v>
      </x:c>
      <x:c r="H6" t="str">
        <x:v>Link</x:v>
      </x:c>
    </x:row>
    <x:row r="7">
      <x:c r="A7" t="str">
        <x:v>DRV-001</x:v>
      </x:c>
      <x:c r="B7" t="str">
        <x:v>John Carter</x:v>
      </x:c>
      <x:c r="C7" t="str">
        <x:v>206-555-0102</x:v>
      </x:c>
      <x:c r="D7" t="str">
        <x:v>220 Demo Street, Cleveland, OH</x:v>
      </x:c>
      <x:c r="E7" t="str">
        <x:v>NON-COMPLIANT</x:v>
      </x:c>
      <x:c r="F7" t="str">
        <x:v>W-9 Summary</x:v>
      </x:c>
      <x:c r="G7" s="113" t="n">
        <x:v>46190</x:v>
      </x:c>
      <x:c r="H7" t="str">
        <x:v>Link</x:v>
      </x:c>
    </x:row>
    <x:row r="8">
      <x:c r="A8" t="str">
        <x:v>DRV-001</x:v>
      </x:c>
      <x:c r="B8" t="str">
        <x:v>John Carter</x:v>
      </x:c>
      <x:c r="C8" t="str">
        <x:v>206-555-0102</x:v>
      </x:c>
      <x:c r="D8" t="str">
        <x:v>220 Demo Street, Cleveland, OH</x:v>
      </x:c>
      <x:c r="E8" t="str">
        <x:v>NON-COMPLIANT</x:v>
      </x:c>
      <x:c r="F8" t="str">
        <x:v>Bank Information Sheet</x:v>
      </x:c>
      <x:c r="G8" s="113" t="n">
        <x:v>46074</x:v>
      </x:c>
      <x:c r="H8" t="str">
        <x:v>Link</x:v>
      </x:c>
    </x:row>
    <x:row r="9">
      <x:c r="A9" t="str">
        <x:v>DRV-002</x:v>
      </x:c>
      <x:c r="B9" t="str">
        <x:v>Maria Lopez</x:v>
      </x:c>
      <x:c r="C9" t="str">
        <x:v>707-555-0100</x:v>
      </x:c>
      <x:c r="D9" t="str">
        <x:v>770 Demo Street, Chicago, IL</x:v>
      </x:c>
      <x:c r="E9" t="str">
        <x:v>READY</x:v>
      </x:c>
      <x:c r="F9" t="str">
        <x:v>Medical Certification Summary</x:v>
      </x:c>
      <x:c r="G9" s="113" t="n">
        <x:v>46596</x:v>
      </x:c>
      <x:c r="H9" t="str">
        <x:v>Link</x:v>
      </x:c>
    </x:row>
    <x:row r="10">
      <x:c r="A10" t="str">
        <x:v>DRV-002</x:v>
      </x:c>
      <x:c r="B10" t="str">
        <x:v>Maria Lopez</x:v>
      </x:c>
      <x:c r="C10" t="str">
        <x:v>707-555-0100</x:v>
      </x:c>
      <x:c r="D10" t="str">
        <x:v>770 Demo Street, Chicago, IL</x:v>
      </x:c>
      <x:c r="E10" t="str">
        <x:v>READY</x:v>
      </x:c>
      <x:c r="F10" t="str">
        <x:v>Medical Certification Summary</x:v>
      </x:c>
      <x:c r="G10" s="113" t="n">
        <x:v>46596</x:v>
      </x:c>
      <x:c r="H10" t="str">
        <x:v>Link</x:v>
      </x:c>
    </x:row>
    <x:row r="11">
      <x:c r="A11" t="str">
        <x:v>DRV-002</x:v>
      </x:c>
      <x:c r="B11" t="str">
        <x:v>Maria Lopez</x:v>
      </x:c>
      <x:c r="C11" t="str">
        <x:v>707-555-0100</x:v>
      </x:c>
      <x:c r="D11" t="str">
        <x:v>770 Demo Street, Chicago, IL</x:v>
      </x:c>
      <x:c r="E11" t="str">
        <x:v>READY</x:v>
      </x:c>
      <x:c r="F11" t="str">
        <x:v>MVR Summary</x:v>
      </x:c>
      <x:c r="G11" s="113" t="n">
        <x:v>46455</x:v>
      </x:c>
      <x:c r="H11" t="str">
        <x:v>Link</x:v>
      </x:c>
    </x:row>
    <x:row r="12">
      <x:c r="A12" t="str">
        <x:v>DRV-002</x:v>
      </x:c>
      <x:c r="B12" t="str">
        <x:v>Maria Lopez</x:v>
      </x:c>
      <x:c r="C12" t="str">
        <x:v>707-555-0100</x:v>
      </x:c>
      <x:c r="D12" t="str">
        <x:v>770 Demo Street, Chicago, IL</x:v>
      </x:c>
      <x:c r="E12" t="str">
        <x:v>NON-COMPLIANT</x:v>
      </x:c>
      <x:c r="F12" t="str">
        <x:v>Employment Eligibility Summary</x:v>
      </x:c>
      <x:c r="G12" s="113" t="n">
        <x:v>46049</x:v>
      </x:c>
      <x:c r="H12" t="str">
        <x:v>Link</x:v>
      </x:c>
    </x:row>
    <x:row r="13">
      <x:c r="A13" t="str">
        <x:v>DRV-002</x:v>
      </x:c>
      <x:c r="B13" t="str">
        <x:v>Maria Lopez</x:v>
      </x:c>
      <x:c r="C13" t="str">
        <x:v>707-555-0100</x:v>
      </x:c>
      <x:c r="D13" t="str">
        <x:v>770 Demo Street, Chicago, IL</x:v>
      </x:c>
      <x:c r="E13" t="str">
        <x:v>NON-COMPLIANT</x:v>
      </x:c>
      <x:c r="F13" t="str">
        <x:v>FMCSA Compliance Summary</x:v>
      </x:c>
      <x:c r="G13" s="113" t="n">
        <x:v>46182</x:v>
      </x:c>
      <x:c r="H13" t="str">
        <x:v>Link</x:v>
      </x:c>
    </x:row>
    <x:row r="14">
      <x:c r="A14" t="str">
        <x:v>DRV-002</x:v>
      </x:c>
      <x:c r="B14" t="str">
        <x:v>Maria Lopez</x:v>
      </x:c>
      <x:c r="C14" t="str">
        <x:v>707-555-0100</x:v>
      </x:c>
      <x:c r="D14" t="str">
        <x:v>770 Demo Street, Chicago, IL</x:v>
      </x:c>
      <x:c r="E14" t="str">
        <x:v>NON-COMPLIANT</x:v>
      </x:c>
      <x:c r="F14" t="str">
        <x:v>W-9 Summary</x:v>
      </x:c>
      <x:c r="G14" s="113" t="n">
        <x:v>46043</x:v>
      </x:c>
      <x:c r="H14" t="str">
        <x:v>Link</x:v>
      </x:c>
    </x:row>
    <x:row r="15">
      <x:c r="A15" t="str">
        <x:v>DRV-002</x:v>
      </x:c>
      <x:c r="B15" t="str">
        <x:v>Maria Lopez</x:v>
      </x:c>
      <x:c r="C15" t="str">
        <x:v>707-555-0100</x:v>
      </x:c>
      <x:c r="D15" t="str">
        <x:v>770 Demo Street, Chicago, IL</x:v>
      </x:c>
      <x:c r="E15" t="str">
        <x:v>NON-COMPLIANT</x:v>
      </x:c>
      <x:c r="F15" t="str">
        <x:v>Bank Information Sheet</x:v>
      </x:c>
      <x:c r="G15" s="113" t="n">
        <x:v>45997</x:v>
      </x:c>
      <x:c r="H15" t="str">
        <x:v>Link</x:v>
      </x:c>
    </x:row>
    <x:row r="16">
      <x:c r="A16" t="str">
        <x:v>DRV-003</x:v>
      </x:c>
      <x:c r="B16" t="str">
        <x:v>Alex Kim</x:v>
      </x:c>
      <x:c r="C16" t="str">
        <x:v>675-555-0100</x:v>
      </x:c>
      <x:c r="D16" t="str">
        <x:v>960 Demo Street, Atlanta, GA</x:v>
      </x:c>
      <x:c r="E16" t="str">
        <x:v>READY</x:v>
      </x:c>
      <x:c r="F16" t="str">
        <x:v>CDL Summary</x:v>
      </x:c>
      <x:c r="G16" s="113" t="n">
        <x:v>46420</x:v>
      </x:c>
      <x:c r="H16" t="str">
        <x:v>Link</x:v>
      </x:c>
    </x:row>
    <x:row r="17">
      <x:c r="A17" t="str">
        <x:v>DRV-003</x:v>
      </x:c>
      <x:c r="B17" t="str">
        <x:v>Alex Kim</x:v>
      </x:c>
      <x:c r="C17" t="str">
        <x:v>675-555-0100</x:v>
      </x:c>
      <x:c r="D17" t="str">
        <x:v>960 Demo Street, Atlanta, GA</x:v>
      </x:c>
      <x:c r="E17" t="str">
        <x:v>READY</x:v>
      </x:c>
      <x:c r="F17" t="str">
        <x:v>Medical Certification Summary</x:v>
      </x:c>
      <x:c r="G17" s="113" t="n">
        <x:v>46659</x:v>
      </x:c>
      <x:c r="H17" t="str">
        <x:v>Link</x:v>
      </x:c>
    </x:row>
    <x:row r="18">
      <x:c r="A18" t="str">
        <x:v>DRV-003</x:v>
      </x:c>
      <x:c r="B18" t="str">
        <x:v>Alex Kim</x:v>
      </x:c>
      <x:c r="C18" t="str">
        <x:v>675-555-0100</x:v>
      </x:c>
      <x:c r="D18" t="str">
        <x:v>960 Demo Street, Atlanta, GA</x:v>
      </x:c>
      <x:c r="E18" t="str">
        <x:v>READY</x:v>
      </x:c>
      <x:c r="F18" t="str">
        <x:v>MVR Summary</x:v>
      </x:c>
      <x:c r="G18" s="113" t="n">
        <x:v>46449</x:v>
      </x:c>
      <x:c r="H18" t="str">
        <x:v>Link</x:v>
      </x:c>
    </x:row>
    <x:row r="19">
      <x:c r="A19" t="str">
        <x:v>DRV-003</x:v>
      </x:c>
      <x:c r="B19" t="str">
        <x:v>Alex Kim</x:v>
      </x:c>
      <x:c r="C19" t="str">
        <x:v>675-555-0100</x:v>
      </x:c>
      <x:c r="D19" t="str">
        <x:v>960 Demo Street, Atlanta, GA</x:v>
      </x:c>
      <x:c r="E19" t="str">
        <x:v>EXPIRING SOON</x:v>
      </x:c>
      <x:c r="F19" t="str">
        <x:v>Employment Eligibility Summary</x:v>
      </x:c>
      <x:c r="G19" s="113" t="n">
        <x:v>46038</x:v>
      </x:c>
      <x:c r="H19" t="str">
        <x:v>Link</x:v>
      </x:c>
    </x:row>
    <x:row r="20">
      <x:c r="A20" t="str">
        <x:v>DRV-003</x:v>
      </x:c>
      <x:c r="B20" t="str">
        <x:v>Alex Kim</x:v>
      </x:c>
      <x:c r="C20" t="str">
        <x:v>675-555-0100</x:v>
      </x:c>
      <x:c r="D20" t="str">
        <x:v>960 Demo Street, Atlanta, GA</x:v>
      </x:c>
      <x:c r="E20" t="str">
        <x:v>EXPIRING SOON</x:v>
      </x:c>
      <x:c r="F20" t="str">
        <x:v>FMCSA Compliance Summary</x:v>
      </x:c>
      <x:c r="G20" s="113" t="n">
        <x:v>46031</x:v>
      </x:c>
      <x:c r="H20" t="str">
        <x:v>Link</x:v>
      </x:c>
    </x:row>
    <x:row r="21">
      <x:c r="A21" t="str">
        <x:v>DRV-003</x:v>
      </x:c>
      <x:c r="B21" t="str">
        <x:v>Alex Kim</x:v>
      </x:c>
      <x:c r="C21" t="str">
        <x:v>675-555-0100</x:v>
      </x:c>
      <x:c r="D21" t="str">
        <x:v>960 Demo Street, Atlanta, GA</x:v>
      </x:c>
      <x:c r="E21" t="str">
        <x:v>EXPIRING SOON</x:v>
      </x:c>
      <x:c r="F21" t="str">
        <x:v>W-9 Summary</x:v>
      </x:c>
      <x:c r="G21" s="113" t="n">
        <x:v>46203</x:v>
      </x:c>
      <x:c r="H21" t="str">
        <x:v>Link</x:v>
      </x:c>
    </x:row>
    <x:row r="22">
      <x:c r="A22" t="str">
        <x:v>DRV-003</x:v>
      </x:c>
      <x:c r="B22" t="str">
        <x:v>Alex Kim</x:v>
      </x:c>
      <x:c r="C22" t="str">
        <x:v>675-555-0100</x:v>
      </x:c>
      <x:c r="D22" t="str">
        <x:v>960 Demo Street, Atlanta, GA</x:v>
      </x:c>
      <x:c r="E22" t="str">
        <x:v>EXPIRING SOON</x:v>
      </x:c>
      <x:c r="F22" t="str">
        <x:v>Bank Information Sheet</x:v>
      </x:c>
      <x:c r="G22" s="113" t="n">
        <x:v>46015</x:v>
      </x:c>
      <x:c r="H22" t="str">
        <x:v>Link</x:v>
      </x:c>
    </x:row>
    <x:row r="23">
      <x:c r="A23" t="str">
        <x:v>DRV-004</x:v>
      </x:c>
      <x:c r="B23" t="str">
        <x:v>Priya Patel</x:v>
      </x:c>
      <x:c r="C23" t="str">
        <x:v>359-555-0100</x:v>
      </x:c>
      <x:c r="D23" t="str">
        <x:v>520 Demo Street, Cleveland, OH</x:v>
      </x:c>
      <x:c r="E23" t="str">
        <x:v>READY</x:v>
      </x:c>
      <x:c r="F23" t="str">
        <x:v>CDL Summary</x:v>
      </x:c>
      <x:c r="G23" s="113" t="n">
        <x:v>46739</x:v>
      </x:c>
      <x:c r="H23" t="str">
        <x:v>Link</x:v>
      </x:c>
    </x:row>
    <x:row r="24">
      <x:c r="A24" t="str">
        <x:v>DRV-004</x:v>
      </x:c>
      <x:c r="B24" t="str">
        <x:v>Priya Patel</x:v>
      </x:c>
      <x:c r="C24" t="str">
        <x:v>359-555-0100</x:v>
      </x:c>
      <x:c r="D24" t="str">
        <x:v>520 Demo Street, Cleveland, OH</x:v>
      </x:c>
      <x:c r="E24" t="str">
        <x:v>READY</x:v>
      </x:c>
      <x:c r="F24" t="str">
        <x:v>Medical Certification Summary</x:v>
      </x:c>
      <x:c r="G24" s="113" t="n">
        <x:v>46486</x:v>
      </x:c>
      <x:c r="H24" t="str">
        <x:v>Link</x:v>
      </x:c>
    </x:row>
    <x:row r="25">
      <x:c r="A25" t="str">
        <x:v>DRV-004</x:v>
      </x:c>
      <x:c r="B25" t="str">
        <x:v>Priya Patel</x:v>
      </x:c>
      <x:c r="C25" t="str">
        <x:v>359-555-0100</x:v>
      </x:c>
      <x:c r="D25" t="str">
        <x:v>520 Demo Street, Cleveland, OH</x:v>
      </x:c>
      <x:c r="E25" t="str">
        <x:v>READY</x:v>
      </x:c>
      <x:c r="F25" t="str">
        <x:v>MVR Summary</x:v>
      </x:c>
      <x:c r="G25" s="113" t="n">
        <x:v>46452</x:v>
      </x:c>
      <x:c r="H25" t="str">
        <x:v>Link</x:v>
      </x:c>
    </x:row>
    <x:row r="26">
      <x:c r="A26" t="str">
        <x:v>DRV-004</x:v>
      </x:c>
      <x:c r="B26" t="str">
        <x:v>Priya Patel</x:v>
      </x:c>
      <x:c r="C26" t="str">
        <x:v>359-555-0100</x:v>
      </x:c>
      <x:c r="D26" t="str">
        <x:v>520 Demo Street, Cleveland, OH</x:v>
      </x:c>
      <x:c r="E26" t="str">
        <x:v>EXPIRING SOON</x:v>
      </x:c>
      <x:c r="F26" t="str">
        <x:v>Employment Eligibility Summary</x:v>
      </x:c>
      <x:c r="G26" s="113" t="n">
        <x:v>45976</x:v>
      </x:c>
      <x:c r="H26" t="str">
        <x:v>Link</x:v>
      </x:c>
    </x:row>
    <x:row r="27">
      <x:c r="A27" t="str">
        <x:v>DRV-004</x:v>
      </x:c>
      <x:c r="B27" t="str">
        <x:v>Priya Patel</x:v>
      </x:c>
      <x:c r="C27" t="str">
        <x:v>359-555-0100</x:v>
      </x:c>
      <x:c r="D27" t="str">
        <x:v>520 Demo Street, Cleveland, OH</x:v>
      </x:c>
      <x:c r="E27" t="str">
        <x:v>EXPIRING SOON</x:v>
      </x:c>
      <x:c r="F27" t="str">
        <x:v>FMCSA Compliance Summary</x:v>
      </x:c>
      <x:c r="G27" s="113" t="n">
        <x:v>46076</x:v>
      </x:c>
      <x:c r="H27" t="str">
        <x:v>Link</x:v>
      </x:c>
    </x:row>
    <x:row r="28">
      <x:c r="A28" t="str">
        <x:v>DRV-004</x:v>
      </x:c>
      <x:c r="B28" t="str">
        <x:v>Priya Patel</x:v>
      </x:c>
      <x:c r="C28" t="str">
        <x:v>359-555-0100</x:v>
      </x:c>
      <x:c r="D28" t="str">
        <x:v>520 Demo Street, Cleveland, OH</x:v>
      </x:c>
      <x:c r="E28" t="str">
        <x:v>EXPIRING SOON</x:v>
      </x:c>
      <x:c r="F28" t="str">
        <x:v>W-9 Summary</x:v>
      </x:c>
      <x:c r="G28" s="113" t="n">
        <x:v>46165</x:v>
      </x:c>
      <x:c r="H28" t="str">
        <x:v>Link</x:v>
      </x:c>
    </x:row>
    <x:row r="29">
      <x:c r="A29" t="str">
        <x:v>DRV-004</x:v>
      </x:c>
      <x:c r="B29" t="str">
        <x:v>Priya Patel</x:v>
      </x:c>
      <x:c r="C29" t="str">
        <x:v>359-555-0100</x:v>
      </x:c>
      <x:c r="D29" t="str">
        <x:v>520 Demo Street, Cleveland, OH</x:v>
      </x:c>
      <x:c r="E29" t="str">
        <x:v>EXPIRING SOON</x:v>
      </x:c>
      <x:c r="F29" t="str">
        <x:v>Bank Information Sheet</x:v>
      </x:c>
      <x:c r="G29" s="113" t="n">
        <x:v>46021</x:v>
      </x:c>
      <x:c r="H29" t="str">
        <x:v>Link</x:v>
      </x:c>
    </x:row>
    <x:row r="30">
      <x:c r="A30" t="str">
        <x:v>DRV-005</x:v>
      </x:c>
      <x:c r="B30" t="str">
        <x:v>Kenji Tanaka</x:v>
      </x:c>
      <x:c r="C30" t="str">
        <x:v>871-555-0100</x:v>
      </x:c>
      <x:c r="D30" t="str">
        <x:v>150 Demo Street, Columbus, OH</x:v>
      </x:c>
      <x:c r="E30" t="str">
        <x:v>READY</x:v>
      </x:c>
      <x:c r="F30" t="str">
        <x:v>CDL Summary</x:v>
      </x:c>
      <x:c r="G30" s="113" t="n">
        <x:v>46577</x:v>
      </x:c>
      <x:c r="H30" t="str">
        <x:v>Link</x:v>
      </x:c>
    </x:row>
    <x:row r="31">
      <x:c r="A31" t="str">
        <x:v>DRV-005</x:v>
      </x:c>
      <x:c r="B31" t="str">
        <x:v>Kenji Tanaka</x:v>
      </x:c>
      <x:c r="C31" t="str">
        <x:v>871-555-0100</x:v>
      </x:c>
      <x:c r="D31" t="str">
        <x:v>150 Demo Street, Columbus, OH</x:v>
      </x:c>
      <x:c r="E31" t="str">
        <x:v>READY</x:v>
      </x:c>
      <x:c r="F31" t="str">
        <x:v>Medical Certification Summary</x:v>
      </x:c>
      <x:c r="G31" s="113" t="n">
        <x:v>46496</x:v>
      </x:c>
      <x:c r="H31" t="str">
        <x:v>Link</x:v>
      </x:c>
    </x:row>
    <x:row r="32">
      <x:c r="A32" t="str">
        <x:v>DRV-005</x:v>
      </x:c>
      <x:c r="B32" t="str">
        <x:v>Kenji Tanaka</x:v>
      </x:c>
      <x:c r="C32" t="str">
        <x:v>871-555-0100</x:v>
      </x:c>
      <x:c r="D32" t="str">
        <x:v>150 Demo Street, Columbus, OH</x:v>
      </x:c>
      <x:c r="E32" t="str">
        <x:v>READY</x:v>
      </x:c>
      <x:c r="F32" t="str">
        <x:v>MVR Summary</x:v>
      </x:c>
      <x:c r="G32" s="113" t="n">
        <x:v>46478</x:v>
      </x:c>
      <x:c r="H32" t="str">
        <x:v>Link</x:v>
      </x:c>
    </x:row>
    <x:row r="33">
      <x:c r="A33" t="str">
        <x:v>DRV-005</x:v>
      </x:c>
      <x:c r="B33" t="str">
        <x:v>Kenji Tanaka</x:v>
      </x:c>
      <x:c r="C33" t="str">
        <x:v>871-555-0100</x:v>
      </x:c>
      <x:c r="D33" t="str">
        <x:v>150 Demo Street, Columbus, OH</x:v>
      </x:c>
      <x:c r="E33" t="str">
        <x:v>VALID</x:v>
      </x:c>
      <x:c r="F33" t="str">
        <x:v>Employment Eligibility Summary</x:v>
      </x:c>
      <x:c r="G33" s="113" t="n">
        <x:v>46246</x:v>
      </x:c>
      <x:c r="H33" t="str">
        <x:v>Link</x:v>
      </x:c>
    </x:row>
    <x:row r="34">
      <x:c r="A34" t="str">
        <x:v>DRV-005</x:v>
      </x:c>
      <x:c r="B34" t="str">
        <x:v>Kenji Tanaka</x:v>
      </x:c>
      <x:c r="C34" t="str">
        <x:v>871-555-0100</x:v>
      </x:c>
      <x:c r="D34" t="str">
        <x:v>150 Demo Street, Columbus, OH</x:v>
      </x:c>
      <x:c r="E34" t="str">
        <x:v>VALID</x:v>
      </x:c>
      <x:c r="F34" t="str">
        <x:v>FMCSA Compliance Summary</x:v>
      </x:c>
      <x:c r="G34" s="113" t="n">
        <x:v>46193</x:v>
      </x:c>
      <x:c r="H34" t="str">
        <x:v>Link</x:v>
      </x:c>
    </x:row>
    <x:row r="35">
      <x:c r="A35" t="str">
        <x:v>DRV-005</x:v>
      </x:c>
      <x:c r="B35" t="str">
        <x:v>Kenji Tanaka</x:v>
      </x:c>
      <x:c r="C35" t="str">
        <x:v>871-555-0100</x:v>
      </x:c>
      <x:c r="D35" t="str">
        <x:v>150 Demo Street, Columbus, OH</x:v>
      </x:c>
      <x:c r="E35" t="str">
        <x:v>VALID</x:v>
      </x:c>
      <x:c r="F35" t="str">
        <x:v>W-9 Summary</x:v>
      </x:c>
      <x:c r="G35" s="113" t="n">
        <x:v>46091</x:v>
      </x:c>
      <x:c r="H35" t="str">
        <x:v>Link</x:v>
      </x:c>
    </x:row>
    <x:row r="36">
      <x:c r="A36" t="str">
        <x:v>DRV-005</x:v>
      </x:c>
      <x:c r="B36" t="str">
        <x:v>Kenji Tanaka</x:v>
      </x:c>
      <x:c r="C36" t="str">
        <x:v>871-555-0100</x:v>
      </x:c>
      <x:c r="D36" t="str">
        <x:v>150 Demo Street, Columbus, OH</x:v>
      </x:c>
      <x:c r="E36" t="str">
        <x:v>VALID</x:v>
      </x:c>
      <x:c r="F36" t="str">
        <x:v>Bank Information Sheet</x:v>
      </x:c>
      <x:c r="G36" s="113" t="n">
        <x:v>46227</x:v>
      </x:c>
      <x:c r="H36" t="str">
        <x:v>Link</x:v>
      </x:c>
    </x:row>
    <x:row r="37">
      <x:c r="A37" t="str">
        <x:v>DRV-006</x:v>
      </x:c>
      <x:c r="B37" t="str">
        <x:v>Marcus Chen</x:v>
      </x:c>
      <x:c r="C37" t="str">
        <x:v>283-555-0100</x:v>
      </x:c>
      <x:c r="D37" t="str">
        <x:v>810 Demo Street, Dallas, TX</x:v>
      </x:c>
      <x:c r="E37" t="str">
        <x:v>READY</x:v>
      </x:c>
      <x:c r="F37" t="str">
        <x:v>CDL Summary</x:v>
      </x:c>
      <x:c r="G37" s="113" t="n">
        <x:v>46556</x:v>
      </x:c>
      <x:c r="H37" t="str">
        <x:v>Link</x:v>
      </x:c>
    </x:row>
    <x:row r="38">
      <x:c r="A38" t="str">
        <x:v>DRV-006</x:v>
      </x:c>
      <x:c r="B38" t="str">
        <x:v>Marcus Chen</x:v>
      </x:c>
      <x:c r="C38" t="str">
        <x:v>283-555-0100</x:v>
      </x:c>
      <x:c r="D38" t="str">
        <x:v>810 Demo Street, Dallas, TX</x:v>
      </x:c>
      <x:c r="E38" t="str">
        <x:v>READY</x:v>
      </x:c>
      <x:c r="F38" t="str">
        <x:v>Medical Certification Summary</x:v>
      </x:c>
      <x:c r="G38" s="113" t="n">
        <x:v>46394</x:v>
      </x:c>
      <x:c r="H38" t="str">
        <x:v>Link</x:v>
      </x:c>
    </x:row>
    <x:row r="39">
      <x:c r="A39" t="str">
        <x:v>DRV-006</x:v>
      </x:c>
      <x:c r="B39" t="str">
        <x:v>Marcus Chen</x:v>
      </x:c>
      <x:c r="C39" t="str">
        <x:v>283-555-0100</x:v>
      </x:c>
      <x:c r="D39" t="str">
        <x:v>810 Demo Street, Dallas, TX</x:v>
      </x:c>
      <x:c r="E39" t="str">
        <x:v>READY</x:v>
      </x:c>
      <x:c r="F39" t="str">
        <x:v>MVR Summary</x:v>
      </x:c>
      <x:c r="G39" s="113" t="n">
        <x:v>46455</x:v>
      </x:c>
      <x:c r="H39" t="str">
        <x:v>Link</x:v>
      </x:c>
    </x:row>
    <x:row r="40">
      <x:c r="A40" t="str">
        <x:v>DRV-006</x:v>
      </x:c>
      <x:c r="B40" t="str">
        <x:v>Marcus Chen</x:v>
      </x:c>
      <x:c r="C40" t="str">
        <x:v>283-555-0100</x:v>
      </x:c>
      <x:c r="D40" t="str">
        <x:v>810 Demo Street, Dallas, TX</x:v>
      </x:c>
      <x:c r="E40" t="str">
        <x:v>VALID</x:v>
      </x:c>
      <x:c r="F40" t="str">
        <x:v>Employment Eligibility Summary</x:v>
      </x:c>
      <x:c r="G40" s="113" t="n">
        <x:v>46011</x:v>
      </x:c>
      <x:c r="H40" t="str">
        <x:v>Link</x:v>
      </x:c>
    </x:row>
    <x:row r="41">
      <x:c r="A41" t="str">
        <x:v>DRV-006</x:v>
      </x:c>
      <x:c r="B41" t="str">
        <x:v>Marcus Chen</x:v>
      </x:c>
      <x:c r="C41" t="str">
        <x:v>283-555-0100</x:v>
      </x:c>
      <x:c r="D41" t="str">
        <x:v>810 Demo Street, Dallas, TX</x:v>
      </x:c>
      <x:c r="E41" t="str">
        <x:v>VALID</x:v>
      </x:c>
      <x:c r="F41" t="str">
        <x:v>FMCSA Compliance Summary</x:v>
      </x:c>
      <x:c r="G41" s="113" t="n">
        <x:v>46027</x:v>
      </x:c>
      <x:c r="H41" t="str">
        <x:v>Link</x:v>
      </x:c>
    </x:row>
    <x:row r="42">
      <x:c r="A42" t="str">
        <x:v>DRV-006</x:v>
      </x:c>
      <x:c r="B42" t="str">
        <x:v>Marcus Chen</x:v>
      </x:c>
      <x:c r="C42" t="str">
        <x:v>283-555-0100</x:v>
      </x:c>
      <x:c r="D42" t="str">
        <x:v>810 Demo Street, Dallas, TX</x:v>
      </x:c>
      <x:c r="E42" t="str">
        <x:v>VALID</x:v>
      </x:c>
      <x:c r="F42" t="str">
        <x:v>W-9 Summary</x:v>
      </x:c>
      <x:c r="G42" s="113" t="n">
        <x:v>46092</x:v>
      </x:c>
      <x:c r="H42" t="str">
        <x:v>Link</x:v>
      </x:c>
    </x:row>
    <x:row r="43">
      <x:c r="A43" t="str">
        <x:v>DRV-006</x:v>
      </x:c>
      <x:c r="B43" t="str">
        <x:v>Marcus Chen</x:v>
      </x:c>
      <x:c r="C43" t="str">
        <x:v>283-555-0100</x:v>
      </x:c>
      <x:c r="D43" t="str">
        <x:v>810 Demo Street, Dallas, TX</x:v>
      </x:c>
      <x:c r="E43" t="str">
        <x:v>VALID</x:v>
      </x:c>
      <x:c r="F43" t="str">
        <x:v>Bank Information Sheet</x:v>
      </x:c>
      <x:c r="G43" s="113" t="n">
        <x:v>46073</x:v>
      </x:c>
      <x:c r="H43" t="str">
        <x:v>Link</x:v>
      </x:c>
    </x:row>
    <x:row r="44">
      <x:c r="A44" t="str">
        <x:v>DRV-007</x:v>
      </x:c>
      <x:c r="B44" t="str">
        <x:v>Sofia Gomez</x:v>
      </x:c>
      <x:c r="C44" t="str">
        <x:v>896-555-0100</x:v>
      </x:c>
      <x:c r="D44" t="str">
        <x:v>1020 Demo Street, Cleveland, OH</x:v>
      </x:c>
      <x:c r="E44" t="str">
        <x:v>READY</x:v>
      </x:c>
      <x:c r="F44" t="str">
        <x:v>CDL Summary</x:v>
      </x:c>
      <x:c r="G44" s="113" t="n">
        <x:v>46530</x:v>
      </x:c>
      <x:c r="H44" t="str">
        <x:v>Link</x:v>
      </x:c>
    </x:row>
    <x:row r="45">
      <x:c r="A45" t="str">
        <x:v>DRV-007</x:v>
      </x:c>
      <x:c r="B45" t="str">
        <x:v>Sofia Gomez</x:v>
      </x:c>
      <x:c r="C45" t="str">
        <x:v>896-555-0100</x:v>
      </x:c>
      <x:c r="D45" t="str">
        <x:v>1020 Demo Street, Cleveland, OH</x:v>
      </x:c>
      <x:c r="E45" t="str">
        <x:v>READY</x:v>
      </x:c>
      <x:c r="F45" t="str">
        <x:v>Medical Certification Summary</x:v>
      </x:c>
      <x:c r="G45" s="113" t="n">
        <x:v>46469</x:v>
      </x:c>
      <x:c r="H45" t="str">
        <x:v>Link</x:v>
      </x:c>
    </x:row>
    <x:row r="46">
      <x:c r="A46" t="str">
        <x:v>DRV-007</x:v>
      </x:c>
      <x:c r="B46" t="str">
        <x:v>Sofia Gomez</x:v>
      </x:c>
      <x:c r="C46" t="str">
        <x:v>896-555-0100</x:v>
      </x:c>
      <x:c r="D46" t="str">
        <x:v>1020 Demo Street, Cleveland, OH</x:v>
      </x:c>
      <x:c r="E46" t="str">
        <x:v>READY</x:v>
      </x:c>
      <x:c r="F46" t="str">
        <x:v>MVR Summary</x:v>
      </x:c>
      <x:c r="G46" s="113" t="n">
        <x:v>46456</x:v>
      </x:c>
      <x:c r="H46" t="str">
        <x:v>Link</x:v>
      </x:c>
    </x:row>
    <x:row r="47">
      <x:c r="A47" t="str">
        <x:v>DRV-007</x:v>
      </x:c>
      <x:c r="B47" t="str">
        <x:v>Sofia Gomez</x:v>
      </x:c>
      <x:c r="C47" t="str">
        <x:v>896-555-0100</x:v>
      </x:c>
      <x:c r="D47" t="str">
        <x:v>1020 Demo Street, Cleveland, OH</x:v>
      </x:c>
      <x:c r="E47" t="str">
        <x:v>VALID</x:v>
      </x:c>
      <x:c r="F47" t="str">
        <x:v>Employment Eligibility Summary</x:v>
      </x:c>
      <x:c r="G47" s="113" t="n">
        <x:v>46204</x:v>
      </x:c>
      <x:c r="H47" t="str">
        <x:v>Link</x:v>
      </x:c>
    </x:row>
    <x:row r="48">
      <x:c r="A48" t="str">
        <x:v>DRV-007</x:v>
      </x:c>
      <x:c r="B48" t="str">
        <x:v>Sofia Gomez</x:v>
      </x:c>
      <x:c r="C48" t="str">
        <x:v>896-555-0100</x:v>
      </x:c>
      <x:c r="D48" t="str">
        <x:v>1020 Demo Street, Cleveland, OH</x:v>
      </x:c>
      <x:c r="E48" t="str">
        <x:v>VALID</x:v>
      </x:c>
      <x:c r="F48" t="str">
        <x:v>FMCSA Compliance Summary</x:v>
      </x:c>
      <x:c r="G48" s="113" t="n">
        <x:v>46036</x:v>
      </x:c>
      <x:c r="H48" t="str">
        <x:v>Link</x:v>
      </x:c>
    </x:row>
    <x:row r="49">
      <x:c r="A49" t="str">
        <x:v>DRV-007</x:v>
      </x:c>
      <x:c r="B49" t="str">
        <x:v>Sofia Gomez</x:v>
      </x:c>
      <x:c r="C49" t="str">
        <x:v>896-555-0100</x:v>
      </x:c>
      <x:c r="D49" t="str">
        <x:v>1020 Demo Street, Cleveland, OH</x:v>
      </x:c>
      <x:c r="E49" t="str">
        <x:v>VALID</x:v>
      </x:c>
      <x:c r="F49" t="str">
        <x:v>W-9 Summary</x:v>
      </x:c>
      <x:c r="G49" s="113" t="n">
        <x:v>46021</x:v>
      </x:c>
      <x:c r="H49" t="str">
        <x:v>Link</x:v>
      </x:c>
    </x:row>
    <x:row r="50">
      <x:c r="A50" t="str">
        <x:v>DRV-007</x:v>
      </x:c>
      <x:c r="B50" t="str">
        <x:v>Sofia Gomez</x:v>
      </x:c>
      <x:c r="C50" t="str">
        <x:v>896-555-0100</x:v>
      </x:c>
      <x:c r="D50" t="str">
        <x:v>1020 Demo Street, Cleveland, OH</x:v>
      </x:c>
      <x:c r="E50" t="str">
        <x:v>VALID</x:v>
      </x:c>
      <x:c r="F50" t="str">
        <x:v>Bank Information Sheet</x:v>
      </x:c>
      <x:c r="G50" s="113" t="n">
        <x:v>46210</x:v>
      </x:c>
      <x:c r="H50" t="str">
        <x:v>Link</x:v>
      </x:c>
    </x:row>
    <x:row r="51">
      <x:c r="A51" t="str">
        <x:v>DRV-008</x:v>
      </x:c>
      <x:c r="B51" t="str">
        <x:v>Liam Smith</x:v>
      </x:c>
      <x:c r="C51" t="str">
        <x:v>820-555-0100</x:v>
      </x:c>
      <x:c r="D51" t="str">
        <x:v>530 Demo Street, Toledo, OH</x:v>
      </x:c>
      <x:c r="E51" t="str">
        <x:v>READY</x:v>
      </x:c>
      <x:c r="F51" t="str">
        <x:v>CDL Summary</x:v>
      </x:c>
      <x:c r="G51" s="113" t="n">
        <x:v>46620</x:v>
      </x:c>
      <x:c r="H51" t="str">
        <x:v>Link</x:v>
      </x:c>
    </x:row>
    <x:row r="52">
      <x:c r="A52" t="str">
        <x:v>DRV-008</x:v>
      </x:c>
      <x:c r="B52" t="str">
        <x:v>Liam Smith</x:v>
      </x:c>
      <x:c r="C52" t="str">
        <x:v>820-555-0100</x:v>
      </x:c>
      <x:c r="D52" t="str">
        <x:v>530 Demo Street, Toledo, OH</x:v>
      </x:c>
      <x:c r="E52" t="str">
        <x:v>READY</x:v>
      </x:c>
      <x:c r="F52" t="str">
        <x:v>Medical Certification Summary</x:v>
      </x:c>
      <x:c r="G52" s="113" t="n">
        <x:v>46670</x:v>
      </x:c>
      <x:c r="H52" t="str">
        <x:v>Link</x:v>
      </x:c>
    </x:row>
    <x:row r="53">
      <x:c r="A53" t="str">
        <x:v>DRV-008</x:v>
      </x:c>
      <x:c r="B53" t="str">
        <x:v>Liam Smith</x:v>
      </x:c>
      <x:c r="C53" t="str">
        <x:v>820-555-0100</x:v>
      </x:c>
      <x:c r="D53" t="str">
        <x:v>530 Demo Street, Toledo, OH</x:v>
      </x:c>
      <x:c r="E53" t="str">
        <x:v>READY</x:v>
      </x:c>
      <x:c r="F53" t="str">
        <x:v>MVR Summary</x:v>
      </x:c>
      <x:c r="G53" s="113" t="n">
        <x:v>46452</x:v>
      </x:c>
      <x:c r="H53" t="str">
        <x:v>Link</x:v>
      </x:c>
    </x:row>
    <x:row r="54">
      <x:c r="A54" t="str">
        <x:v>DRV-008</x:v>
      </x:c>
      <x:c r="B54" t="str">
        <x:v>Liam Smith</x:v>
      </x:c>
      <x:c r="C54" t="str">
        <x:v>820-555-0100</x:v>
      </x:c>
      <x:c r="D54" t="str">
        <x:v>530 Demo Street, Toledo, OH</x:v>
      </x:c>
      <x:c r="E54" t="str">
        <x:v>VALID</x:v>
      </x:c>
      <x:c r="F54" t="str">
        <x:v>Employment Eligibility Summary</x:v>
      </x:c>
      <x:c r="G54" s="113" t="n">
        <x:v>46033</x:v>
      </x:c>
      <x:c r="H54" t="str">
        <x:v>Link</x:v>
      </x:c>
    </x:row>
    <x:row r="55">
      <x:c r="A55" t="str">
        <x:v>DRV-008</x:v>
      </x:c>
      <x:c r="B55" t="str">
        <x:v>Liam Smith</x:v>
      </x:c>
      <x:c r="C55" t="str">
        <x:v>820-555-0100</x:v>
      </x:c>
      <x:c r="D55" t="str">
        <x:v>530 Demo Street, Toledo, OH</x:v>
      </x:c>
      <x:c r="E55" t="str">
        <x:v>VALID</x:v>
      </x:c>
      <x:c r="F55" t="str">
        <x:v>FMCSA Compliance Summary</x:v>
      </x:c>
      <x:c r="G55" s="113" t="n">
        <x:v>46065</x:v>
      </x:c>
      <x:c r="H55" t="str">
        <x:v>Link</x:v>
      </x:c>
    </x:row>
    <x:row r="56">
      <x:c r="A56" t="str">
        <x:v>DRV-008</x:v>
      </x:c>
      <x:c r="B56" t="str">
        <x:v>Liam Smith</x:v>
      </x:c>
      <x:c r="C56" t="str">
        <x:v>820-555-0100</x:v>
      </x:c>
      <x:c r="D56" t="str">
        <x:v>530 Demo Street, Toledo, OH</x:v>
      </x:c>
      <x:c r="E56" t="str">
        <x:v>VALID</x:v>
      </x:c>
      <x:c r="F56" t="str">
        <x:v>W-9 Summary</x:v>
      </x:c>
      <x:c r="G56" s="113" t="n">
        <x:v>46072</x:v>
      </x:c>
      <x:c r="H56" t="str">
        <x:v>Link</x:v>
      </x:c>
    </x:row>
    <x:row r="57">
      <x:c r="A57" t="str">
        <x:v>DRV-008</x:v>
      </x:c>
      <x:c r="B57" t="str">
        <x:v>Liam Smith</x:v>
      </x:c>
      <x:c r="C57" t="str">
        <x:v>820-555-0100</x:v>
      </x:c>
      <x:c r="D57" t="str">
        <x:v>530 Demo Street, Toledo, OH</x:v>
      </x:c>
      <x:c r="E57" t="str">
        <x:v>VALID</x:v>
      </x:c>
      <x:c r="F57" t="str">
        <x:v>Bank Information Sheet</x:v>
      </x:c>
      <x:c r="G57" s="113" t="n">
        <x:v>46169</x:v>
      </x:c>
      <x:c r="H57" t="str">
        <x:v>Link</x:v>
      </x:c>
    </x:row>
    <x:row r="58">
      <x:c r="A58" t="str">
        <x:v>DRV-009</x:v>
      </x:c>
      <x:c r="B58" t="str">
        <x:v>Emma Brown</x:v>
      </x:c>
      <x:c r="C58" t="str">
        <x:v>206-555-0103</x:v>
      </x:c>
      <x:c r="D58" t="str">
        <x:v>630 Demo Street, Columbus, OH</x:v>
      </x:c>
      <x:c r="E58" t="str">
        <x:v>READY</x:v>
      </x:c>
      <x:c r="F58" t="str">
        <x:v>CDL Summary</x:v>
      </x:c>
      <x:c r="G58" s="113" t="n">
        <x:v>46424</x:v>
      </x:c>
      <x:c r="H58" t="str">
        <x:v>Link</x:v>
      </x:c>
    </x:row>
    <x:row r="59">
      <x:c r="A59" t="str">
        <x:v>DRV-009</x:v>
      </x:c>
      <x:c r="B59" t="str">
        <x:v>Emma Brown</x:v>
      </x:c>
      <x:c r="C59" t="str">
        <x:v>206-555-0103</x:v>
      </x:c>
      <x:c r="D59" t="str">
        <x:v>630 Demo Street, Columbus, OH</x:v>
      </x:c>
      <x:c r="E59" t="str">
        <x:v>READY</x:v>
      </x:c>
      <x:c r="F59" t="str">
        <x:v>Medical Certification Summary</x:v>
      </x:c>
      <x:c r="G59" s="113" t="n">
        <x:v>46645</x:v>
      </x:c>
      <x:c r="H59" t="str">
        <x:v>Link</x:v>
      </x:c>
    </x:row>
    <x:row r="60">
      <x:c r="A60" t="str">
        <x:v>DRV-009</x:v>
      </x:c>
      <x:c r="B60" t="str">
        <x:v>Emma Brown</x:v>
      </x:c>
      <x:c r="C60" t="str">
        <x:v>206-555-0103</x:v>
      </x:c>
      <x:c r="D60" t="str">
        <x:v>630 Demo Street, Columbus, OH</x:v>
      </x:c>
      <x:c r="E60" t="str">
        <x:v>READY</x:v>
      </x:c>
      <x:c r="F60" t="str">
        <x:v>MVR Summary</x:v>
      </x:c>
      <x:c r="G60" s="113" t="n">
        <x:v>46451</x:v>
      </x:c>
      <x:c r="H60" t="str">
        <x:v>Link</x:v>
      </x:c>
    </x:row>
    <x:row r="61">
      <x:c r="A61" t="str">
        <x:v>DRV-009</x:v>
      </x:c>
      <x:c r="B61" t="str">
        <x:v>Emma Brown</x:v>
      </x:c>
      <x:c r="C61" t="str">
        <x:v>206-555-0103</x:v>
      </x:c>
      <x:c r="D61" t="str">
        <x:v>630 Demo Street, Columbus, OH</x:v>
      </x:c>
      <x:c r="E61" t="str">
        <x:v>VALID</x:v>
      </x:c>
      <x:c r="F61" t="str">
        <x:v>Employment Eligibility Summary</x:v>
      </x:c>
      <x:c r="G61" s="113" t="n">
        <x:v>46165</x:v>
      </x:c>
      <x:c r="H61" t="str">
        <x:v>Link</x:v>
      </x:c>
    </x:row>
    <x:row r="62">
      <x:c r="A62" t="str">
        <x:v>DRV-009</x:v>
      </x:c>
      <x:c r="B62" t="str">
        <x:v>Emma Brown</x:v>
      </x:c>
      <x:c r="C62" t="str">
        <x:v>206-555-0103</x:v>
      </x:c>
      <x:c r="D62" t="str">
        <x:v>630 Demo Street, Columbus, OH</x:v>
      </x:c>
      <x:c r="E62" t="str">
        <x:v>VALID</x:v>
      </x:c>
      <x:c r="F62" t="str">
        <x:v>FMCSA Compliance Summary</x:v>
      </x:c>
      <x:c r="G62" s="113" t="n">
        <x:v>46244</x:v>
      </x:c>
      <x:c r="H62" t="str">
        <x:v>Link</x:v>
      </x:c>
    </x:row>
    <x:row r="63">
      <x:c r="A63" t="str">
        <x:v>DRV-009</x:v>
      </x:c>
      <x:c r="B63" t="str">
        <x:v>Emma Brown</x:v>
      </x:c>
      <x:c r="C63" t="str">
        <x:v>206-555-0103</x:v>
      </x:c>
      <x:c r="D63" t="str">
        <x:v>630 Demo Street, Columbus, OH</x:v>
      </x:c>
      <x:c r="E63" t="str">
        <x:v>VALID</x:v>
      </x:c>
      <x:c r="F63" t="str">
        <x:v>W-9 Summary</x:v>
      </x:c>
      <x:c r="G63" s="113" t="n">
        <x:v>46060</x:v>
      </x:c>
      <x:c r="H63" t="str">
        <x:v>Link</x:v>
      </x:c>
    </x:row>
    <x:row r="64">
      <x:c r="A64" t="str">
        <x:v>DRV-009</x:v>
      </x:c>
      <x:c r="B64" t="str">
        <x:v>Emma Brown</x:v>
      </x:c>
      <x:c r="C64" t="str">
        <x:v>206-555-0103</x:v>
      </x:c>
      <x:c r="D64" t="str">
        <x:v>630 Demo Street, Columbus, OH</x:v>
      </x:c>
      <x:c r="E64" t="str">
        <x:v>VALID</x:v>
      </x:c>
      <x:c r="F64" t="str">
        <x:v>Bank Information Sheet</x:v>
      </x:c>
      <x:c r="G64" s="113" t="n">
        <x:v>46144</x:v>
      </x:c>
      <x:c r="H64" t="str">
        <x:v>Link</x:v>
      </x:c>
    </x:row>
    <x:row r="65">
      <x:c r="A65" t="str">
        <x:v>DRV-010</x:v>
      </x:c>
      <x:c r="B65" t="str">
        <x:v>Noah Wilson</x:v>
      </x:c>
      <x:c r="C65" t="str">
        <x:v>582-555-0100</x:v>
      </x:c>
      <x:c r="D65" t="str">
        <x:v>130 Demo Street, Chicago, IL</x:v>
      </x:c>
      <x:c r="E65" t="str">
        <x:v>READY</x:v>
      </x:c>
      <x:c r="F65" t="str">
        <x:v>CDL Summary</x:v>
      </x:c>
      <x:c r="G65" s="113" t="n">
        <x:v>46647</x:v>
      </x:c>
      <x:c r="H65" t="str">
        <x:v>Link</x:v>
      </x:c>
    </x:row>
    <x:row r="66">
      <x:c r="A66" t="str">
        <x:v>DRV-010</x:v>
      </x:c>
      <x:c r="B66" t="str">
        <x:v>Noah Wilson</x:v>
      </x:c>
      <x:c r="C66" t="str">
        <x:v>582-555-0100</x:v>
      </x:c>
      <x:c r="D66" t="str">
        <x:v>130 Demo Street, Chicago, IL</x:v>
      </x:c>
      <x:c r="E66" t="str">
        <x:v>READY</x:v>
      </x:c>
      <x:c r="F66" t="str">
        <x:v>Medical Certification Summary</x:v>
      </x:c>
      <x:c r="G66" s="113" t="n">
        <x:v>46752</x:v>
      </x:c>
      <x:c r="H66" t="str">
        <x:v>Link</x:v>
      </x:c>
    </x:row>
    <x:row r="67">
      <x:c r="A67" t="str">
        <x:v>DRV-010</x:v>
      </x:c>
      <x:c r="B67" t="str">
        <x:v>Noah Wilson</x:v>
      </x:c>
      <x:c r="C67" t="str">
        <x:v>582-555-0100</x:v>
      </x:c>
      <x:c r="D67" t="str">
        <x:v>130 Demo Street, Chicago, IL</x:v>
      </x:c>
      <x:c r="E67" t="str">
        <x:v>READY</x:v>
      </x:c>
      <x:c r="F67" t="str">
        <x:v>MVR Summary</x:v>
      </x:c>
      <x:c r="G67" s="113" t="n">
        <x:v>46481</x:v>
      </x:c>
      <x:c r="H67" t="str">
        <x:v>Link</x:v>
      </x:c>
    </x:row>
    <x:row r="68">
      <x:c r="A68" t="str">
        <x:v>DRV-010</x:v>
      </x:c>
      <x:c r="B68" t="str">
        <x:v>Noah Wilson</x:v>
      </x:c>
      <x:c r="C68" t="str">
        <x:v>582-555-0100</x:v>
      </x:c>
      <x:c r="D68" t="str">
        <x:v>130 Demo Street, Chicago, IL</x:v>
      </x:c>
      <x:c r="E68" t="str">
        <x:v>VALID</x:v>
      </x:c>
      <x:c r="F68" t="str">
        <x:v>Employment Eligibility Summary</x:v>
      </x:c>
      <x:c r="G68" s="113" t="n">
        <x:v>46024</x:v>
      </x:c>
      <x:c r="H68" t="str">
        <x:v>Link</x:v>
      </x:c>
    </x:row>
    <x:row r="69">
      <x:c r="A69" t="str">
        <x:v>DRV-010</x:v>
      </x:c>
      <x:c r="B69" t="str">
        <x:v>Noah Wilson</x:v>
      </x:c>
      <x:c r="C69" t="str">
        <x:v>582-555-0100</x:v>
      </x:c>
      <x:c r="D69" t="str">
        <x:v>130 Demo Street, Chicago, IL</x:v>
      </x:c>
      <x:c r="E69" t="str">
        <x:v>VALID</x:v>
      </x:c>
      <x:c r="F69" t="str">
        <x:v>FMCSA Compliance Summary</x:v>
      </x:c>
      <x:c r="G69" s="113" t="n">
        <x:v>45985</x:v>
      </x:c>
      <x:c r="H69" t="str">
        <x:v>Link</x:v>
      </x:c>
    </x:row>
    <x:row r="70">
      <x:c r="A70" t="str">
        <x:v>DRV-010</x:v>
      </x:c>
      <x:c r="B70" t="str">
        <x:v>Noah Wilson</x:v>
      </x:c>
      <x:c r="C70" t="str">
        <x:v>582-555-0100</x:v>
      </x:c>
      <x:c r="D70" t="str">
        <x:v>130 Demo Street, Chicago, IL</x:v>
      </x:c>
      <x:c r="E70" t="str">
        <x:v>VALID</x:v>
      </x:c>
      <x:c r="F70" t="str">
        <x:v>W-9 Summary</x:v>
      </x:c>
      <x:c r="G70" s="113" t="n">
        <x:v>46208</x:v>
      </x:c>
      <x:c r="H70" t="str">
        <x:v>Link</x:v>
      </x:c>
    </x:row>
    <x:row r="71">
      <x:c r="A71" t="str">
        <x:v>DRV-010</x:v>
      </x:c>
      <x:c r="B71" t="str">
        <x:v>Noah Wilson</x:v>
      </x:c>
      <x:c r="C71" t="str">
        <x:v>582-555-0100</x:v>
      </x:c>
      <x:c r="D71" t="str">
        <x:v>130 Demo Street, Chicago, IL</x:v>
      </x:c>
      <x:c r="E71" t="str">
        <x:v>VALID</x:v>
      </x:c>
      <x:c r="F71" t="str">
        <x:v>Bank Information Sheet</x:v>
      </x:c>
      <x:c r="G71" s="113" t="n">
        <x:v>46061</x:v>
      </x:c>
      <x:c r="H71" t="str">
        <x:v>Link</x:v>
      </x:c>
    </x:row>
    <x:row r="72">
      <x:c r="A72" t="str">
        <x:v>DRV-011</x:v>
      </x:c>
      <x:c r="B72" t="str">
        <x:v>Olivia Lee</x:v>
      </x:c>
      <x:c r="C72" t="str">
        <x:v>337-555-0100</x:v>
      </x:c>
      <x:c r="D72" t="str">
        <x:v>900 Demo Street, Atlanta, GA</x:v>
      </x:c>
      <x:c r="E72" t="str">
        <x:v>READY</x:v>
      </x:c>
      <x:c r="F72" t="str">
        <x:v>CDL Summary</x:v>
      </x:c>
      <x:c r="G72" s="113" t="n">
        <x:v>46566</x:v>
      </x:c>
      <x:c r="H72" t="str">
        <x:v>Link</x:v>
      </x:c>
    </x:row>
    <x:row r="73">
      <x:c r="A73" t="str">
        <x:v>DRV-011</x:v>
      </x:c>
      <x:c r="B73" t="str">
        <x:v>Olivia Lee</x:v>
      </x:c>
      <x:c r="C73" t="str">
        <x:v>337-555-0100</x:v>
      </x:c>
      <x:c r="D73" t="str">
        <x:v>900 Demo Street, Atlanta, GA</x:v>
      </x:c>
      <x:c r="E73" t="str">
        <x:v>READY</x:v>
      </x:c>
      <x:c r="F73" t="str">
        <x:v>Medical Certification Summary</x:v>
      </x:c>
      <x:c r="G73" s="113" t="n">
        <x:v>46499</x:v>
      </x:c>
      <x:c r="H73" t="str">
        <x:v>Link</x:v>
      </x:c>
    </x:row>
    <x:row r="74">
      <x:c r="A74" t="str">
        <x:v>DRV-011</x:v>
      </x:c>
      <x:c r="B74" t="str">
        <x:v>Olivia Lee</x:v>
      </x:c>
      <x:c r="C74" t="str">
        <x:v>337-555-0100</x:v>
      </x:c>
      <x:c r="D74" t="str">
        <x:v>900 Demo Street, Atlanta, GA</x:v>
      </x:c>
      <x:c r="E74" t="str">
        <x:v>READY</x:v>
      </x:c>
      <x:c r="F74" t="str">
        <x:v>MVR Summary</x:v>
      </x:c>
      <x:c r="G74" s="113" t="n">
        <x:v>46484</x:v>
      </x:c>
      <x:c r="H74" t="str">
        <x:v>Link</x:v>
      </x:c>
    </x:row>
    <x:row r="75">
      <x:c r="A75" t="str">
        <x:v>DRV-011</x:v>
      </x:c>
      <x:c r="B75" t="str">
        <x:v>Olivia Lee</x:v>
      </x:c>
      <x:c r="C75" t="str">
        <x:v>337-555-0100</x:v>
      </x:c>
      <x:c r="D75" t="str">
        <x:v>900 Demo Street, Atlanta, GA</x:v>
      </x:c>
      <x:c r="E75" t="str">
        <x:v>VALID</x:v>
      </x:c>
      <x:c r="F75" t="str">
        <x:v>Employment Eligibility Summary</x:v>
      </x:c>
      <x:c r="G75" s="113" t="n">
        <x:v>46185</x:v>
      </x:c>
      <x:c r="H75" t="str">
        <x:v>Link</x:v>
      </x:c>
    </x:row>
    <x:row r="76">
      <x:c r="A76" t="str">
        <x:v>DRV-011</x:v>
      </x:c>
      <x:c r="B76" t="str">
        <x:v>Olivia Lee</x:v>
      </x:c>
      <x:c r="C76" t="str">
        <x:v>337-555-0100</x:v>
      </x:c>
      <x:c r="D76" t="str">
        <x:v>900 Demo Street, Atlanta, GA</x:v>
      </x:c>
      <x:c r="E76" t="str">
        <x:v>VALID</x:v>
      </x:c>
      <x:c r="F76" t="str">
        <x:v>FMCSA Compliance Summary</x:v>
      </x:c>
      <x:c r="G76" s="113" t="n">
        <x:v>46033</x:v>
      </x:c>
      <x:c r="H76" t="str">
        <x:v>Link</x:v>
      </x:c>
    </x:row>
    <x:row r="77">
      <x:c r="A77" t="str">
        <x:v>DRV-011</x:v>
      </x:c>
      <x:c r="B77" t="str">
        <x:v>Olivia Lee</x:v>
      </x:c>
      <x:c r="C77" t="str">
        <x:v>337-555-0100</x:v>
      </x:c>
      <x:c r="D77" t="str">
        <x:v>900 Demo Street, Atlanta, GA</x:v>
      </x:c>
      <x:c r="E77" t="str">
        <x:v>VALID</x:v>
      </x:c>
      <x:c r="F77" t="str">
        <x:v>W-9 Summary</x:v>
      </x:c>
      <x:c r="G77" s="113" t="n">
        <x:v>46249</x:v>
      </x:c>
      <x:c r="H77" t="str">
        <x:v>Link</x:v>
      </x:c>
    </x:row>
    <x:row r="78">
      <x:c r="A78" t="str">
        <x:v>DRV-011</x:v>
      </x:c>
      <x:c r="B78" t="str">
        <x:v>Olivia Lee</x:v>
      </x:c>
      <x:c r="C78" t="str">
        <x:v>337-555-0100</x:v>
      </x:c>
      <x:c r="D78" t="str">
        <x:v>900 Demo Street, Atlanta, GA</x:v>
      </x:c>
      <x:c r="E78" t="str">
        <x:v>VALID</x:v>
      </x:c>
      <x:c r="F78" t="str">
        <x:v>Bank Information Sheet</x:v>
      </x:c>
      <x:c r="G78" s="113" t="n">
        <x:v>46025</x:v>
      </x:c>
      <x:c r="H78" t="str">
        <x:v>Link</x:v>
      </x:c>
    </x:row>
    <x:row r="79">
      <x:c r="A79" t="str">
        <x:v>DRV-012</x:v>
      </x:c>
      <x:c r="B79" t="str">
        <x:v>Robert Johnson</x:v>
      </x:c>
      <x:c r="C79" t="str">
        <x:v>618-555-0100</x:v>
      </x:c>
      <x:c r="D79" t="str">
        <x:v>1040 Demo Street, Akron, OH</x:v>
      </x:c>
      <x:c r="E79" t="str">
        <x:v>READY</x:v>
      </x:c>
      <x:c r="F79" t="str">
        <x:v>CDL Summary</x:v>
      </x:c>
      <x:c r="G79" s="113" t="n">
        <x:v>46706</x:v>
      </x:c>
      <x:c r="H79" t="str">
        <x:v>Link</x:v>
      </x:c>
    </x:row>
    <x:row r="80">
      <x:c r="A80" t="str">
        <x:v>DRV-012</x:v>
      </x:c>
      <x:c r="B80" t="str">
        <x:v>Robert Johnson</x:v>
      </x:c>
      <x:c r="C80" t="str">
        <x:v>618-555-0100</x:v>
      </x:c>
      <x:c r="D80" t="str">
        <x:v>1040 Demo Street, Akron, OH</x:v>
      </x:c>
      <x:c r="E80" t="str">
        <x:v>READY</x:v>
      </x:c>
      <x:c r="F80" t="str">
        <x:v>Medical Certification Summary</x:v>
      </x:c>
      <x:c r="G80" s="113" t="n">
        <x:v>46609</x:v>
      </x:c>
      <x:c r="H80" t="str">
        <x:v>Link</x:v>
      </x:c>
    </x:row>
    <x:row r="81">
      <x:c r="A81" t="str">
        <x:v>DRV-012</x:v>
      </x:c>
      <x:c r="B81" t="str">
        <x:v>Robert Johnson</x:v>
      </x:c>
      <x:c r="C81" t="str">
        <x:v>618-555-0100</x:v>
      </x:c>
      <x:c r="D81" t="str">
        <x:v>1040 Demo Street, Akron, OH</x:v>
      </x:c>
      <x:c r="E81" t="str">
        <x:v>READY</x:v>
      </x:c>
      <x:c r="F81" t="str">
        <x:v>MVR Summary</x:v>
      </x:c>
      <x:c r="G81" s="113" t="n">
        <x:v>46519</x:v>
      </x:c>
      <x:c r="H81" t="str">
        <x:v>Link</x:v>
      </x:c>
    </x:row>
    <x:row r="82">
      <x:c r="A82" t="str">
        <x:v>DRV-012</x:v>
      </x:c>
      <x:c r="B82" t="str">
        <x:v>Robert Johnson</x:v>
      </x:c>
      <x:c r="C82" t="str">
        <x:v>618-555-0100</x:v>
      </x:c>
      <x:c r="D82" t="str">
        <x:v>1040 Demo Street, Akron, OH</x:v>
      </x:c>
      <x:c r="E82" t="str">
        <x:v>VALID</x:v>
      </x:c>
      <x:c r="F82" t="str">
        <x:v>Employment Eligibility Summary</x:v>
      </x:c>
      <x:c r="G82" s="113" t="n">
        <x:v>46000</x:v>
      </x:c>
      <x:c r="H82" t="str">
        <x:v>Link</x:v>
      </x:c>
    </x:row>
    <x:row r="83">
      <x:c r="A83" t="str">
        <x:v>DRV-012</x:v>
      </x:c>
      <x:c r="B83" t="str">
        <x:v>Robert Johnson</x:v>
      </x:c>
      <x:c r="C83" t="str">
        <x:v>618-555-0100</x:v>
      </x:c>
      <x:c r="D83" t="str">
        <x:v>1040 Demo Street, Akron, OH</x:v>
      </x:c>
      <x:c r="E83" t="str">
        <x:v>VALID</x:v>
      </x:c>
      <x:c r="F83" t="str">
        <x:v>FMCSA Compliance Summary</x:v>
      </x:c>
      <x:c r="G83" s="113" t="n">
        <x:v>46147</x:v>
      </x:c>
      <x:c r="H83" t="str">
        <x:v>Link</x:v>
      </x:c>
    </x:row>
    <x:row r="84">
      <x:c r="A84" t="str">
        <x:v>DRV-012</x:v>
      </x:c>
      <x:c r="B84" t="str">
        <x:v>Robert Johnson</x:v>
      </x:c>
      <x:c r="C84" t="str">
        <x:v>618-555-0100</x:v>
      </x:c>
      <x:c r="D84" t="str">
        <x:v>1040 Demo Street, Akron, OH</x:v>
      </x:c>
      <x:c r="E84" t="str">
        <x:v>VALID</x:v>
      </x:c>
      <x:c r="F84" t="str">
        <x:v>W-9 Summary</x:v>
      </x:c>
      <x:c r="G84" s="113" t="n">
        <x:v>46018</x:v>
      </x:c>
      <x:c r="H84" t="str">
        <x:v>Link</x:v>
      </x:c>
    </x:row>
    <x:row r="85">
      <x:c r="A85" t="str">
        <x:v>DRV-012</x:v>
      </x:c>
      <x:c r="B85" t="str">
        <x:v>Robert Johnson</x:v>
      </x:c>
      <x:c r="C85" t="str">
        <x:v>618-555-0100</x:v>
      </x:c>
      <x:c r="D85" t="str">
        <x:v>1040 Demo Street, Akron, OH</x:v>
      </x:c>
      <x:c r="E85" t="str">
        <x:v>VALID</x:v>
      </x:c>
      <x:c r="F85" t="str">
        <x:v>Bank Information Sheet</x:v>
      </x:c>
      <x:c r="G85" s="113" t="n">
        <x:v>46069</x:v>
      </x:c>
      <x:c r="H85" t="str">
        <x:v>Link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25"/>
  <x:cols>
    <x:col min="2" max="2" width="13.625" style="24" customWidth="1"/>
    <x:col min="3" max="3" width="14.125" style="24" customWidth="1"/>
    <x:col min="4" max="4" width="15.75" style="24" customWidth="1"/>
    <x:col min="5" max="5" width="14.75" style="24" customWidth="1"/>
  </x:cols>
  <x:sheetData>
    <x:row r="1">
      <x:c r="A1" t="inlineStr">
        <x:is>
          <x:t xml:space="preserve">Asset ID</x:t>
        </x:is>
      </x:c>
      <x:c r="B1" t="inlineStr">
        <x:is>
          <x:t xml:space="preserve">Assigned Driver</x:t>
        </x:is>
      </x:c>
      <x:c r="C1" t="inlineStr">
        <x:is>
          <x:t xml:space="preserve">Last Service Date</x:t>
        </x:is>
      </x:c>
      <x:c r="D1" t="inlineStr">
        <x:is>
          <x:t xml:space="preserve">Next Service Date</x:t>
        </x:is>
      </x:c>
      <x:c r="E1" t="inlineStr">
        <x:is>
          <x:t xml:space="preserve">Status Indicator</x:t>
        </x:is>
      </x:c>
    </x:row>
    <x:row r="2">
      <x:c r="A2" t="inlineStr">
        <x:is>
          <x:t xml:space="preserve">T-101</x:t>
        </x:is>
      </x:c>
      <x:c r="B2" t="inlineStr">
        <x:is>
          <x:t xml:space="preserve">Driver 12</x:t>
        </x:is>
      </x:c>
      <x:c r="C2" s="36" t="n">
        <x:v>45777</x:v>
      </x:c>
      <x:c r="D2" s="36" t="n">
        <x:v>46119</x:v>
      </x:c>
      <x:c r="E2" t="str">
        <x:f>IF(D2 &lt; TODAY(), "🔴 EXPIRED", IF(D2 &lt;= TODAY()+30, "🟡 DUE SOON", "🟢 OK"))</x:f>
        <x:v>🔴 EXPIRED</x:v>
      </x:c>
    </x:row>
    <x:row r="3">
      <x:c r="A3" t="inlineStr">
        <x:is>
          <x:t xml:space="preserve">T-102</x:t>
        </x:is>
      </x:c>
      <x:c r="B3" t="inlineStr">
        <x:is>
          <x:t xml:space="preserve">Driver 1</x:t>
        </x:is>
      </x:c>
      <x:c r="C3" s="36" t="n">
        <x:v>46011</x:v>
      </x:c>
      <x:c r="D3" s="36" t="n">
        <x:v>46067</x:v>
      </x:c>
      <x:c r="E3" t="str">
        <x:f>IF(D3 &lt; TODAY(), "🔴 EXPIRED", IF(D3 &lt;= TODAY()+30, "🟡 DUE SOON", "🟢 OK"))</x:f>
        <x:v>🔴 EXPIRED</x:v>
      </x:c>
    </x:row>
    <x:row r="4">
      <x:c r="A4" t="inlineStr">
        <x:is>
          <x:t xml:space="preserve">T-103</x:t>
        </x:is>
      </x:c>
      <x:c r="B4" t="inlineStr">
        <x:is>
          <x:t xml:space="preserve">Driver 6</x:t>
        </x:is>
      </x:c>
      <x:c r="C4" s="36" t="n">
        <x:v>45781</x:v>
      </x:c>
      <x:c r="D4" s="36" t="n">
        <x:v>46095</x:v>
      </x:c>
      <x:c r="E4" t="str">
        <x:f>IF(D4 &lt; TODAY(), "🔴 EXPIRED", IF(D4 &lt;= TODAY()+30, "🟡 DUE SOON", "🟢 OK"))</x:f>
        <x:v>🔴 EXPIRED</x:v>
      </x:c>
    </x:row>
    <x:row r="5">
      <x:c r="A5" t="inlineStr">
        <x:is>
          <x:t xml:space="preserve">T-104</x:t>
        </x:is>
      </x:c>
      <x:c r="B5" t="inlineStr">
        <x:is>
          <x:t xml:space="preserve">Driver 5</x:t>
        </x:is>
      </x:c>
      <x:c r="C5" s="36" t="n">
        <x:v>45726</x:v>
      </x:c>
      <x:c r="D5" s="36" t="n">
        <x:v>46077</x:v>
      </x:c>
      <x:c r="E5" t="str">
        <x:f>IF(D5 &lt; TODAY(), "🔴 EXPIRED", IF(D5 &lt;= TODAY()+30, "🟡 DUE SOON", "🟢 OK"))</x:f>
        <x:v>🔴 EXPIRED</x:v>
      </x:c>
    </x:row>
    <x:row r="6">
      <x:c r="A6" t="inlineStr">
        <x:is>
          <x:t xml:space="preserve">T-105</x:t>
        </x:is>
      </x:c>
      <x:c r="B6" t="inlineStr">
        <x:is>
          <x:t xml:space="preserve">Driver 10</x:t>
        </x:is>
      </x:c>
      <x:c r="C6" s="36" t="n">
        <x:v>45747</x:v>
      </x:c>
      <x:c r="D6" s="36" t="n">
        <x:v>46165</x:v>
      </x:c>
      <x:c r="E6" t="str">
        <x:f>IF(D6 &lt; TODAY(), "🔴 EXPIRED", IF(D6 &lt;= TODAY()+30, "🟡 DUE SOON", "🟢 OK"))</x:f>
        <x:v>🟡 DUE SOON</x:v>
      </x:c>
    </x:row>
    <x:row r="7">
      <x:c r="A7" t="inlineStr">
        <x:is>
          <x:t xml:space="preserve">T-106</x:t>
        </x:is>
      </x:c>
      <x:c r="B7" t="inlineStr">
        <x:is>
          <x:t xml:space="preserve">Driver 8</x:t>
        </x:is>
      </x:c>
      <x:c r="C7" s="36" t="n">
        <x:v>45662</x:v>
      </x:c>
      <x:c r="D7" s="36" t="n">
        <x:v>46105</x:v>
      </x:c>
      <x:c r="E7" t="str">
        <x:f>IF(D7 &lt; TODAY(), "🔴 EXPIRED", IF(D7 &lt;= TODAY()+30, "🟡 DUE SOON", "🟢 OK"))</x:f>
        <x:v>🔴 EXPIRED</x:v>
      </x:c>
    </x:row>
    <x:row r="8">
      <x:c r="A8" t="inlineStr">
        <x:is>
          <x:t xml:space="preserve">T-107</x:t>
        </x:is>
      </x:c>
      <x:c r="B8" t="inlineStr">
        <x:is>
          <x:t xml:space="preserve">Driver 3</x:t>
        </x:is>
      </x:c>
      <x:c r="C8" s="36" t="n">
        <x:v>45821</x:v>
      </x:c>
      <x:c r="D8" s="36" t="n">
        <x:v>46067</x:v>
      </x:c>
      <x:c r="E8" t="str">
        <x:f>IF(D8 &lt; TODAY(), "🔴 EXPIRED", IF(D8 &lt;= TODAY()+30, "🟡 DUE SOON", "🟢 OK"))</x:f>
        <x:v>🔴 EXPIRED</x:v>
      </x:c>
    </x:row>
    <x:row r="9">
      <x:c r="A9" t="inlineStr">
        <x:is>
          <x:t xml:space="preserve">T-108</x:t>
        </x:is>
      </x:c>
      <x:c r="B9" t="inlineStr">
        <x:is>
          <x:t xml:space="preserve">Driver 4</x:t>
        </x:is>
      </x:c>
      <x:c r="C9" s="36" t="n">
        <x:v>45764</x:v>
      </x:c>
      <x:c r="D9" s="36" t="n">
        <x:v>46127</x:v>
      </x:c>
      <x:c r="E9" t="str">
        <x:f>IF(D9 &lt; TODAY(), "🔴 EXPIRED", IF(D9 &lt;= TODAY()+30, "🟡 DUE SOON", "🟢 OK"))</x:f>
        <x:v>🔴 EXPIRED</x:v>
      </x:c>
    </x:row>
    <x:row r="10">
      <x:c r="A10" t="inlineStr">
        <x:is>
          <x:t xml:space="preserve">T-109</x:t>
        </x:is>
      </x:c>
      <x:c r="B10" t="inlineStr">
        <x:is>
          <x:t xml:space="preserve">Driver 9</x:t>
        </x:is>
      </x:c>
      <x:c r="C10" s="36" t="n">
        <x:v>45879</x:v>
      </x:c>
      <x:c r="D10" s="36" t="n">
        <x:v>46062</x:v>
      </x:c>
      <x:c r="E10" t="str">
        <x:f>IF(D10 &lt; TODAY(), "🔴 EXPIRED", IF(D10 &lt;= TODAY()+30, "🟡 DUE SOON", "🟢 OK"))</x:f>
        <x:v>🔴 EXPIRED</x:v>
      </x:c>
    </x:row>
    <x:row r="11">
      <x:c r="A11" t="inlineStr">
        <x:is>
          <x:t xml:space="preserve">T-110</x:t>
        </x:is>
      </x:c>
      <x:c r="B11" t="inlineStr">
        <x:is>
          <x:t xml:space="preserve">Driver 4</x:t>
        </x:is>
      </x:c>
      <x:c r="C11" s="36" t="n">
        <x:v>45997</x:v>
      </x:c>
      <x:c r="D11" s="36" t="n">
        <x:v>46096</x:v>
      </x:c>
      <x:c r="E11" t="str">
        <x:f>IF(D11 &lt; TODAY(), "🔴 EXPIRED", IF(D11 &lt;= TODAY()+30, "🟡 DUE SOON", "🟢 OK"))</x:f>
        <x:v>🔴 EXPIRED</x:v>
      </x:c>
    </x:row>
    <x:row r="12">
      <x:c r="A12" t="inlineStr">
        <x:is>
          <x:t xml:space="preserve">T-111</x:t>
        </x:is>
      </x:c>
      <x:c r="B12" t="inlineStr">
        <x:is>
          <x:t xml:space="preserve">Driver 7</x:t>
        </x:is>
      </x:c>
      <x:c r="C12" s="36" t="n">
        <x:v>46012</x:v>
      </x:c>
      <x:c r="D12" s="36" t="n">
        <x:v>46158</x:v>
      </x:c>
      <x:c r="E12" t="str">
        <x:f>IF(D12 &lt; TODAY(), "🔴 EXPIRED", IF(D12 &lt;= TODAY()+30, "🟡 DUE SOON", "🟢 OK"))</x:f>
        <x:v>🟡 DUE SOON</x:v>
      </x:c>
    </x:row>
    <x:row r="13">
      <x:c r="A13" t="inlineStr">
        <x:is>
          <x:t xml:space="preserve">T-112</x:t>
        </x:is>
      </x:c>
      <x:c r="B13" t="inlineStr">
        <x:is>
          <x:t xml:space="preserve">Driver 5</x:t>
        </x:is>
      </x:c>
      <x:c r="C13" s="36" t="n">
        <x:v>46021</x:v>
      </x:c>
      <x:c r="D13" s="36" t="n">
        <x:v>46171</x:v>
      </x:c>
      <x:c r="E13" t="str">
        <x:f>IF(D13 &lt; TODAY(), "🔴 EXPIRED", IF(D13 &lt;= TODAY()+30, "🟡 DUE SOON", "🟢 OK"))</x:f>
        <x:v>🟡 DUE SOON</x:v>
      </x:c>
    </x:row>
    <x:row r="14">
      <x:c r="A14" t="inlineStr">
        <x:is>
          <x:t xml:space="preserve">T-113</x:t>
        </x:is>
      </x:c>
      <x:c r="B14" t="inlineStr">
        <x:is>
          <x:t xml:space="preserve">Driver 4</x:t>
        </x:is>
      </x:c>
      <x:c r="C14" s="36" t="n">
        <x:v>45907</x:v>
      </x:c>
      <x:c r="D14" s="36" t="n">
        <x:v>46090</x:v>
      </x:c>
      <x:c r="E14" t="str">
        <x:f>IF(D14 &lt; TODAY(), "🔴 EXPIRED", IF(D14 &lt;= TODAY()+30, "🟡 DUE SOON", "🟢 OK"))</x:f>
        <x:v>🔴 EXPIRED</x:v>
      </x:c>
    </x:row>
    <x:row r="15">
      <x:c r="A15" t="inlineStr">
        <x:is>
          <x:t xml:space="preserve">T-114</x:t>
        </x:is>
      </x:c>
      <x:c r="B15" t="inlineStr">
        <x:is>
          <x:t xml:space="preserve">Driver 11</x:t>
        </x:is>
      </x:c>
      <x:c r="C15" s="36" t="n">
        <x:v>45916</x:v>
      </x:c>
      <x:c r="D15" s="36" t="n">
        <x:v>46171</x:v>
      </x:c>
      <x:c r="E15" t="str">
        <x:f>IF(D15 &lt; TODAY(), "🔴 EXPIRED", IF(D15 &lt;= TODAY()+30, "🟡 DUE SOON", "🟢 OK"))</x:f>
        <x:v>🟡 DUE SOON</x:v>
      </x:c>
    </x:row>
    <x:row r="16">
      <x:c r="A16" t="inlineStr">
        <x:is>
          <x:t xml:space="preserve">T-115</x:t>
        </x:is>
      </x:c>
      <x:c r="B16" t="inlineStr">
        <x:is>
          <x:t xml:space="preserve">Driver 12</x:t>
        </x:is>
      </x:c>
      <x:c r="C16" s="36" t="n">
        <x:v>45848</x:v>
      </x:c>
      <x:c r="D16" s="36" t="n">
        <x:v>46100</x:v>
      </x:c>
      <x:c r="E16" t="str">
        <x:f>IF(D16 &lt; TODAY(), "🔴 EXPIRED", IF(D16 &lt;= TODAY()+30, "🟡 DUE SOON", "🟢 OK"))</x:f>
        <x:v>🔴 EXPIRED</x:v>
      </x:c>
    </x:row>
    <x:row r="17">
      <x:c r="A17" t="inlineStr">
        <x:is>
          <x:t xml:space="preserve">T-116</x:t>
        </x:is>
      </x:c>
      <x:c r="B17" t="inlineStr">
        <x:is>
          <x:t xml:space="preserve">Driver 4</x:t>
        </x:is>
      </x:c>
      <x:c r="C17" s="36" t="n">
        <x:v>45681</x:v>
      </x:c>
      <x:c r="D17" s="36" t="n">
        <x:v>46166</x:v>
      </x:c>
      <x:c r="E17" t="str">
        <x:f>IF(D17 &lt; TODAY(), "🔴 EXPIRED", IF(D17 &lt;= TODAY()+30, "🟡 DUE SOON", "🟢 OK"))</x:f>
        <x:v>🟡 DUE SOON</x:v>
      </x:c>
    </x:row>
    <x:row r="18">
      <x:c r="A18" t="inlineStr">
        <x:is>
          <x:t xml:space="preserve">T-117</x:t>
        </x:is>
      </x:c>
      <x:c r="B18" t="inlineStr">
        <x:is>
          <x:t xml:space="preserve">Driver 6</x:t>
        </x:is>
      </x:c>
      <x:c r="C18" s="36" t="n">
        <x:v>45785</x:v>
      </x:c>
      <x:c r="D18" s="36" t="n">
        <x:v>46069</x:v>
      </x:c>
      <x:c r="E18" t="str">
        <x:f>IF(D18 &lt; TODAY(), "🔴 EXPIRED", IF(D18 &lt;= TODAY()+30, "🟡 DUE SOON", "🟢 OK"))</x:f>
        <x:v>🔴 EXPIRED</x:v>
      </x:c>
    </x:row>
    <x:row r="19">
      <x:c r="A19" t="inlineStr">
        <x:is>
          <x:t xml:space="preserve">T-118</x:t>
        </x:is>
      </x:c>
      <x:c r="B19" t="inlineStr">
        <x:is>
          <x:t xml:space="preserve">Driver 11</x:t>
        </x:is>
      </x:c>
      <x:c r="C19" s="36" t="n">
        <x:v>45916</x:v>
      </x:c>
      <x:c r="D19" s="36" t="n">
        <x:v>46134</x:v>
      </x:c>
      <x:c r="E19" t="str">
        <x:f>IF(D19 &lt; TODAY(), "🔴 EXPIRED", IF(D19 &lt;= TODAY()+30, "🟡 DUE SOON", "🟢 OK"))</x:f>
        <x:v>🔴 EXPIRED</x:v>
      </x:c>
    </x:row>
    <x:row r="20">
      <x:c r="A20" t="inlineStr">
        <x:is>
          <x:t xml:space="preserve">T-119</x:t>
        </x:is>
      </x:c>
      <x:c r="B20" t="inlineStr">
        <x:is>
          <x:t xml:space="preserve">Driver 6</x:t>
        </x:is>
      </x:c>
      <x:c r="C20" s="36" t="n">
        <x:v>45959</x:v>
      </x:c>
      <x:c r="D20" s="36" t="n">
        <x:v>46129</x:v>
      </x:c>
      <x:c r="E20" t="str">
        <x:f>IF(D20 &lt; TODAY(), "🔴 EXPIRED", IF(D20 &lt;= TODAY()+30, "🟡 DUE SOON", "🟢 OK"))</x:f>
        <x:v>🔴 EXPIRED</x:v>
      </x:c>
    </x:row>
    <x:row r="21">
      <x:c r="A21" t="inlineStr">
        <x:is>
          <x:t xml:space="preserve">T-120</x:t>
        </x:is>
      </x:c>
      <x:c r="B21" t="inlineStr">
        <x:is>
          <x:t xml:space="preserve">Driver 8</x:t>
        </x:is>
      </x:c>
      <x:c r="C21" s="36" t="n">
        <x:v>45986</x:v>
      </x:c>
      <x:c r="D21" s="36" t="n">
        <x:v>46098</x:v>
      </x:c>
      <x:c r="E21" t="str">
        <x:f>IF(D21 &lt; TODAY(), "🔴 EXPIRED", IF(D21 &lt;= TODAY()+30, "🟡 DUE SOON", "🟢 OK"))</x:f>
        <x:v>🔴 EXPIRED</x:v>
      </x:c>
    </x:row>
    <x:row r="22">
      <x:c r="A22" t="inlineStr">
        <x:is>
          <x:t xml:space="preserve">T-121</x:t>
        </x:is>
      </x:c>
      <x:c r="B22" t="inlineStr">
        <x:is>
          <x:t xml:space="preserve">Driver 1</x:t>
        </x:is>
      </x:c>
      <x:c r="C22" s="36" t="n">
        <x:v>45743</x:v>
      </x:c>
      <x:c r="D22" s="36" t="n">
        <x:v>46064</x:v>
      </x:c>
      <x:c r="E22" t="str">
        <x:f>IF(D22 &lt; TODAY(), "🔴 EXPIRED", IF(D22 &lt;= TODAY()+30, "🟡 DUE SOON", "🟢 OK"))</x:f>
        <x:v>🔴 EXPIRED</x:v>
      </x:c>
    </x:row>
    <x:row r="23">
      <x:c r="A23" t="inlineStr">
        <x:is>
          <x:t xml:space="preserve">T-122</x:t>
        </x:is>
      </x:c>
      <x:c r="B23" t="inlineStr">
        <x:is>
          <x:t xml:space="preserve">Driver 2</x:t>
        </x:is>
      </x:c>
      <x:c r="C23" s="36" t="n">
        <x:v>45843</x:v>
      </x:c>
      <x:c r="D23" s="36" t="n">
        <x:v>46106</x:v>
      </x:c>
      <x:c r="E23" t="str">
        <x:f>IF(D23 &lt; TODAY(), "🔴 EXPIRED", IF(D23 &lt;= TODAY()+30, "🟡 DUE SOON", "🟢 OK"))</x:f>
        <x:v>🔴 EXPIRED</x:v>
      </x:c>
    </x:row>
    <x:row r="24">
      <x:c r="A24" t="inlineStr">
        <x:is>
          <x:t xml:space="preserve">T-123</x:t>
        </x:is>
      </x:c>
      <x:c r="B24" t="inlineStr">
        <x:is>
          <x:t xml:space="preserve">Driver 3</x:t>
        </x:is>
      </x:c>
      <x:c r="C24" s="36" t="n">
        <x:v>45951</x:v>
      </x:c>
      <x:c r="D24" s="36" t="n">
        <x:v>46100</x:v>
      </x:c>
      <x:c r="E24" t="str">
        <x:f>IF(D24 &lt; TODAY(), "🔴 EXPIRED", IF(D24 &lt;= TODAY()+30, "🟡 DUE SOON", "🟢 OK"))</x:f>
        <x:v>🔴 EXPIRED</x:v>
      </x:c>
    </x:row>
    <x:row r="25">
      <x:c r="A25" t="inlineStr">
        <x:is>
          <x:t xml:space="preserve">T-124</x:t>
        </x:is>
      </x:c>
      <x:c r="B25" t="inlineStr">
        <x:is>
          <x:t xml:space="preserve">Driver 2</x:t>
        </x:is>
      </x:c>
      <x:c r="C25" s="36" t="n">
        <x:v>45873</x:v>
      </x:c>
      <x:c r="D25" s="36" t="n">
        <x:v>46102</x:v>
      </x:c>
      <x:c r="E25" t="str">
        <x:f>IF(D25 &lt; TODAY(), "🔴 EXPIRED", IF(D25 &lt;= TODAY()+30, "🟡 DUE SOON", "🟢 OK"))</x:f>
        <x:v>🔴 EXPIRED</x:v>
      </x:c>
    </x:row>
    <x:row r="26">
      <x:c r="A26" t="inlineStr">
        <x:is>
          <x:t xml:space="preserve">T-125</x:t>
        </x:is>
      </x:c>
      <x:c r="B26" t="inlineStr">
        <x:is>
          <x:t xml:space="preserve">Driver 2</x:t>
        </x:is>
      </x:c>
      <x:c r="C26" s="36" t="n">
        <x:v>45773</x:v>
      </x:c>
      <x:c r="D26" s="36" t="n">
        <x:v>46084</x:v>
      </x:c>
      <x:c r="E26" t="str">
        <x:f>IF(D26 &lt; TODAY(), "🔴 EXPIRED", IF(D26 &lt;= TODAY()+30, "🟡 DUE SOON", "🟢 OK"))</x:f>
        <x:v>🔴 EXPIRED</x:v>
      </x:c>
    </x:row>
  </x:sheetData>
  <x:conditionalFormatting sqref="E1:E1048576">
    <x:cfRule type="containsText" dxfId="0" priority="3" operator="containsText">
      <x:formula>NOT(ISERROR(SEARCH("Due Soon",E1)))</x:formula>
    </x:cfRule>
    <x:cfRule type="containsText" dxfId="1" priority="2" operator="containsText">
      <x:formula>NOT(ISERROR(SEARCH("expired",E1)))</x:formula>
    </x:cfRule>
    <x:cfRule type="containsText" dxfId="2" priority="1" operator="containsText">
      <x:formula>NOT(ISERROR(SEARCH("OK",E1)))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25"/>
  <x:sheetData/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25"/>
  <x:cols>
    <x:col min="1" max="1" width="36.625" style="24" customWidth="1"/>
    <x:col min="2" max="2" width="19.375" style="24" customWidth="1"/>
    <x:col min="3" max="3" width="17.875" style="24" customWidth="1"/>
    <x:col min="4" max="4" width="15.25" style="24" customWidth="1"/>
    <x:col min="5" max="5" width="14.875" style="24" customWidth="1"/>
    <x:col min="6" max="6" width="18.625" style="24" customWidth="1"/>
    <x:col min="7" max="7" width="24" style="24" customWidth="1"/>
    <x:col min="8" max="8" width="17.75" style="24" customWidth="1"/>
    <x:col min="9" max="12" width="20" style="24" customWidth="1"/>
    <x:col min="13" max="13" width="16" style="24" customWidth="1"/>
    <x:col min="14" max="14" width="18" style="24" customWidth="1"/>
    <x:col min="15" max="15" width="22" style="24" customWidth="1"/>
    <x:col min="16" max="16" width="55" style="24" customWidth="1"/>
    <x:col min="17" max="17" width="18" style="24" customWidth="1"/>
    <x:col min="18" max="18" width="18" style="24" customWidth="1"/>
    <x:col min="19" max="19" width="20" style="24" customWidth="1"/>
    <x:col min="20" max="20" width="16" style="24" customWidth="1"/>
    <x:col min="21" max="21" width="22" style="24" customWidth="1"/>
    <x:col min="22" max="22" width="28" style="24" customWidth="1"/>
    <x:col min="23" max="23" width="16" style="24" customWidth="1"/>
    <x:col min="24" max="24" width="12" style="24" customWidth="1"/>
    <x:col min="25" max="25" width="18" style="24" customWidth="1"/>
    <x:col min="26" max="26" width="22" style="24" customWidth="1"/>
    <x:col min="27" max="27" width="28" style="24" customWidth="1"/>
    <x:col min="28" max="28" width="16" style="24" customWidth="1"/>
    <x:col min="29" max="29" width="12" style="24" customWidth="1"/>
    <x:col min="30" max="30" width="18" style="24" customWidth="1"/>
    <x:col min="31" max="31" width="18" style="24" customWidth="1"/>
    <x:col min="32" max="32" width="14" style="24" customWidth="1"/>
    <x:col min="33" max="33" width="12" style="24" customWidth="1"/>
    <x:col min="34" max="34" width="12" style="24" customWidth="1"/>
    <x:col min="35" max="35" width="14" style="24" customWidth="1"/>
    <x:col min="36" max="36" width="20" style="24" customWidth="1"/>
    <x:col min="37" max="37" width="16" style="24" customWidth="1"/>
    <x:col min="38" max="38" width="14" style="24" customWidth="1"/>
    <x:col min="39" max="39" width="20" style="24" customWidth="1"/>
    <x:col min="40" max="40" width="14" style="24" customWidth="1"/>
    <x:col min="41" max="41" width="18" style="24" customWidth="1"/>
    <x:col min="42" max="42" width="20" style="24" customWidth="1"/>
    <x:col min="43" max="43" width="20" style="24" customWidth="1"/>
    <x:col min="44" max="44" width="22" style="24" customWidth="1"/>
    <x:col min="45" max="45" width="16" style="24" customWidth="1"/>
    <x:col min="46" max="46" width="18" style="24" customWidth="1"/>
    <x:col min="47" max="47" width="18" style="24" customWidth="1"/>
    <x:col min="48" max="48" width="14" style="24" customWidth="1"/>
    <x:col min="49" max="49" width="16" style="24" customWidth="1"/>
    <x:col min="50" max="50" width="14" style="24" customWidth="1"/>
    <x:col min="51" max="51" width="14" style="24" customWidth="1"/>
    <x:col min="52" max="52" width="16" style="24" customWidth="1"/>
    <x:col min="53" max="53" width="18" style="24" customWidth="1"/>
    <x:col min="54" max="54" width="20" style="24" customWidth="1"/>
    <x:col min="55" max="55" width="18" style="24" customWidth="1"/>
  </x:cols>
  <x:sheetData>
    <x:row r="1" s="10" customFormat="1" ht="27.75" customHeight="1">
      <x:c r="A1" s="37" t="inlineStr">
        <x:is>
          <x:t xml:space="preserve">Load ID</x:t>
        </x:is>
      </x:c>
      <x:c r="B1" s="37" t="inlineStr">
        <x:is>
          <x:t xml:space="preserve">Driver ID</x:t>
        </x:is>
      </x:c>
      <x:c r="C1" s="37" t="inlineStr">
        <x:is>
          <x:t xml:space="preserve">Asset ID</x:t>
        </x:is>
      </x:c>
      <x:c r="D1" s="37" t="inlineStr">
        <x:is>
          <x:t xml:space="preserve">Revenue</x:t>
        </x:is>
      </x:c>
      <x:c r="E1" s="37" t="inlineStr">
        <x:is>
          <x:t xml:space="preserve">Backhaul Pay</x:t>
        </x:is>
      </x:c>
      <x:c r="F1" s="37" t="inlineStr">
        <x:is>
          <x:t xml:space="preserve">Driver Signature?</x:t>
        </x:is>
      </x:c>
      <x:c r="G1" s="37" t="inlineStr">
        <x:is>
          <x:t xml:space="preserve">Load Status</x:t>
        </x:is>
      </x:c>
      <x:c r="H1" s="38" t="inlineStr">
        <x:is>
          <x:t xml:space="preserve">Reason for Pending Status</x:t>
        </x:is>
      </x:c>
      <x:c r="I1" t="inlineStr">
        <x:is>
          <x:t xml:space="preserve">Seal Number (Pickup)</x:t>
        </x:is>
      </x:c>
      <x:c r="J1" t="inlineStr">
        <x:is>
          <x:t xml:space="preserve">Seal Photo (Pickup)</x:t>
        </x:is>
      </x:c>
      <x:c r="K1" t="inlineStr">
        <x:is>
          <x:t xml:space="preserve">Seal Number (Delivery)</x:t>
        </x:is>
      </x:c>
      <x:c r="L1" t="inlineStr">
        <x:is>
          <x:t xml:space="preserve">Seal Photo (Delivery)</x:t>
        </x:is>
      </x:c>
      <x:c r="M1" t="inlineStr">
        <x:is>
          <x:t xml:space="preserve">Seal Status</x:t>
        </x:is>
      </x:c>
      <x:c r="N1" t="inlineStr">
        <x:is>
          <x:t xml:space="preserve">Exception Flag</x:t>
        </x:is>
      </x:c>
      <x:c r="O1" t="inlineStr">
        <x:is>
          <x:t xml:space="preserve">Override Reason</x:t>
        </x:is>
      </x:c>
      <x:c r="P1" t="inlineStr">
        <x:is>
          <x:t xml:space="preserve">Audit Log</x:t>
        </x:is>
      </x:c>
      <x:c r="Q1" s="37" t="inlineStr">
        <x:is>
          <x:t xml:space="preserve">Compliance Lock</x:t>
        </x:is>
      </x:c>
      <x:c r="R1" s="37" t="inlineStr">
        <x:is>
          <x:t xml:space="preserve">Dispatcher Name</x:t>
        </x:is>
      </x:c>
      <x:c r="S1" s="37" t="inlineStr">
        <x:is>
          <x:t xml:space="preserve">Broker Name</x:t>
        </x:is>
      </x:c>
      <x:c r="T1" s="37" t="inlineStr">
        <x:is>
          <x:t xml:space="preserve">Broker MC Number</x:t>
        </x:is>
      </x:c>
      <x:c r="U1" s="37" t="inlineStr">
        <x:is>
          <x:t xml:space="preserve">Shipper Name</x:t>
        </x:is>
      </x:c>
      <x:c r="V1" s="37" t="inlineStr">
        <x:is>
          <x:t xml:space="preserve">Pickup Address</x:t>
        </x:is>
      </x:c>
      <x:c r="W1" s="37" t="inlineStr">
        <x:is>
          <x:t xml:space="preserve">Pickup City</x:t>
        </x:is>
      </x:c>
      <x:c r="X1" s="37" t="inlineStr">
        <x:is>
          <x:t xml:space="preserve">Pickup State</x:t>
        </x:is>
      </x:c>
      <x:c r="Y1" s="37" t="inlineStr">
        <x:is>
          <x:t xml:space="preserve">Pickup Appointment</x:t>
        </x:is>
      </x:c>
      <x:c r="Z1" s="37" t="inlineStr">
        <x:is>
          <x:t xml:space="preserve">Consignee Name</x:t>
        </x:is>
      </x:c>
      <x:c r="AA1" s="37" t="inlineStr">
        <x:is>
          <x:t xml:space="preserve">Delivery Address</x:t>
        </x:is>
      </x:c>
      <x:c r="AB1" s="37" t="inlineStr">
        <x:is>
          <x:t xml:space="preserve">Delivery City</x:t>
        </x:is>
      </x:c>
      <x:c r="AC1" s="37" t="inlineStr">
        <x:is>
          <x:t xml:space="preserve">Delivery State</x:t>
        </x:is>
      </x:c>
      <x:c r="AD1" s="37" t="inlineStr">
        <x:is>
          <x:t xml:space="preserve">Delivery Appointment</x:t>
        </x:is>
      </x:c>
      <x:c r="AE1" s="37" t="inlineStr">
        <x:is>
          <x:t xml:space="preserve">Commodity</x:t>
        </x:is>
      </x:c>
      <x:c r="AF1" s="37" t="inlineStr">
        <x:is>
          <x:t xml:space="preserve">Weight (lbs)</x:t>
        </x:is>
      </x:c>
      <x:c r="AG1" s="37" t="inlineStr">
        <x:is>
          <x:t xml:space="preserve">Pallet Count</x:t>
        </x:is>
      </x:c>
      <x:c r="AH1" s="37" t="inlineStr">
        <x:is>
          <x:t xml:space="preserve">Piece Count</x:t>
        </x:is>
      </x:c>
      <x:c r="AI1" s="37" t="inlineStr">
        <x:is>
          <x:t xml:space="preserve">Trailer Number</x:t>
        </x:is>
      </x:c>
      <x:c r="AJ1" s="37" t="inlineStr">
        <x:is>
          <x:t xml:space="preserve">Rate Confirmation Number</x:t>
        </x:is>
      </x:c>
      <x:c r="AK1" s="37" t="inlineStr">
        <x:is>
          <x:t xml:space="preserve">BOL Number</x:t>
        </x:is>
      </x:c>
      <x:c r="AL1" s="37" t="inlineStr">
        <x:is>
          <x:t xml:space="preserve">POD Received?</x:t>
        </x:is>
      </x:c>
      <x:c r="AM1" s="37" t="inlineStr">
        <x:is>
          <x:t xml:space="preserve">POD Received Timestamp</x:t>
        </x:is>
      </x:c>
      <x:c r="AN1" s="37" t="inlineStr">
        <x:is>
          <x:t xml:space="preserve">Lumper Amount</x:t>
        </x:is>
      </x:c>
      <x:c r="AO1" s="37" t="inlineStr">
        <x:is>
          <x:t xml:space="preserve">RFID Tag ID</x:t>
        </x:is>
      </x:c>
      <x:c r="AP1" s="37" t="inlineStr">
        <x:is>
          <x:t xml:space="preserve">RFID Pickup Read Time</x:t>
        </x:is>
      </x:c>
      <x:c r="AQ1" s="37" t="inlineStr">
        <x:is>
          <x:t xml:space="preserve">RFID Delivery Read Time</x:t>
        </x:is>
      </x:c>
      <x:c r="AR1" s="37" t="inlineStr">
        <x:is>
          <x:t xml:space="preserve">RFID Reader Location</x:t>
        </x:is>
      </x:c>
      <x:c r="AS1" s="37" t="inlineStr">
        <x:is>
          <x:t xml:space="preserve">RFID Scan Status</x:t>
        </x:is>
      </x:c>
      <x:c r="AT1" s="37" t="inlineStr">
        <x:is>
          <x:t xml:space="preserve">RFID Exception</x:t>
        </x:is>
      </x:c>
      <x:c r="AU1" s="37" t="inlineStr">
        <x:is>
          <x:t xml:space="preserve">Insurance Claim ID</x:t>
        </x:is>
      </x:c>
      <x:c r="AV1" s="37" t="inlineStr">
        <x:is>
          <x:t xml:space="preserve">Claim Status</x:t>
        </x:is>
      </x:c>
      <x:c r="AW1" s="37" t="inlineStr">
        <x:is>
          <x:t xml:space="preserve">Claim Type</x:t>
        </x:is>
      </x:c>
      <x:c r="AX1" s="37" t="inlineStr">
        <x:is>
          <x:t xml:space="preserve">Date of Loss</x:t>
        </x:is>
      </x:c>
      <x:c r="AY1" s="37" t="inlineStr">
        <x:is>
          <x:t xml:space="preserve">Claim Amount</x:t>
        </x:is>
      </x:c>
      <x:c r="AZ1" s="37" t="inlineStr">
        <x:is>
          <x:t xml:space="preserve">Deductible Amount</x:t>
        </x:is>
      </x:c>
      <x:c r="BA1" s="37" t="inlineStr">
        <x:is>
          <x:t xml:space="preserve">Adjuster Name</x:t>
        </x:is>
      </x:c>
      <x:c r="BB1" s="37" t="inlineStr">
        <x:is>
          <x:t xml:space="preserve">Insurer Name</x:t>
        </x:is>
      </x:c>
      <x:c r="BC1" s="37" t="inlineStr">
        <x:is>
          <x:t xml:space="preserve">Policy Number</x:t>
        </x:is>
      </x:c>
      <x:c r="BD1" t="inlineStr">
        <x:is>
          <x:t xml:space="preserve">Origin</x:t>
        </x:is>
      </x:c>
      <x:c r="BE1" t="inlineStr">
        <x:is>
          <x:t xml:space="preserve">Destination</x:t>
        </x:is>
      </x:c>
      <x:c r="BF1" t="inlineStr">
        <x:is>
          <x:t xml:space="preserve">Pickup Date</x:t>
        </x:is>
      </x:c>
      <x:c r="BG1" t="inlineStr">
        <x:is>
          <x:t xml:space="preserve">Delivery Date</x:t>
        </x:is>
      </x:c>
      <x:c r="BH1" t="inlineStr">
        <x:is>
          <x:t xml:space="preserve">Pickup Time Window</x:t>
        </x:is>
      </x:c>
      <x:c r="BI1" t="inlineStr">
        <x:is>
          <x:t xml:space="preserve">Delivery Time Window</x:t>
        </x:is>
      </x:c>
      <x:c r="BJ1" t="inlineStr">
        <x:is>
          <x:t xml:space="preserve">Total Pay</x:t>
        </x:is>
      </x:c>
      <x:c r="BK1" t="inlineStr">
        <x:is>
          <x:t xml:space="preserve">Linehaul Rate</x:t>
        </x:is>
      </x:c>
      <x:c r="BL1" t="inlineStr">
        <x:is>
          <x:t xml:space="preserve">Fuel Surcharge</x:t>
        </x:is>
      </x:c>
      <x:c r="BM1" t="inlineStr">
        <x:is>
          <x:t xml:space="preserve">Detention Pay</x:t>
        </x:is>
      </x:c>
      <x:c r="BN1" t="inlineStr">
        <x:is>
          <x:t xml:space="preserve">Accessorial Pay</x:t>
        </x:is>
      </x:c>
      <x:c r="BO1" t="inlineStr">
        <x:is>
          <x:t xml:space="preserve">Miles</x:t>
        </x:is>
      </x:c>
      <x:c r="BP1" t="inlineStr">
        <x:is>
          <x:t xml:space="preserve">Broker Load Number</x:t>
        </x:is>
      </x:c>
      <x:c r="BQ1" t="inlineStr">
        <x:is>
          <x:t xml:space="preserve">Customer PO Number</x:t>
        </x:is>
      </x:c>
      <x:c r="BR1" t="inlineStr">
        <x:is>
          <x:t xml:space="preserve">POD Status</x:t>
        </x:is>
      </x:c>
      <x:c r="BS1" t="inlineStr">
        <x:is>
          <x:t xml:space="preserve">POD URL</x:t>
        </x:is>
      </x:c>
      <x:c r="BT1" t="inlineStr">
        <x:is>
          <x:t xml:space="preserve">POD Signed By</x:t>
        </x:is>
      </x:c>
      <x:c r="BU1" t="inlineStr">
        <x:is>
          <x:t xml:space="preserve">BOL Status</x:t>
        </x:is>
      </x:c>
      <x:c r="BV1" t="inlineStr">
        <x:is>
          <x:t xml:space="preserve">BOL Generated Date</x:t>
        </x:is>
      </x:c>
      <x:c r="BW1" t="inlineStr">
        <x:is>
          <x:t xml:space="preserve">Rate Confirmation Status</x:t>
        </x:is>
      </x:c>
      <x:c r="BX1" t="inlineStr">
        <x:is>
          <x:t xml:space="preserve">Rate Confirmation Date</x:t>
        </x:is>
      </x:c>
      <x:c r="BY1" t="inlineStr">
        <x:is>
          <x:t xml:space="preserve">RFID Trailer Tag ID</x:t>
        </x:is>
      </x:c>
      <x:c r="BZ1" t="inlineStr">
        <x:is>
          <x:t xml:space="preserve">RFID Cargo Tag ID</x:t>
        </x:is>
      </x:c>
      <x:c r="CA1" t="inlineStr">
        <x:is>
          <x:t xml:space="preserve">RFID Last Scan Time</x:t>
        </x:is>
      </x:c>
      <x:c r="CB1" t="inlineStr">
        <x:is>
          <x:t xml:space="preserve">RFID Last Scan Location</x:t>
        </x:is>
      </x:c>
      <x:c r="CC1" t="inlineStr">
        <x:is>
          <x:t xml:space="preserve">Insurance Required?</x:t>
        </x:is>
      </x:c>
      <x:c r="CD1" t="inlineStr">
        <x:is>
          <x:t xml:space="preserve">Claim Notes</x:t>
        </x:is>
      </x:c>
      <x:c r="CE1" t="inlineStr">
        <x:is>
          <x:t xml:space="preserve">Claim Reserve Amount</x:t>
        </x:is>
      </x:c>
      <x:c r="CF1" t="inlineStr">
        <x:is>
          <x:t xml:space="preserve">Estimated Claim Exposure</x:t>
        </x:is>
      </x:c>
      <x:c r="CG1" t="inlineStr">
        <x:is>
          <x:t xml:space="preserve">Insurance Coverage Type</x:t>
        </x:is>
      </x:c>
      <x:c r="CH1" t="inlineStr">
        <x:is>
          <x:t xml:space="preserve">Incident Report Linked?</x:t>
        </x:is>
      </x:c>
      <x:c r="CI1" t="inlineStr">
        <x:is>
          <x:t xml:space="preserve">Proof Bundle Complete?</x:t>
        </x:is>
      </x:c>
    </x:row>
    <x:row r="2" s="24" customFormat="1" ht="15" customHeight="1">
      <x:c r="A2" s="11" t="inlineStr">
        <x:is>
          <x:t xml:space="preserve">L-501</x:t>
        </x:is>
      </x:c>
      <x:c r="B2" s="11" t="inlineStr">
        <x:is>
          <x:t xml:space="preserve">Driver 1</x:t>
        </x:is>
      </x:c>
      <x:c r="C2" s="11" t="inlineStr">
        <x:is>
          <x:t xml:space="preserve">T-102</x:t>
        </x:is>
      </x:c>
      <x:c r="D2" s="69" t="n">
        <x:v>2000</x:v>
      </x:c>
      <x:c r="E2" s="69" t="n">
        <x:v>65</x:v>
      </x:c>
      <x:c r="F2" s="26" t="inlineStr">
        <x:is>
          <x:t xml:space="preserve">No</x:t>
        </x:is>
      </x:c>
      <x:c r="G2" s="11" t="inlineStr">
        <x:is>
          <x:t xml:space="preserve">Delivered</x:t>
        </x:is>
      </x:c>
      <x:c r="H2" s="13" t="n"/>
      <x:c r="I2" t="inlineStr">
        <x:is>
          <x:t xml:space="preserve">SEAL-83921</x:t>
        </x:is>
      </x:c>
      <x:c r="J2" t="inlineStr">
        <x:is>
          <x:t xml:space="preserve">pickup_photo_01.jpg</x:t>
        </x:is>
      </x:c>
      <x:c r="K2" t="inlineStr">
        <x:is>
          <x:t xml:space="preserve">SEAL-83920</x:t>
        </x:is>
      </x:c>
      <x:c r="L2" t="inlineStr">
        <x:is>
          <x:t xml:space="preserve">delivery_photo_01.jpg</x:t>
        </x:is>
      </x:c>
      <x:c r="M2" t="str">
        <x:f>IF(K2="","Pending",IF(K2&lt;&gt;I2,"Mismatch","Verified"))</x:f>
        <x:v>Mismatch</x:v>
      </x:c>
      <x:c r="N2" t="str">
        <x:f>IF(M2="Mismatch","SEAL MISMATCH","")</x:f>
        <x:v>SEAL MISMATCH</x:v>
      </x:c>
      <x:c r="P2" t="str">
        <x:f>IF(M2="Mismatch","Seal mismatch detected. Pickup: "&amp;I2&amp;" Delivery: "&amp;K2&amp;" | Override: "&amp;IF(O2="","None",O2),"")</x:f>
        <x:v>Seal mismatch detected. Pickup: SEAL-83921 Delivery: SEAL-83920 | Override: None</x:v>
      </x:c>
      <x:c r="Q2" t="str">
        <x:f>IF(N2="SEAL MISMATCH",IF(O2="","LOCKED","OVERRIDDEN"),"CLEAR")</x:f>
        <x:v>LOCKED</x:v>
      </x:c>
      <x:c r="R2" t="inlineStr">
        <x:is>
          <x:t xml:space="preserve">Tina Brooks</x:t>
        </x:is>
      </x:c>
      <x:c r="S2" t="inlineStr">
        <x:is>
          <x:t xml:space="preserve">BlueLine Logistics</x:t>
        </x:is>
      </x:c>
      <x:c r="T2" t="inlineStr">
        <x:is>
          <x:t xml:space="preserve">MC-782104</x:t>
        </x:is>
      </x:c>
      <x:c r="U2" t="inlineStr">
        <x:is>
          <x:t xml:space="preserve">Peachtree Foods</x:t>
        </x:is>
      </x:c>
      <x:c r="V2" t="inlineStr">
        <x:is>
          <x:t xml:space="preserve">1450 Industrial Pkwy</x:t>
        </x:is>
      </x:c>
      <x:c r="W2" t="inlineStr">
        <x:is>
          <x:t xml:space="preserve">Atlanta</x:t>
        </x:is>
      </x:c>
      <x:c r="X2" t="inlineStr">
        <x:is>
          <x:t xml:space="preserve">GA</x:t>
        </x:is>
      </x:c>
      <x:c r="Y2" s="57" t="n">
        <x:v>45839.41666666666</x:v>
      </x:c>
      <x:c r="Z2" t="inlineStr">
        <x:is>
          <x:t xml:space="preserve">Desert Valley Grocers</x:t>
        </x:is>
      </x:c>
      <x:c r="AA2" t="inlineStr">
        <x:is>
          <x:t xml:space="preserve">504 Mesa Park</x:t>
        </x:is>
      </x:c>
      <x:c r="AB2" t="inlineStr">
        <x:is>
          <x:t xml:space="preserve">Phoenix</x:t>
        </x:is>
      </x:c>
      <x:c r="AC2" t="inlineStr">
        <x:is>
          <x:t xml:space="preserve">AZ</x:t>
        </x:is>
      </x:c>
      <x:c r="AD2" s="57" t="n">
        <x:v>45842.75</x:v>
      </x:c>
      <x:c r="AE2" t="inlineStr">
        <x:is>
          <x:t xml:space="preserve">Frozen foods</x:t>
        </x:is>
      </x:c>
      <x:c r="AF2" s="68" t="n">
        <x:v>26024</x:v>
      </x:c>
      <x:c r="AG2" s="68" t="n">
        <x:v>19</x:v>
      </x:c>
      <x:c r="AH2" s="68" t="n">
        <x:v>456</x:v>
      </x:c>
      <x:c r="AI2" t="inlineStr">
        <x:is>
          <x:t xml:space="preserve">TRL-2854</x:t>
        </x:is>
      </x:c>
      <x:c r="AJ2" t="inlineStr">
        <x:is>
          <x:t xml:space="preserve">RC-501-204</x:t>
        </x:is>
      </x:c>
      <x:c r="AK2" t="inlineStr">
        <x:is>
          <x:t xml:space="preserve">BOL-501-9935</x:t>
        </x:is>
      </x:c>
      <x:c r="AL2" t="inlineStr">
        <x:is>
          <x:t xml:space="preserve">YES</x:t>
        </x:is>
      </x:c>
      <x:c r="AM2" s="57" t="n">
        <x:v>45842.79166666666</x:v>
      </x:c>
      <x:c r="AN2" s="64" t="n">
        <x:v>315</x:v>
      </x:c>
      <x:c r="AO2" t="inlineStr">
        <x:is>
          <x:t xml:space="preserve">RFID-501-65302</x:t>
        </x:is>
      </x:c>
      <x:c r="AP2" s="57" t="n">
        <x:v>45839.42152777778</x:v>
      </x:c>
      <x:c r="AQ2" s="57" t="n">
        <x:v>45842.75763888889</x:v>
      </x:c>
      <x:c r="AR2" t="inlineStr">
        <x:is>
          <x:t xml:space="preserve">Atlanta Yard Gate 1</x:t>
        </x:is>
      </x:c>
      <x:c r="AS2" t="inlineStr">
        <x:is>
          <x:t xml:space="preserve">VERIFIED</x:t>
        </x:is>
      </x:c>
      <x:c r="AT2" t="inlineStr">
        <x:is>
          <x:t xml:space="preserve"/>
        </x:is>
      </x:c>
      <x:c r="AU2" t="inlineStr">
        <x:is>
          <x:t xml:space="preserve"/>
        </x:is>
      </x:c>
      <x:c r="AV2" t="inlineStr">
        <x:is>
          <x:t xml:space="preserve">NO_CLAIM</x:t>
        </x:is>
      </x:c>
      <x:c r="AW2" t="inlineStr">
        <x:is>
          <x:t xml:space="preserve"/>
        </x:is>
      </x:c>
      <x:c r="AX2" s="55" t="n"/>
      <x:c r="AY2" s="64" t="n">
        <x:v>0</x:v>
      </x:c>
      <x:c r="AZ2" s="64" t="n">
        <x:v>500</x:v>
      </x:c>
      <x:c r="BA2" t="inlineStr">
        <x:is>
          <x:t xml:space="preserve"/>
        </x:is>
      </x:c>
      <x:c r="BB2" t="inlineStr">
        <x:is>
          <x:t xml:space="preserve">Progressive Commercial</x:t>
        </x:is>
      </x:c>
      <x:c r="BC2" t="inlineStr">
        <x:is>
          <x:t xml:space="preserve">POL-660002</x:t>
        </x:is>
      </x:c>
      <x:c r="BD2" t="inlineStr">
        <x:is>
          <x:t xml:space="preserve">Acme Distribution - Cleveland, OH</x:t>
        </x:is>
      </x:c>
      <x:c r="BE2" t="inlineStr">
        <x:is>
          <x:t xml:space="preserve">Metro Fulfillment - Dallas, TX</x:t>
        </x:is>
      </x:c>
      <x:c r="BF2" s="55" t="n">
        <x:v>46204</x:v>
      </x:c>
      <x:c r="BG2" s="55" t="n">
        <x:v>46205</x:v>
      </x:c>
      <x:c r="BH2" t="inlineStr">
        <x:is>
          <x:t xml:space="preserve">10:00-13:00</x:t>
        </x:is>
      </x:c>
      <x:c r="BI2" t="inlineStr">
        <x:is>
          <x:t xml:space="preserve">09:00-13:00</x:t>
        </x:is>
      </x:c>
      <x:c r="BJ2" s="64" t="n">
        <x:v>2065</x:v>
      </x:c>
      <x:c r="BK2" s="64" t="n">
        <x:v>1640</x:v>
      </x:c>
      <x:c r="BL2" s="64" t="n">
        <x:v>240</x:v>
      </x:c>
      <x:c r="BM2" s="64" t="n">
        <x:v>0</x:v>
      </x:c>
      <x:c r="BN2" s="64" t="n">
        <x:v>120</x:v>
      </x:c>
      <x:c r="BO2" t="n">
        <x:v>240</x:v>
      </x:c>
      <x:c r="BP2" t="inlineStr">
        <x:is>
          <x:t xml:space="preserve">BLN-100500</x:t>
        </x:is>
      </x:c>
      <x:c r="BQ2" t="inlineStr">
        <x:is>
          <x:t xml:space="preserve">PO-84000</x:t>
        </x:is>
      </x:c>
      <x:c r="BR2" t="inlineStr">
        <x:is>
          <x:t xml:space="preserve">RECEIVED</x:t>
        </x:is>
      </x:c>
      <x:c r="BS2" t="inlineStr">
        <x:is>
          <x:t xml:space="preserve">/proof/pod/L-501.jpg</x:t>
        </x:is>
      </x:c>
      <x:c r="BT2" t="inlineStr">
        <x:is>
          <x:t xml:space="preserve">Warehouse Clerk</x:t>
        </x:is>
      </x:c>
      <x:c r="BU2" t="inlineStr">
        <x:is>
          <x:t xml:space="preserve">UPLOADED</x:t>
        </x:is>
      </x:c>
      <x:c r="BV2" s="55" t="n">
        <x:v>46204</x:v>
      </x:c>
      <x:c r="BW2" t="inlineStr">
        <x:is>
          <x:t xml:space="preserve">UPLOADED</x:t>
        </x:is>
      </x:c>
      <x:c r="BX2" s="55" t="n">
        <x:v>46203</x:v>
      </x:c>
      <x:c r="BY2" t="inlineStr">
        <x:is>
          <x:t xml:space="preserve">TRAIL-2002</x:t>
        </x:is>
      </x:c>
      <x:c r="BZ2" t="inlineStr">
        <x:is>
          <x:t xml:space="preserve">CARGO-5002</x:t>
        </x:is>
      </x:c>
      <x:c r="CA2" s="57" t="n">
        <x:v>46205.42708333334</x:v>
      </x:c>
      <x:c r="CB2" t="inlineStr">
        <x:is>
          <x:t xml:space="preserve">Dock Door 3</x:t>
        </x:is>
      </x:c>
      <x:c r="CC2" t="inlineStr">
        <x:is>
          <x:t xml:space="preserve">NO</x:t>
        </x:is>
      </x:c>
      <x:c r="CD2" t="inlineStr">
        <x:is>
          <x:t xml:space="preserve">No active claim</x:t>
        </x:is>
      </x:c>
      <x:c r="CE2" s="64" t="n">
        <x:v>0</x:v>
      </x:c>
      <x:c r="CF2" s="64" t="n">
        <x:v>0</x:v>
      </x:c>
      <x:c r="CG2" t="inlineStr">
        <x:is>
          <x:t xml:space="preserve">Motor Truck Cargo</x:t>
        </x:is>
      </x:c>
      <x:c r="CH2" t="inlineStr">
        <x:is>
          <x:t xml:space="preserve">NO</x:t>
        </x:is>
      </x:c>
      <x:c r="CI2" t="inlineStr">
        <x:is>
          <x:t xml:space="preserve">YES</x:t>
        </x:is>
      </x:c>
    </x:row>
    <x:row r="3" s="24" customFormat="1" ht="15" customHeight="1">
      <x:c r="A3" s="11" t="inlineStr">
        <x:is>
          <x:t xml:space="preserve">L-502</x:t>
        </x:is>
      </x:c>
      <x:c r="B3" s="11" t="inlineStr">
        <x:is>
          <x:t xml:space="preserve">Driver 2</x:t>
        </x:is>
      </x:c>
      <x:c r="C3" s="11" t="inlineStr">
        <x:is>
          <x:t xml:space="preserve">T-101</x:t>
        </x:is>
      </x:c>
      <x:c r="D3" s="69" t="n">
        <x:v>1800</x:v>
      </x:c>
      <x:c r="E3" s="69" t="n">
        <x:v>95</x:v>
      </x:c>
      <x:c r="F3" s="26" t="inlineStr">
        <x:is>
          <x:t xml:space="preserve">No</x:t>
        </x:is>
      </x:c>
      <x:c r="G3" s="11" t="inlineStr">
        <x:is>
          <x:t xml:space="preserve">In-Transit</x:t>
        </x:is>
      </x:c>
      <x:c r="H3" s="13" t="n"/>
      <x:c r="I3" t="inlineStr">
        <x:is>
          <x:t xml:space="preserve">SEAL-55219</x:t>
        </x:is>
      </x:c>
      <x:c r="J3" t="inlineStr">
        <x:is>
          <x:t xml:space="preserve">pickup_photo_02.jpg</x:t>
        </x:is>
      </x:c>
      <x:c r="K3" t="inlineStr">
        <x:is>
          <x:t xml:space="preserve">SEAL-55219</x:t>
        </x:is>
      </x:c>
      <x:c r="L3" t="inlineStr">
        <x:is>
          <x:t xml:space="preserve">delivery_photo_02.jpg</x:t>
        </x:is>
      </x:c>
      <x:c r="M3" t="str">
        <x:f>IF(K3="","Pending",IF(K3&lt;&gt;I3,"Mismatch","Verified"))</x:f>
        <x:v>Verified</x:v>
      </x:c>
      <x:c r="N3" t="str">
        <x:f>IF(M3="Mismatch","SEAL MISMATCH","")</x:f>
      </x:c>
      <x:c r="P3" t="str">
        <x:f>IF(M3="Mismatch","Seal mismatch detected. Pickup: "&amp;I3&amp;" Delivery: "&amp;K3&amp;" | Override: "&amp;IF(O3="","None",O3),"")</x:f>
      </x:c>
      <x:c r="Q3" t="str">
        <x:f>IF(N3="SEAL MISMATCH",IF(O3="","LOCKED","OVERRIDDEN"),"CLEAR")</x:f>
        <x:v>CLEAR</x:v>
      </x:c>
      <x:c r="R3" t="inlineStr">
        <x:is>
          <x:t xml:space="preserve">Jamal Reeves</x:t>
        </x:is>
      </x:c>
      <x:c r="S3" t="inlineStr">
        <x:is>
          <x:t xml:space="preserve">Summit Freight</x:t>
        </x:is>
      </x:c>
      <x:c r="T3" t="inlineStr">
        <x:is>
          <x:t xml:space="preserve">MC-641255</x:t>
        </x:is>
      </x:c>
      <x:c r="U3" t="inlineStr">
        <x:is>
          <x:t xml:space="preserve">Lakeside Plastics</x:t>
        </x:is>
      </x:c>
      <x:c r="V3" t="inlineStr">
        <x:is>
          <x:t xml:space="preserve">880 Harbor Dr</x:t>
        </x:is>
      </x:c>
      <x:c r="W3" t="inlineStr">
        <x:is>
          <x:t xml:space="preserve">Cleveland</x:t>
        </x:is>
      </x:c>
      <x:c r="X3" t="inlineStr">
        <x:is>
          <x:t xml:space="preserve">OH</x:t>
        </x:is>
      </x:c>
      <x:c r="Y3" s="57" t="n">
        <x:v>45841.5</x:v>
      </x:c>
      <x:c r="Z3" t="inlineStr">
        <x:is>
          <x:t xml:space="preserve">Great Lakes Foods</x:t>
        </x:is>
      </x:c>
      <x:c r="AA3" t="inlineStr">
        <x:is>
          <x:t xml:space="preserve">109 Shoreline Dr</x:t>
        </x:is>
      </x:c>
      <x:c r="AB3" t="inlineStr">
        <x:is>
          <x:t xml:space="preserve">Detroit</x:t>
        </x:is>
      </x:c>
      <x:c r="AC3" t="inlineStr">
        <x:is>
          <x:t xml:space="preserve">MI</x:t>
        </x:is>
      </x:c>
      <x:c r="AD3" s="57" t="n">
        <x:v>45845.08333333334</x:v>
      </x:c>
      <x:c r="AE3" t="inlineStr">
        <x:is>
          <x:t xml:space="preserve">Dry groceries</x:t>
        </x:is>
      </x:c>
      <x:c r="AF3" s="68" t="n">
        <x:v>40981</x:v>
      </x:c>
      <x:c r="AG3" s="68" t="n">
        <x:v>25</x:v>
      </x:c>
      <x:c r="AH3" s="68" t="n">
        <x:v>675</x:v>
      </x:c>
      <x:c r="AI3" t="inlineStr">
        <x:is>
          <x:t xml:space="preserve">TRL-2559</x:t>
        </x:is>
      </x:c>
      <x:c r="AJ3" t="inlineStr">
        <x:is>
          <x:t xml:space="preserve">RC-502-703</x:t>
        </x:is>
      </x:c>
      <x:c r="AK3" t="inlineStr">
        <x:is>
          <x:t xml:space="preserve">BOL-502-5557</x:t>
        </x:is>
      </x:c>
      <x:c r="AL3" t="inlineStr">
        <x:is>
          <x:t xml:space="preserve">PENDING</x:t>
        </x:is>
      </x:c>
      <x:c r="AM3" s="57" t="n">
        <x:v>46207.45833333334</x:v>
      </x:c>
      <x:c r="AN3" s="64" t="n">
        <x:v>0</x:v>
      </x:c>
      <x:c r="AO3" t="inlineStr">
        <x:is>
          <x:t xml:space="preserve">RFID-502-30926</x:t>
        </x:is>
      </x:c>
      <x:c r="AP3" s="57" t="n">
        <x:v>45841.52222222222</x:v>
      </x:c>
      <x:c r="AQ3" s="57" t="n">
        <x:v>46207.41666666666</x:v>
      </x:c>
      <x:c r="AR3" t="inlineStr">
        <x:is>
          <x:t xml:space="preserve">Cleveland Yard Gate 3</x:t>
        </x:is>
      </x:c>
      <x:c r="AS3" t="inlineStr">
        <x:is>
          <x:t xml:space="preserve">PENDING_DELIVERY</x:t>
        </x:is>
      </x:c>
      <x:c r="AT3" t="inlineStr">
        <x:is>
          <x:t xml:space="preserve"/>
        </x:is>
      </x:c>
      <x:c r="AU3" t="inlineStr">
        <x:is>
          <x:t xml:space="preserve">CLM-2026003</x:t>
        </x:is>
      </x:c>
      <x:c r="AV3" t="inlineStr">
        <x:is>
          <x:t xml:space="preserve">UNDER_REVIEW</x:t>
        </x:is>
      </x:c>
      <x:c r="AW3" t="inlineStr">
        <x:is>
          <x:t xml:space="preserve">Lumper Dispute</x:t>
        </x:is>
      </x:c>
      <x:c r="AX3" s="55" t="n">
        <x:v>46207</x:v>
      </x:c>
      <x:c r="AY3" s="64" t="n">
        <x:v>2500</x:v>
      </x:c>
      <x:c r="AZ3" s="64" t="n">
        <x:v>500</x:v>
      </x:c>
      <x:c r="BA3" t="inlineStr">
        <x:is>
          <x:t xml:space="preserve">Taylor Brooks</x:t>
        </x:is>
      </x:c>
      <x:c r="BB3" t="inlineStr">
        <x:is>
          <x:t xml:space="preserve">Great West Casualty</x:t>
        </x:is>
      </x:c>
      <x:c r="BC3" t="inlineStr">
        <x:is>
          <x:t xml:space="preserve">POL-660003</x:t>
        </x:is>
      </x:c>
      <x:c r="BD3" t="inlineStr">
        <x:is>
          <x:t xml:space="preserve">Midwest Foods - Chicago, IL</x:t>
        </x:is>
      </x:c>
      <x:c r="BE3" t="inlineStr">
        <x:is>
          <x:t xml:space="preserve">South Hub DC - Memphis, TN</x:t>
        </x:is>
      </x:c>
      <x:c r="BF3" s="55" t="n">
        <x:v>46206</x:v>
      </x:c>
      <x:c r="BG3" s="55" t="n">
        <x:v>46207</x:v>
      </x:c>
      <x:c r="BH3" t="inlineStr">
        <x:is>
          <x:t xml:space="preserve">08:00-11:00</x:t>
        </x:is>
      </x:c>
      <x:c r="BI3" t="inlineStr">
        <x:is>
          <x:t xml:space="preserve">10:00-14:00</x:t>
        </x:is>
      </x:c>
      <x:c r="BJ3" s="64" t="n">
        <x:v>1895</x:v>
      </x:c>
      <x:c r="BK3" s="64" t="n">
        <x:v>1476</x:v>
      </x:c>
      <x:c r="BL3" s="64" t="n">
        <x:v>216</x:v>
      </x:c>
      <x:c r="BM3" s="64" t="n">
        <x:v>50</x:v>
      </x:c>
      <x:c r="BN3" s="64" t="n">
        <x:v>58</x:v>
      </x:c>
      <x:c r="BO3" t="n">
        <x:v>297</x:v>
      </x:c>
      <x:c r="BP3" t="inlineStr">
        <x:is>
          <x:t xml:space="preserve">BLN-100501</x:t>
        </x:is>
      </x:c>
      <x:c r="BQ3" t="inlineStr">
        <x:is>
          <x:t xml:space="preserve">PO-84001</x:t>
        </x:is>
      </x:c>
      <x:c r="BR3" t="inlineStr">
        <x:is>
          <x:t xml:space="preserve">PENDING</x:t>
        </x:is>
      </x:c>
      <x:c r="BS3" t="inlineStr">
        <x:is>
          <x:t xml:space="preserve">/proof/pod/L-502.jpg</x:t>
        </x:is>
      </x:c>
      <x:c r="BT3" t="inlineStr">
        <x:is>
          <x:t xml:space="preserve">Receiver</x:t>
        </x:is>
      </x:c>
      <x:c r="BU3" t="inlineStr">
        <x:is>
          <x:t xml:space="preserve">UPLOADED</x:t>
        </x:is>
      </x:c>
      <x:c r="BV3" s="55" t="n">
        <x:v>46206</x:v>
      </x:c>
      <x:c r="BW3" t="inlineStr">
        <x:is>
          <x:t xml:space="preserve">UPLOADED</x:t>
        </x:is>
      </x:c>
      <x:c r="BX3" s="55" t="n">
        <x:v>46205</x:v>
      </x:c>
      <x:c r="BY3" t="inlineStr">
        <x:is>
          <x:t xml:space="preserve">TRAIL-2003</x:t>
        </x:is>
      </x:c>
      <x:c r="BZ3" t="inlineStr">
        <x:is>
          <x:t xml:space="preserve">CARGO-5003</x:t>
        </x:is>
      </x:c>
      <x:c r="CA3" s="57" t="n">
        <x:v>46207.42708333334</x:v>
      </x:c>
      <x:c r="CB3" t="inlineStr">
        <x:is>
          <x:t xml:space="preserve">Yard Gate A</x:t>
        </x:is>
      </x:c>
      <x:c r="CC3" t="inlineStr">
        <x:is>
          <x:t xml:space="preserve">YES</x:t>
        </x:is>
      </x:c>
      <x:c r="CD3" t="inlineStr">
        <x:is>
          <x:t xml:space="preserve">Seal mismatch review</x:t>
        </x:is>
      </x:c>
      <x:c r="CE3" s="64" t="n">
        <x:v>2125</x:v>
      </x:c>
      <x:c r="CF3" s="64" t="n">
        <x:v>2500</x:v>
      </x:c>
      <x:c r="CG3" t="inlineStr">
        <x:is>
          <x:t xml:space="preserve">Auto Liability</x:t>
        </x:is>
      </x:c>
      <x:c r="CH3" t="inlineStr">
        <x:is>
          <x:t xml:space="preserve">YES</x:t>
        </x:is>
      </x:c>
      <x:c r="CI3" t="inlineStr">
        <x:is>
          <x:t xml:space="preserve">YES</x:t>
        </x:is>
      </x:c>
    </x:row>
    <x:row r="4" s="24" customFormat="1" ht="15" customHeight="1">
      <x:c r="A4" s="11" t="inlineStr">
        <x:is>
          <x:t xml:space="preserve">L-503</x:t>
        </x:is>
      </x:c>
      <x:c r="B4" s="11" t="inlineStr">
        <x:is>
          <x:t xml:space="preserve">Driver 3</x:t>
        </x:is>
      </x:c>
      <x:c r="C4" s="11" t="inlineStr">
        <x:is>
          <x:t xml:space="preserve">T-107</x:t>
        </x:is>
      </x:c>
      <x:c r="D4" s="69" t="n">
        <x:v>2100</x:v>
      </x:c>
      <x:c r="E4" s="69" t="n">
        <x:v>45</x:v>
      </x:c>
      <x:c r="F4" s="26" t="inlineStr">
        <x:is>
          <x:t xml:space="preserve">No</x:t>
        </x:is>
      </x:c>
      <x:c r="G4" s="11" t="inlineStr">
        <x:is>
          <x:t xml:space="preserve">Delivered</x:t>
        </x:is>
      </x:c>
      <x:c r="H4" s="13" t="n"/>
      <x:c r="I4" t="inlineStr">
        <x:is>
          <x:t xml:space="preserve">SEAL-77102</x:t>
        </x:is>
      </x:c>
      <x:c r="J4" t="inlineStr">
        <x:is>
          <x:t xml:space="preserve">pickup_photo_03.jpg</x:t>
        </x:is>
      </x:c>
      <x:c r="M4" t="str">
        <x:f>IF(K4="","Pending",IF(K4&lt;&gt;I4,"Mismatch","Verified"))</x:f>
        <x:v>Pending</x:v>
      </x:c>
      <x:c r="N4" t="str">
        <x:f>IF(M4="Mismatch","SEAL MISMATCH","")</x:f>
      </x:c>
      <x:c r="P4" t="str">
        <x:f>IF(M4="Mismatch","Seal mismatch detected. Pickup: "&amp;I4&amp;" Delivery: "&amp;K4&amp;" | Override: "&amp;IF(O4="","None",O4),"")</x:f>
      </x:c>
      <x:c r="Q4" t="str">
        <x:f>IF(N4="SEAL MISMATCH",IF(O4="","LOCKED","OVERRIDDEN"),"CLEAR")</x:f>
        <x:v>CLEAR</x:v>
      </x:c>
      <x:c r="R4" t="inlineStr">
        <x:is>
          <x:t xml:space="preserve">Morgan Patel</x:t>
        </x:is>
      </x:c>
      <x:c r="S4" t="inlineStr">
        <x:is>
          <x:t xml:space="preserve">IronRoute Transport</x:t>
        </x:is>
      </x:c>
      <x:c r="T4" t="inlineStr">
        <x:is>
          <x:t xml:space="preserve">MC-518903</x:t>
        </x:is>
      </x:c>
      <x:c r="U4" t="inlineStr">
        <x:is>
          <x:t xml:space="preserve">Midwest Paper Co.</x:t>
        </x:is>
      </x:c>
      <x:c r="V4" t="inlineStr">
        <x:is>
          <x:t xml:space="preserve">2210 Mill Rd</x:t>
        </x:is>
      </x:c>
      <x:c r="W4" t="inlineStr">
        <x:is>
          <x:t xml:space="preserve">Columbus</x:t>
        </x:is>
      </x:c>
      <x:c r="X4" t="inlineStr">
        <x:is>
          <x:t xml:space="preserve">OH</x:t>
        </x:is>
      </x:c>
      <x:c r="Y4" s="57" t="n">
        <x:v>45843.625</x:v>
      </x:c>
      <x:c r="Z4" t="inlineStr">
        <x:is>
          <x:t xml:space="preserve">Capital Retail Hub</x:t>
        </x:is>
      </x:c>
      <x:c r="AA4" t="inlineStr">
        <x:is>
          <x:t xml:space="preserve">755 Market Loop</x:t>
        </x:is>
      </x:c>
      <x:c r="AB4" t="inlineStr">
        <x:is>
          <x:t xml:space="preserve">Indianapolis</x:t>
        </x:is>
      </x:c>
      <x:c r="AC4" t="inlineStr">
        <x:is>
          <x:t xml:space="preserve">IN</x:t>
        </x:is>
      </x:c>
      <x:c r="AD4" s="57" t="n">
        <x:v>45845.04166666666</x:v>
      </x:c>
      <x:c r="AE4" t="inlineStr">
        <x:is>
          <x:t xml:space="preserve">Plastic resins</x:t>
        </x:is>
      </x:c>
      <x:c r="AF4" s="68" t="n">
        <x:v>21169</x:v>
      </x:c>
      <x:c r="AG4" s="68" t="n">
        <x:v>23</x:v>
      </x:c>
      <x:c r="AH4" s="68" t="n">
        <x:v>1081</x:v>
      </x:c>
      <x:c r="AI4" t="inlineStr">
        <x:is>
          <x:t xml:space="preserve">TRL-2452</x:t>
        </x:is>
      </x:c>
      <x:c r="AJ4" t="inlineStr">
        <x:is>
          <x:t xml:space="preserve">RC-503-718</x:t>
        </x:is>
      </x:c>
      <x:c r="AK4" t="inlineStr">
        <x:is>
          <x:t xml:space="preserve">BOL-503-5333</x:t>
        </x:is>
      </x:c>
      <x:c r="AL4" t="inlineStr">
        <x:is>
          <x:t xml:space="preserve">YES</x:t>
        </x:is>
      </x:c>
      <x:c r="AM4" s="57" t="n">
        <x:v>45845.08333333334</x:v>
      </x:c>
      <x:c r="AN4" s="64" t="n">
        <x:v>240</x:v>
      </x:c>
      <x:c r="AO4" t="inlineStr">
        <x:is>
          <x:t xml:space="preserve">RFID-503-80284</x:t>
        </x:is>
      </x:c>
      <x:c r="AP4" s="57" t="n">
        <x:v>45843.63333333333</x:v>
      </x:c>
      <x:c r="AQ4" s="57" t="n">
        <x:v>45845.08958333333</x:v>
      </x:c>
      <x:c r="AR4" t="inlineStr">
        <x:is>
          <x:t xml:space="preserve">Columbus Yard Gate 4</x:t>
        </x:is>
      </x:c>
      <x:c r="AS4" t="inlineStr">
        <x:is>
          <x:t xml:space="preserve">VERIFIED</x:t>
        </x:is>
      </x:c>
      <x:c r="AT4" t="inlineStr">
        <x:is>
          <x:t xml:space="preserve">MISREAD_AT_GATE</x:t>
        </x:is>
      </x:c>
      <x:c r="AU4" t="inlineStr">
        <x:is>
          <x:t xml:space="preserve">CLM-2026004</x:t>
        </x:is>
      </x:c>
      <x:c r="AV4" t="inlineStr">
        <x:is>
          <x:t xml:space="preserve">FILED</x:t>
        </x:is>
      </x:c>
      <x:c r="AW4" t="inlineStr">
        <x:is>
          <x:t xml:space="preserve">Seal Tampering</x:t>
        </x:is>
      </x:c>
      <x:c r="AX4" s="55" t="n">
        <x:v>46209</x:v>
      </x:c>
      <x:c r="AY4" s="64" t="n">
        <x:v>2500</x:v>
      </x:c>
      <x:c r="AZ4" s="64" t="n">
        <x:v>500</x:v>
      </x:c>
      <x:c r="BA4" t="inlineStr">
        <x:is>
          <x:t xml:space="preserve">Jordan Patel</x:t>
        </x:is>
      </x:c>
      <x:c r="BB4" t="inlineStr">
        <x:is>
          <x:t xml:space="preserve">Travelers</x:t>
        </x:is>
      </x:c>
      <x:c r="BC4" t="inlineStr">
        <x:is>
          <x:t xml:space="preserve">POL-660004</x:t>
        </x:is>
      </x:c>
      <x:c r="BD4" t="inlineStr">
        <x:is>
          <x:t xml:space="preserve">BlueLine Retail - Indianapolis, IN</x:t>
        </x:is>
      </x:c>
      <x:c r="BE4" t="inlineStr">
        <x:is>
          <x:t xml:space="preserve">Lakeside Grocery - Atlanta, GA</x:t>
        </x:is>
      </x:c>
      <x:c r="BF4" s="55" t="n">
        <x:v>46208</x:v>
      </x:c>
      <x:c r="BG4" s="55" t="n">
        <x:v>46209</x:v>
      </x:c>
      <x:c r="BH4" t="inlineStr">
        <x:is>
          <x:t xml:space="preserve">09:00-12:00</x:t>
        </x:is>
      </x:c>
      <x:c r="BI4" t="inlineStr">
        <x:is>
          <x:t xml:space="preserve">11:00-15:00</x:t>
        </x:is>
      </x:c>
      <x:c r="BJ4" s="64" t="n">
        <x:v>2145</x:v>
      </x:c>
      <x:c r="BK4" s="64" t="n">
        <x:v>1722</x:v>
      </x:c>
      <x:c r="BL4" s="64" t="n">
        <x:v>252</x:v>
      </x:c>
      <x:c r="BM4" s="64" t="n">
        <x:v>75</x:v>
      </x:c>
      <x:c r="BN4" s="64" t="n">
        <x:v>51</x:v>
      </x:c>
      <x:c r="BO4" t="n">
        <x:v>354</x:v>
      </x:c>
      <x:c r="BP4" t="inlineStr">
        <x:is>
          <x:t xml:space="preserve">BLN-100502</x:t>
        </x:is>
      </x:c>
      <x:c r="BQ4" t="inlineStr">
        <x:is>
          <x:t xml:space="preserve">PO-84002</x:t>
        </x:is>
      </x:c>
      <x:c r="BR4" t="inlineStr">
        <x:is>
          <x:t xml:space="preserve">RECEIVED</x:t>
        </x:is>
      </x:c>
      <x:c r="BS4" t="inlineStr">
        <x:is>
          <x:t xml:space="preserve">/proof/pod/L-503.jpg</x:t>
        </x:is>
      </x:c>
      <x:c r="BT4" t="inlineStr">
        <x:is>
          <x:t xml:space="preserve">Dock Supervisor</x:t>
        </x:is>
      </x:c>
      <x:c r="BU4" t="inlineStr">
        <x:is>
          <x:t xml:space="preserve">MISSING</x:t>
        </x:is>
      </x:c>
      <x:c r="BV4" s="55" t="n">
        <x:v>46208</x:v>
      </x:c>
      <x:c r="BW4" t="inlineStr">
        <x:is>
          <x:t xml:space="preserve">UPLOADED</x:t>
        </x:is>
      </x:c>
      <x:c r="BX4" s="55" t="n">
        <x:v>46207</x:v>
      </x:c>
      <x:c r="BY4" t="inlineStr">
        <x:is>
          <x:t xml:space="preserve">TRAIL-2004</x:t>
        </x:is>
      </x:c>
      <x:c r="BZ4" t="inlineStr">
        <x:is>
          <x:t xml:space="preserve">CARGO-5004</x:t>
        </x:is>
      </x:c>
      <x:c r="CA4" s="57" t="n">
        <x:v>46209.42708333334</x:v>
      </x:c>
      <x:c r="CB4" t="inlineStr">
        <x:is>
          <x:t xml:space="preserve">Warehouse South</x:t>
        </x:is>
      </x:c>
      <x:c r="CC4" t="inlineStr">
        <x:is>
          <x:t xml:space="preserve">YES</x:t>
        </x:is>
      </x:c>
      <x:c r="CD4" t="inlineStr">
        <x:is>
          <x:t xml:space="preserve">No active claim</x:t>
        </x:is>
      </x:c>
      <x:c r="CE4" s="64" t="n">
        <x:v>2125</x:v>
      </x:c>
      <x:c r="CF4" s="64" t="n">
        <x:v>2500</x:v>
      </x:c>
      <x:c r="CG4" t="inlineStr">
        <x:is>
          <x:t xml:space="preserve">General Liability</x:t>
        </x:is>
      </x:c>
      <x:c r="CH4" t="inlineStr">
        <x:is>
          <x:t xml:space="preserve">YES</x:t>
        </x:is>
      </x:c>
      <x:c r="CI4" t="inlineStr">
        <x:is>
          <x:t xml:space="preserve">NO</x:t>
        </x:is>
      </x:c>
    </x:row>
    <x:row r="5" s="24" customFormat="1" ht="15" customHeight="1">
      <x:c r="A5" s="11" t="inlineStr">
        <x:is>
          <x:t xml:space="preserve">L-504</x:t>
        </x:is>
      </x:c>
      <x:c r="B5" s="11" t="inlineStr">
        <x:is>
          <x:t xml:space="preserve">Driver 4</x:t>
        </x:is>
      </x:c>
      <x:c r="C5" s="11" t="inlineStr">
        <x:is>
          <x:t xml:space="preserve">T-108</x:t>
        </x:is>
      </x:c>
      <x:c r="D5" s="69" t="n">
        <x:v>1950</x:v>
      </x:c>
      <x:c r="E5" s="69" t="n">
        <x:v>88</x:v>
      </x:c>
      <x:c r="F5" s="26" t="inlineStr">
        <x:is>
          <x:t xml:space="preserve">Yes</x:t>
        </x:is>
      </x:c>
      <x:c r="G5" s="11" t="inlineStr">
        <x:is>
          <x:t xml:space="preserve">Pending</x:t>
        </x:is>
      </x:c>
      <x:c r="H5" s="13" t="inlineStr">
        <x:is>
          <x:t xml:space="preserve">Awaiting POD</x:t>
        </x:is>
      </x:c>
      <x:c r="I5" t="inlineStr">
        <x:is>
          <x:t xml:space="preserve">SEAL-61044</x:t>
        </x:is>
      </x:c>
      <x:c r="J5" t="inlineStr">
        <x:is>
          <x:t xml:space="preserve">pickup_photo_04.jpg</x:t>
        </x:is>
      </x:c>
      <x:c r="K5" t="inlineStr">
        <x:is>
          <x:t xml:space="preserve">SEAL-61043</x:t>
        </x:is>
      </x:c>
      <x:c r="L5" t="inlineStr">
        <x:is>
          <x:t xml:space="preserve">delivery_photo_04.jpg</x:t>
        </x:is>
      </x:c>
      <x:c r="M5" t="str">
        <x:f>IF(K5="","Pending",IF(K5&lt;&gt;I5,"Mismatch","Verified"))</x:f>
        <x:v>Mismatch</x:v>
      </x:c>
      <x:c r="N5" t="str">
        <x:f>IF(M5="Mismatch","SEAL MISMATCH","")</x:f>
        <x:v>SEAL MISMATCH</x:v>
      </x:c>
      <x:c r="O5" t="inlineStr">
        <x:is>
          <x:t xml:space="preserve">Dock supervisor approved</x:t>
        </x:is>
      </x:c>
      <x:c r="P5" t="str">
        <x:f>IF(M5="Mismatch","Seal mismatch detected. Pickup: "&amp;I5&amp;" Delivery: "&amp;K5&amp;" | Override: "&amp;IF(O5="","None",O5),"")</x:f>
        <x:v>Seal mismatch detected. Pickup: SEAL-61044 Delivery: SEAL-61043 | Override: Dock supervisor approved</x:v>
      </x:c>
      <x:c r="Q5" t="str">
        <x:f>IF(N5="SEAL MISMATCH",IF(O5="","LOCKED","OVERRIDDEN"),"CLEAR")</x:f>
        <x:v>OVERRIDDEN</x:v>
      </x:c>
      <x:c r="R5" t="inlineStr">
        <x:is>
          <x:t xml:space="preserve">Avery Collins</x:t>
        </x:is>
      </x:c>
      <x:c r="S5" t="inlineStr">
        <x:is>
          <x:t xml:space="preserve">NorthStar 3PL</x:t>
        </x:is>
      </x:c>
      <x:c r="T5" t="inlineStr">
        <x:is>
          <x:t xml:space="preserve">MC-774221</x:t>
        </x:is>
      </x:c>
      <x:c r="U5" t="inlineStr">
        <x:is>
          <x:t xml:space="preserve">Sunbelt Beverages</x:t>
        </x:is>
      </x:c>
      <x:c r="V5" t="inlineStr">
        <x:is>
          <x:t xml:space="preserve">9900 Commerce Blvd</x:t>
        </x:is>
      </x:c>
      <x:c r="W5" t="inlineStr">
        <x:is>
          <x:t xml:space="preserve">Charlotte</x:t>
        </x:is>
      </x:c>
      <x:c r="X5" t="inlineStr">
        <x:is>
          <x:t xml:space="preserve">NC</x:t>
        </x:is>
      </x:c>
      <x:c r="Y5" s="57" t="n">
        <x:v>45845.70833333334</x:v>
      </x:c>
      <x:c r="Z5" t="inlineStr">
        <x:is>
          <x:t xml:space="preserve">Bayport Imports</x:t>
        </x:is>
      </x:c>
      <x:c r="AA5" t="inlineStr">
        <x:is>
          <x:t xml:space="preserve">330 Dockside Ln</x:t>
        </x:is>
      </x:c>
      <x:c r="AB5" t="inlineStr">
        <x:is>
          <x:t xml:space="preserve">Savannah</x:t>
        </x:is>
      </x:c>
      <x:c r="AC5" t="inlineStr">
        <x:is>
          <x:t xml:space="preserve">GA</x:t>
        </x:is>
      </x:c>
      <x:c r="AD5" s="57" t="n">
        <x:v>45848.91666666666</x:v>
      </x:c>
      <x:c r="AE5" t="inlineStr">
        <x:is>
          <x:t xml:space="preserve">Building materials</x:t>
        </x:is>
      </x:c>
      <x:c r="AF5" s="68" t="n">
        <x:v>19501</x:v>
      </x:c>
      <x:c r="AG5" s="68" t="n">
        <x:v>19</x:v>
      </x:c>
      <x:c r="AH5" s="68" t="n">
        <x:v>836</x:v>
      </x:c>
      <x:c r="AI5" t="inlineStr">
        <x:is>
          <x:t xml:space="preserve">TRL-2396</x:t>
        </x:is>
      </x:c>
      <x:c r="AJ5" t="inlineStr">
        <x:is>
          <x:t xml:space="preserve">RC-504-181</x:t>
        </x:is>
      </x:c>
      <x:c r="AK5" t="inlineStr">
        <x:is>
          <x:t xml:space="preserve">BOL-504-4814</x:t>
        </x:is>
      </x:c>
      <x:c r="AL5" t="inlineStr">
        <x:is>
          <x:t xml:space="preserve">NO</x:t>
        </x:is>
      </x:c>
      <x:c r="AM5" s="57" t="n">
        <x:v>46211.45833333334</x:v>
      </x:c>
      <x:c r="AN5" s="64" t="n">
        <x:v>0</x:v>
      </x:c>
      <x:c r="AO5" t="inlineStr">
        <x:is>
          <x:t xml:space="preserve">RFID-504-59823</x:t>
        </x:is>
      </x:c>
      <x:c r="AP5" s="57" t="n">
        <x:v>45845.72361111111</x:v>
      </x:c>
      <x:c r="AQ5" s="57" t="n">
        <x:v>46211.41666666666</x:v>
      </x:c>
      <x:c r="AR5" t="inlineStr">
        <x:is>
          <x:t xml:space="preserve">Charlotte Yard Gate 4</x:t>
        </x:is>
      </x:c>
      <x:c r="AS5" t="inlineStr">
        <x:is>
          <x:t xml:space="preserve">VERIFIED</x:t>
        </x:is>
      </x:c>
      <x:c r="AT5" t="inlineStr">
        <x:is>
          <x:t xml:space="preserve">MISREAD</x:t>
        </x:is>
      </x:c>
      <x:c r="AU5" t="inlineStr">
        <x:is>
          <x:t xml:space="preserve">CLM-504-4432</x:t>
        </x:is>
      </x:c>
      <x:c r="AV5" t="inlineStr">
        <x:is>
          <x:t xml:space="preserve">SETTLED</x:t>
        </x:is>
      </x:c>
      <x:c r="AW5" t="inlineStr">
        <x:is>
          <x:t xml:space="preserve">Shortage</x:t>
        </x:is>
      </x:c>
      <x:c r="AX5" s="55" t="n">
        <x:v>45845</x:v>
      </x:c>
      <x:c r="AY5" s="64" t="n">
        <x:v>9110.389999999999</x:v>
      </x:c>
      <x:c r="AZ5" s="64" t="n">
        <x:v>1500</x:v>
      </x:c>
      <x:c r="BA5" t="inlineStr">
        <x:is>
          <x:t xml:space="preserve">Kelly Moore</x:t>
        </x:is>
      </x:c>
      <x:c r="BB5" t="inlineStr">
        <x:is>
          <x:t xml:space="preserve">Travelers Inland Marine</x:t>
        </x:is>
      </x:c>
      <x:c r="BC5" t="inlineStr">
        <x:is>
          <x:t xml:space="preserve">POL-660086</x:t>
        </x:is>
      </x:c>
      <x:c r="BD5" t="inlineStr">
        <x:is>
          <x:t xml:space="preserve">NorthStar Paper - Dallas, TX</x:t>
        </x:is>
      </x:c>
      <x:c r="BE5" t="inlineStr">
        <x:is>
          <x:t xml:space="preserve">Cleveland Receiver - St. Louis, MO</x:t>
        </x:is>
      </x:c>
      <x:c r="BF5" s="55" t="n">
        <x:v>46210</x:v>
      </x:c>
      <x:c r="BG5" s="55" t="n">
        <x:v>46211</x:v>
      </x:c>
      <x:c r="BH5" t="inlineStr">
        <x:is>
          <x:t xml:space="preserve">10:00-13:00</x:t>
        </x:is>
      </x:c>
      <x:c r="BI5" t="inlineStr">
        <x:is>
          <x:t xml:space="preserve">09:00-13:00</x:t>
        </x:is>
      </x:c>
      <x:c r="BJ5" s="64" t="n">
        <x:v>2038</x:v>
      </x:c>
      <x:c r="BK5" s="64" t="n">
        <x:v>1599</x:v>
      </x:c>
      <x:c r="BL5" s="64" t="n">
        <x:v>234</x:v>
      </x:c>
      <x:c r="BM5" s="64" t="n">
        <x:v>0</x:v>
      </x:c>
      <x:c r="BN5" s="64" t="n">
        <x:v>117</x:v>
      </x:c>
      <x:c r="BO5" t="n">
        <x:v>411</x:v>
      </x:c>
      <x:c r="BP5" t="inlineStr">
        <x:is>
          <x:t xml:space="preserve">BLN-100503</x:t>
        </x:is>
      </x:c>
      <x:c r="BQ5" t="inlineStr">
        <x:is>
          <x:t xml:space="preserve">PO-84003</x:t>
        </x:is>
      </x:c>
      <x:c r="BR5" t="inlineStr">
        <x:is>
          <x:t xml:space="preserve">RECEIVED</x:t>
        </x:is>
      </x:c>
      <x:c r="BS5" t="inlineStr">
        <x:is>
          <x:t xml:space="preserve">/proof/pod/L-504.jpg</x:t>
        </x:is>
      </x:c>
      <x:c r="BT5" t="inlineStr">
        <x:is>
          <x:t xml:space="preserve">Inventory Lead</x:t>
        </x:is>
      </x:c>
      <x:c r="BU5" t="inlineStr">
        <x:is>
          <x:t xml:space="preserve">UPLOADED</x:t>
        </x:is>
      </x:c>
      <x:c r="BV5" s="55" t="n">
        <x:v>46210</x:v>
      </x:c>
      <x:c r="BW5" t="inlineStr">
        <x:is>
          <x:t xml:space="preserve">UPLOADED</x:t>
        </x:is>
      </x:c>
      <x:c r="BX5" s="55" t="n">
        <x:v>46209</x:v>
      </x:c>
      <x:c r="BY5" t="inlineStr">
        <x:is>
          <x:t xml:space="preserve">TRAIL-2005</x:t>
        </x:is>
      </x:c>
      <x:c r="BZ5" t="inlineStr">
        <x:is>
          <x:t xml:space="preserve">CARGO-5005</x:t>
        </x:is>
      </x:c>
      <x:c r="CA5" s="57" t="n">
        <x:v>46211.42708333334</x:v>
      </x:c>
      <x:c r="CB5" t="inlineStr">
        <x:is>
          <x:t xml:space="preserve">Crossdock Bay 2</x:t>
        </x:is>
      </x:c>
      <x:c r="CC5" t="inlineStr">
        <x:is>
          <x:t xml:space="preserve">YES</x:t>
        </x:is>
      </x:c>
      <x:c r="CD5" t="inlineStr">
        <x:is>
          <x:t xml:space="preserve">Shortage under review</x:t>
        </x:is>
      </x:c>
      <x:c r="CE5" s="64" t="n">
        <x:v>7743.831499999999</x:v>
      </x:c>
      <x:c r="CF5" s="64" t="n">
        <x:v>7610.389999999999</x:v>
      </x:c>
      <x:c r="CG5" t="inlineStr">
        <x:is>
          <x:t xml:space="preserve">Motor Truck Cargo</x:t>
        </x:is>
      </x:c>
      <x:c r="CH5" t="inlineStr">
        <x:is>
          <x:t xml:space="preserve">YES</x:t>
        </x:is>
      </x:c>
      <x:c r="CI5" t="inlineStr">
        <x:is>
          <x:t xml:space="preserve">YES</x:t>
        </x:is>
      </x:c>
    </x:row>
    <x:row r="6" s="24" customFormat="1" ht="15" customHeight="1">
      <x:c r="A6" s="11" t="inlineStr">
        <x:is>
          <x:t xml:space="preserve">L-505</x:t>
        </x:is>
      </x:c>
      <x:c r="B6" s="11" t="inlineStr">
        <x:is>
          <x:t xml:space="preserve">Driver 5</x:t>
        </x:is>
      </x:c>
      <x:c r="C6" s="11" t="inlineStr">
        <x:is>
          <x:t xml:space="preserve">T-104</x:t>
        </x:is>
      </x:c>
      <x:c r="D6" s="69" t="n">
        <x:v>2200</x:v>
      </x:c>
      <x:c r="E6" s="69" t="n">
        <x:v>45</x:v>
      </x:c>
      <x:c r="F6" s="26" t="inlineStr">
        <x:is>
          <x:t xml:space="preserve">No</x:t>
        </x:is>
      </x:c>
      <x:c r="G6" s="11" t="inlineStr">
        <x:is>
          <x:t xml:space="preserve">Delivered</x:t>
        </x:is>
      </x:c>
      <x:c r="H6" s="13" t="n"/>
      <x:c r="I6" t="inlineStr">
        <x:is>
          <x:t xml:space="preserve">SEAL-44018</x:t>
        </x:is>
      </x:c>
      <x:c r="J6" t="inlineStr">
        <x:is>
          <x:t xml:space="preserve">pickup_photo_05.jpg</x:t>
        </x:is>
      </x:c>
      <x:c r="K6" t="inlineStr">
        <x:is>
          <x:t xml:space="preserve">SEAL-44018</x:t>
        </x:is>
      </x:c>
      <x:c r="L6" t="inlineStr">
        <x:is>
          <x:t xml:space="preserve">delivery_photo_05.jpg</x:t>
        </x:is>
      </x:c>
      <x:c r="M6" t="str">
        <x:f>IF(K6="","Pending",IF(K6&lt;&gt;I6,"Mismatch","Verified"))</x:f>
        <x:v>Verified</x:v>
      </x:c>
      <x:c r="N6" t="str">
        <x:f>IF(M6="Mismatch","SEAL MISMATCH","")</x:f>
      </x:c>
      <x:c r="P6" t="str">
        <x:f>IF(M6="Mismatch","Seal mismatch detected. Pickup: "&amp;I6&amp;" Delivery: "&amp;K6&amp;" | Override: "&amp;IF(O6="","None",O6),"")</x:f>
      </x:c>
      <x:c r="Q6" t="str">
        <x:f>IF(N6="SEAL MISMATCH",IF(O6="","LOCKED","OVERRIDDEN"),"CLEAR")</x:f>
        <x:v>CLEAR</x:v>
      </x:c>
      <x:c r="R6" t="inlineStr">
        <x:is>
          <x:t xml:space="preserve">Nina Harris</x:t>
        </x:is>
      </x:c>
      <x:c r="S6" t="inlineStr">
        <x:is>
          <x:t xml:space="preserve">Pioneer Brokerage</x:t>
        </x:is>
      </x:c>
      <x:c r="T6" t="inlineStr">
        <x:is>
          <x:t xml:space="preserve">MC-699114</x:t>
        </x:is>
      </x:c>
      <x:c r="U6" t="inlineStr">
        <x:is>
          <x:t xml:space="preserve">Frontier Retail DC</x:t>
        </x:is>
      </x:c>
      <x:c r="V6" t="inlineStr">
        <x:is>
          <x:t xml:space="preserve">5600 Warehouse Way</x:t>
        </x:is>
      </x:c>
      <x:c r="W6" t="inlineStr">
        <x:is>
          <x:t xml:space="preserve">Dallas</x:t>
        </x:is>
      </x:c>
      <x:c r="X6" t="inlineStr">
        <x:is>
          <x:t xml:space="preserve">TX</x:t>
        </x:is>
      </x:c>
      <x:c r="Y6" s="57" t="n">
        <x:v>45847.58333333334</x:v>
      </x:c>
      <x:c r="Z6" t="inlineStr">
        <x:is>
          <x:t xml:space="preserve">Metro Supply Chain</x:t>
        </x:is>
      </x:c>
      <x:c r="AA6" t="inlineStr">
        <x:is>
          <x:t xml:space="preserve">120 Junction Rd</x:t>
        </x:is>
      </x:c>
      <x:c r="AB6" t="inlineStr">
        <x:is>
          <x:t xml:space="preserve">Chicago</x:t>
        </x:is>
      </x:c>
      <x:c r="AC6" t="inlineStr">
        <x:is>
          <x:t xml:space="preserve">IL</x:t>
        </x:is>
      </x:c>
      <x:c r="AD6" s="57" t="n">
        <x:v>45850</x:v>
      </x:c>
      <x:c r="AE6" t="inlineStr">
        <x:is>
          <x:t xml:space="preserve">Paper products</x:t>
        </x:is>
      </x:c>
      <x:c r="AF6" s="68" t="n">
        <x:v>26845</x:v>
      </x:c>
      <x:c r="AG6" s="68" t="n">
        <x:v>19</x:v>
      </x:c>
      <x:c r="AH6" s="68" t="n">
        <x:v>779</x:v>
      </x:c>
      <x:c r="AI6" t="inlineStr">
        <x:is>
          <x:t xml:space="preserve">TRL-2432</x:t>
        </x:is>
      </x:c>
      <x:c r="AJ6" t="inlineStr">
        <x:is>
          <x:t xml:space="preserve">RC-505-963</x:t>
        </x:is>
      </x:c>
      <x:c r="AK6" t="inlineStr">
        <x:is>
          <x:t xml:space="preserve">BOL-505-1916</x:t>
        </x:is>
      </x:c>
      <x:c r="AL6" t="inlineStr">
        <x:is>
          <x:t xml:space="preserve">YES</x:t>
        </x:is>
      </x:c>
      <x:c r="AM6" s="57" t="n">
        <x:v>45850.08333333334</x:v>
      </x:c>
      <x:c r="AN6" s="64" t="n">
        <x:v>0</x:v>
      </x:c>
      <x:c r="AO6" t="inlineStr">
        <x:is>
          <x:t xml:space="preserve">RFID-505-51347</x:t>
        </x:is>
      </x:c>
      <x:c r="AP6" s="57" t="n">
        <x:v>45847.60416666666</x:v>
      </x:c>
      <x:c r="AQ6" s="57" t="n">
        <x:v>45850.01875</x:v>
      </x:c>
      <x:c r="AR6" t="inlineStr">
        <x:is>
          <x:t xml:space="preserve">Dallas Yard Gate 1</x:t>
        </x:is>
      </x:c>
      <x:c r="AS6" t="inlineStr">
        <x:is>
          <x:t xml:space="preserve">VERIFIED</x:t>
        </x:is>
      </x:c>
      <x:c r="AT6" t="inlineStr">
        <x:is>
          <x:t xml:space="preserve"/>
        </x:is>
      </x:c>
      <x:c r="AU6" t="inlineStr">
        <x:is>
          <x:t xml:space="preserve"/>
        </x:is>
      </x:c>
      <x:c r="AV6" t="inlineStr">
        <x:is>
          <x:t xml:space="preserve">NO_CLAIM</x:t>
        </x:is>
      </x:c>
      <x:c r="AW6" t="inlineStr">
        <x:is>
          <x:t xml:space="preserve"/>
        </x:is>
      </x:c>
      <x:c r="AX6" s="55" t="n"/>
      <x:c r="AY6" s="64" t="n">
        <x:v>0</x:v>
      </x:c>
      <x:c r="AZ6" s="64" t="n">
        <x:v>500</x:v>
      </x:c>
      <x:c r="BA6" t="inlineStr">
        <x:is>
          <x:t xml:space="preserve"/>
        </x:is>
      </x:c>
      <x:c r="BB6" t="inlineStr">
        <x:is>
          <x:t xml:space="preserve">Zurich</x:t>
        </x:is>
      </x:c>
      <x:c r="BC6" t="inlineStr">
        <x:is>
          <x:t xml:space="preserve">POL-660006</x:t>
        </x:is>
      </x:c>
      <x:c r="BD6" t="inlineStr">
        <x:is>
          <x:t xml:space="preserve">Rapid Parts - Memphis, TN</x:t>
        </x:is>
      </x:c>
      <x:c r="BE6" t="inlineStr">
        <x:is>
          <x:t xml:space="preserve">Delta Retail DC - Nashville, TN</x:t>
        </x:is>
      </x:c>
      <x:c r="BF6" s="55" t="n">
        <x:v>46212</x:v>
      </x:c>
      <x:c r="BG6" s="55" t="n">
        <x:v>46213</x:v>
      </x:c>
      <x:c r="BH6" t="inlineStr">
        <x:is>
          <x:t xml:space="preserve">08:00-11:00</x:t>
        </x:is>
      </x:c>
      <x:c r="BI6" t="inlineStr">
        <x:is>
          <x:t xml:space="preserve">10:00-14:00</x:t>
        </x:is>
      </x:c>
      <x:c r="BJ6" s="64" t="n">
        <x:v>2245</x:v>
      </x:c>
      <x:c r="BK6" s="64" t="n">
        <x:v>1804</x:v>
      </x:c>
      <x:c r="BL6" s="64" t="n">
        <x:v>264</x:v>
      </x:c>
      <x:c r="BM6" s="64" t="n">
        <x:v>25</x:v>
      </x:c>
      <x:c r="BN6" s="64" t="n">
        <x:v>107</x:v>
      </x:c>
      <x:c r="BO6" t="n">
        <x:v>468</x:v>
      </x:c>
      <x:c r="BP6" t="inlineStr">
        <x:is>
          <x:t xml:space="preserve">BLN-100504</x:t>
        </x:is>
      </x:c>
      <x:c r="BQ6" t="inlineStr">
        <x:is>
          <x:t xml:space="preserve">PO-84004</x:t>
        </x:is>
      </x:c>
      <x:c r="BR6" t="inlineStr">
        <x:is>
          <x:t xml:space="preserve">PENDING</x:t>
        </x:is>
      </x:c>
      <x:c r="BS6" t="inlineStr">
        <x:is>
          <x:t xml:space="preserve">/proof/pod/L-505.jpg</x:t>
        </x:is>
      </x:c>
      <x:c r="BT6" t="inlineStr">
        <x:is>
          <x:t xml:space="preserve">Warehouse Clerk</x:t>
        </x:is>
      </x:c>
      <x:c r="BU6" t="inlineStr">
        <x:is>
          <x:t xml:space="preserve">UPLOADED</x:t>
        </x:is>
      </x:c>
      <x:c r="BV6" s="55" t="n">
        <x:v>46212</x:v>
      </x:c>
      <x:c r="BW6" t="inlineStr">
        <x:is>
          <x:t xml:space="preserve">UPLOADED</x:t>
        </x:is>
      </x:c>
      <x:c r="BX6" s="55" t="n">
        <x:v>46211</x:v>
      </x:c>
      <x:c r="BY6" t="inlineStr">
        <x:is>
          <x:t xml:space="preserve">TRAIL-2006</x:t>
        </x:is>
      </x:c>
      <x:c r="BZ6" t="inlineStr">
        <x:is>
          <x:t xml:space="preserve">CARGO-5006</x:t>
        </x:is>
      </x:c>
      <x:c r="CA6" s="57" t="n">
        <x:v>46213.42708333334</x:v>
      </x:c>
      <x:c r="CB6" t="inlineStr">
        <x:is>
          <x:t xml:space="preserve">Receiver Gate 1</x:t>
        </x:is>
      </x:c>
      <x:c r="CC6" t="inlineStr">
        <x:is>
          <x:t xml:space="preserve">NO</x:t>
        </x:is>
      </x:c>
      <x:c r="CD6" t="inlineStr">
        <x:is>
          <x:t xml:space="preserve">No active claim</x:t>
        </x:is>
      </x:c>
      <x:c r="CE6" s="64" t="n">
        <x:v>0</x:v>
      </x:c>
      <x:c r="CF6" s="64" t="n">
        <x:v>0</x:v>
      </x:c>
      <x:c r="CG6" t="inlineStr">
        <x:is>
          <x:t xml:space="preserve">Auto Liability</x:t>
        </x:is>
      </x:c>
      <x:c r="CH6" t="inlineStr">
        <x:is>
          <x:t xml:space="preserve">NO</x:t>
        </x:is>
      </x:c>
      <x:c r="CI6" t="inlineStr">
        <x:is>
          <x:t xml:space="preserve">YES</x:t>
        </x:is>
      </x:c>
    </x:row>
    <x:row r="7" s="24" customFormat="1" ht="16.5" customHeight="1">
      <x:c r="A7" s="11" t="inlineStr">
        <x:is>
          <x:t xml:space="preserve">L-506</x:t>
        </x:is>
      </x:c>
      <x:c r="B7" s="11" t="inlineStr">
        <x:is>
          <x:t xml:space="preserve">Driver 6</x:t>
        </x:is>
      </x:c>
      <x:c r="C7" s="11" t="inlineStr">
        <x:is>
          <x:t xml:space="preserve">T-103</x:t>
        </x:is>
      </x:c>
      <x:c r="D7" s="69" t="n">
        <x:v>2050</x:v>
      </x:c>
      <x:c r="E7" s="69" t="n">
        <x:v>72</x:v>
      </x:c>
      <x:c r="F7" s="26" t="inlineStr">
        <x:is>
          <x:t xml:space="preserve">Yes</x:t>
        </x:is>
      </x:c>
      <x:c r="G7" s="11" t="inlineStr">
        <x:is>
          <x:t xml:space="preserve">Delivered</x:t>
        </x:is>
      </x:c>
      <x:c r="H7" s="15" t="n"/>
      <x:c r="I7" t="inlineStr">
        <x:is>
          <x:t xml:space="preserve">SEAL-99871</x:t>
        </x:is>
      </x:c>
      <x:c r="J7" t="inlineStr">
        <x:is>
          <x:t xml:space="preserve">pickup_photo_06.jpg</x:t>
        </x:is>
      </x:c>
      <x:c r="M7" t="str">
        <x:f>IF(K7="","Pending",IF(K7&lt;&gt;I7,"Mismatch","Verified"))</x:f>
        <x:v>Pending</x:v>
      </x:c>
      <x:c r="N7" t="str">
        <x:f>IF(M7="Mismatch","SEAL MISMATCH","")</x:f>
      </x:c>
      <x:c r="P7" t="str">
        <x:f>IF(M7="Mismatch","Seal mismatch detected. Pickup: "&amp;I7&amp;" Delivery: "&amp;K7&amp;" | Override: "&amp;IF(O7="","None",O7),"")</x:f>
      </x:c>
      <x:c r="Q7" t="str">
        <x:f>IF(N7="SEAL MISMATCH",IF(O7="","LOCKED","OVERRIDDEN"),"CLEAR")</x:f>
        <x:v>CLEAR</x:v>
      </x:c>
      <x:c r="R7" t="inlineStr">
        <x:is>
          <x:t xml:space="preserve">Tina Brooks</x:t>
        </x:is>
      </x:c>
      <x:c r="S7" t="inlineStr">
        <x:is>
          <x:t xml:space="preserve">BlueLine Logistics</x:t>
        </x:is>
      </x:c>
      <x:c r="T7" t="inlineStr">
        <x:is>
          <x:t xml:space="preserve">MC-782104</x:t>
        </x:is>
      </x:c>
      <x:c r="U7" t="inlineStr">
        <x:is>
          <x:t xml:space="preserve">Ozark Building Supply</x:t>
        </x:is>
      </x:c>
      <x:c r="V7" t="inlineStr">
        <x:is>
          <x:t xml:space="preserve">710 Quarry Rd</x:t>
        </x:is>
      </x:c>
      <x:c r="W7" t="inlineStr">
        <x:is>
          <x:t xml:space="preserve">Springfield</x:t>
        </x:is>
      </x:c>
      <x:c r="X7" t="inlineStr">
        <x:is>
          <x:t xml:space="preserve">MO</x:t>
        </x:is>
      </x:c>
      <x:c r="Y7" s="57" t="n">
        <x:v>45849.70833333334</x:v>
      </x:c>
      <x:c r="Z7" t="inlineStr">
        <x:is>
          <x:t xml:space="preserve">River City Distribution</x:t>
        </x:is>
      </x:c>
      <x:c r="AA7" t="inlineStr">
        <x:is>
          <x:t xml:space="preserve">2100 Depot Ave</x:t>
        </x:is>
      </x:c>
      <x:c r="AB7" t="inlineStr">
        <x:is>
          <x:t xml:space="preserve">Nashville</x:t>
        </x:is>
      </x:c>
      <x:c r="AC7" t="inlineStr">
        <x:is>
          <x:t xml:space="preserve">TN</x:t>
        </x:is>
      </x:c>
      <x:c r="AD7" s="57" t="n">
        <x:v>45853.16666666666</x:v>
      </x:c>
      <x:c r="AE7" t="inlineStr">
        <x:is>
          <x:t xml:space="preserve">Consumer packaged goods</x:t>
        </x:is>
      </x:c>
      <x:c r="AF7" s="68" t="n">
        <x:v>30964</x:v>
      </x:c>
      <x:c r="AG7" s="68" t="n">
        <x:v>26</x:v>
      </x:c>
      <x:c r="AH7" s="68" t="n">
        <x:v>624</x:v>
      </x:c>
      <x:c r="AI7" t="inlineStr">
        <x:is>
          <x:t xml:space="preserve">TRL-2371</x:t>
        </x:is>
      </x:c>
      <x:c r="AJ7" t="inlineStr">
        <x:is>
          <x:t xml:space="preserve">RC-506-242</x:t>
        </x:is>
      </x:c>
      <x:c r="AK7" t="inlineStr">
        <x:is>
          <x:t xml:space="preserve">BOL-506-5040</x:t>
        </x:is>
      </x:c>
      <x:c r="AL7" t="inlineStr">
        <x:is>
          <x:t xml:space="preserve">YES</x:t>
        </x:is>
      </x:c>
      <x:c r="AM7" s="57" t="n">
        <x:v>45853.41666666666</x:v>
      </x:c>
      <x:c r="AN7" s="64" t="n">
        <x:v>315</x:v>
      </x:c>
      <x:c r="AO7" t="inlineStr">
        <x:is>
          <x:t xml:space="preserve">RFID-506-80644</x:t>
        </x:is>
      </x:c>
      <x:c r="AP7" s="57" t="n">
        <x:v>45849.72291666667</x:v>
      </x:c>
      <x:c r="AQ7" s="57" t="n">
        <x:v>45853.20625</x:v>
      </x:c>
      <x:c r="AR7" t="inlineStr">
        <x:is>
          <x:t xml:space="preserve">Springfield Yard Gate 4</x:t>
        </x:is>
      </x:c>
      <x:c r="AS7" t="inlineStr">
        <x:is>
          <x:t xml:space="preserve">VERIFIED</x:t>
        </x:is>
      </x:c>
      <x:c r="AT7" t="inlineStr">
        <x:is>
          <x:t xml:space="preserve">NO_FINAL_SCAN</x:t>
        </x:is>
      </x:c>
      <x:c r="AU7" t="inlineStr">
        <x:is>
          <x:t xml:space="preserve">CLM-506-3266</x:t>
        </x:is>
      </x:c>
      <x:c r="AV7" t="inlineStr">
        <x:is>
          <x:t xml:space="preserve">SETTLED</x:t>
        </x:is>
      </x:c>
      <x:c r="AW7" t="inlineStr">
        <x:is>
          <x:t xml:space="preserve">Late Delivery</x:t>
        </x:is>
      </x:c>
      <x:c r="AX7" s="55" t="n">
        <x:v>45853</x:v>
      </x:c>
      <x:c r="AY7" s="64" t="n">
        <x:v>2268.19</x:v>
      </x:c>
      <x:c r="AZ7" s="64" t="n">
        <x:v>500</x:v>
      </x:c>
      <x:c r="BA7" t="inlineStr">
        <x:is>
          <x:t xml:space="preserve">Kelly Moore</x:t>
        </x:is>
      </x:c>
      <x:c r="BB7" t="inlineStr">
        <x:is>
          <x:t xml:space="preserve">Travelers Inland Marine</x:t>
        </x:is>
      </x:c>
      <x:c r="BC7" t="inlineStr">
        <x:is>
          <x:t xml:space="preserve">POL-757924</x:t>
        </x:is>
      </x:c>
      <x:c r="BD7" t="inlineStr">
        <x:is>
          <x:t xml:space="preserve">Prime Consumer - Atlanta, GA</x:t>
        </x:is>
      </x:c>
      <x:c r="BE7" t="inlineStr">
        <x:is>
          <x:t xml:space="preserve">Union Crossdock - Cleveland, OH</x:t>
        </x:is>
      </x:c>
      <x:c r="BF7" s="55" t="n">
        <x:v>46214</x:v>
      </x:c>
      <x:c r="BG7" s="55" t="n">
        <x:v>46215</x:v>
      </x:c>
      <x:c r="BH7" t="inlineStr">
        <x:is>
          <x:t xml:space="preserve">09:00-12:00</x:t>
        </x:is>
      </x:c>
      <x:c r="BI7" t="inlineStr">
        <x:is>
          <x:t xml:space="preserve">11:00-15:00</x:t>
        </x:is>
      </x:c>
      <x:c r="BJ7" s="64" t="n">
        <x:v>2122</x:v>
      </x:c>
      <x:c r="BK7" s="64" t="n">
        <x:v>1681</x:v>
      </x:c>
      <x:c r="BL7" s="64" t="n">
        <x:v>246</x:v>
      </x:c>
      <x:c r="BM7" s="64" t="n">
        <x:v>0</x:v>
      </x:c>
      <x:c r="BN7" s="64" t="n">
        <x:v>123</x:v>
      </x:c>
      <x:c r="BO7" t="n">
        <x:v>525</x:v>
      </x:c>
      <x:c r="BP7" t="inlineStr">
        <x:is>
          <x:t xml:space="preserve">BLN-100505</x:t>
        </x:is>
      </x:c>
      <x:c r="BQ7" t="inlineStr">
        <x:is>
          <x:t xml:space="preserve">PO-84005</x:t>
        </x:is>
      </x:c>
      <x:c r="BR7" t="inlineStr">
        <x:is>
          <x:t xml:space="preserve">RECEIVED</x:t>
        </x:is>
      </x:c>
      <x:c r="BS7" t="inlineStr">
        <x:is>
          <x:t xml:space="preserve">/proof/pod/L-506.jpg</x:t>
        </x:is>
      </x:c>
      <x:c r="BT7" t="inlineStr">
        <x:is>
          <x:t xml:space="preserve">Receiver</x:t>
        </x:is>
      </x:c>
      <x:c r="BU7" t="inlineStr">
        <x:is>
          <x:t xml:space="preserve">UPLOADED</x:t>
        </x:is>
      </x:c>
      <x:c r="BV7" s="55" t="n">
        <x:v>46214</x:v>
      </x:c>
      <x:c r="BW7" t="inlineStr">
        <x:is>
          <x:t xml:space="preserve">UPLOADED</x:t>
        </x:is>
      </x:c>
      <x:c r="BX7" s="55" t="n">
        <x:v>46213</x:v>
      </x:c>
      <x:c r="BY7" t="inlineStr">
        <x:is>
          <x:t xml:space="preserve">TRAIL-2007</x:t>
        </x:is>
      </x:c>
      <x:c r="BZ7" t="inlineStr">
        <x:is>
          <x:t xml:space="preserve">CARGO-5007</x:t>
        </x:is>
      </x:c>
      <x:c r="CA7" s="57" t="n">
        <x:v>46215.42708333334</x:v>
      </x:c>
      <x:c r="CB7" t="inlineStr">
        <x:is>
          <x:t xml:space="preserve">Dock Door 3</x:t>
        </x:is>
      </x:c>
      <x:c r="CC7" t="inlineStr">
        <x:is>
          <x:t xml:space="preserve">YES</x:t>
        </x:is>
      </x:c>
      <x:c r="CD7" t="inlineStr">
        <x:is>
          <x:t xml:space="preserve">Minor dock scrape</x:t>
        </x:is>
      </x:c>
      <x:c r="CE7" s="64" t="n">
        <x:v>1927.9615</x:v>
      </x:c>
      <x:c r="CF7" s="64" t="n">
        <x:v>1768.19</x:v>
      </x:c>
      <x:c r="CG7" t="inlineStr">
        <x:is>
          <x:t xml:space="preserve">General Liability</x:t>
        </x:is>
      </x:c>
      <x:c r="CH7" t="inlineStr">
        <x:is>
          <x:t xml:space="preserve">YES</x:t>
        </x:is>
      </x:c>
      <x:c r="CI7" t="inlineStr">
        <x:is>
          <x:t xml:space="preserve">YES</x:t>
        </x:is>
      </x:c>
    </x:row>
    <x:row r="8" s="24" customFormat="1" ht="15" customHeight="1">
      <x:c r="A8" s="11" t="inlineStr">
        <x:is>
          <x:t xml:space="preserve">L-507</x:t>
        </x:is>
      </x:c>
      <x:c r="B8" s="11" t="inlineStr">
        <x:is>
          <x:t xml:space="preserve">Driver 7</x:t>
        </x:is>
      </x:c>
      <x:c r="C8" s="11" t="inlineStr">
        <x:is>
          <x:t xml:space="preserve">T-109</x:t>
        </x:is>
      </x:c>
      <x:c r="D8" s="69" t="n">
        <x:v>2300</x:v>
      </x:c>
      <x:c r="E8" s="69" t="n">
        <x:v>58</x:v>
      </x:c>
      <x:c r="F8" s="26" t="inlineStr">
        <x:is>
          <x:t xml:space="preserve">No</x:t>
        </x:is>
      </x:c>
      <x:c r="G8" s="11" t="inlineStr">
        <x:is>
          <x:t xml:space="preserve">In-Transit</x:t>
        </x:is>
      </x:c>
      <x:c r="H8" s="13" t="n"/>
      <x:c r="I8" t="inlineStr">
        <x:is>
          <x:t xml:space="preserve">SEAL-73005</x:t>
        </x:is>
      </x:c>
      <x:c r="J8" t="inlineStr">
        <x:is>
          <x:t xml:space="preserve">pickup_photo_07.jpg</x:t>
        </x:is>
      </x:c>
      <x:c r="K8" t="inlineStr">
        <x:is>
          <x:t xml:space="preserve">SEAL-73099</x:t>
        </x:is>
      </x:c>
      <x:c r="L8" t="inlineStr">
        <x:is>
          <x:t xml:space="preserve">delivery_photo_07.jpg</x:t>
        </x:is>
      </x:c>
      <x:c r="M8" t="str">
        <x:f>IF(K8="","Pending",IF(K8&lt;&gt;I8,"Mismatch","Verified"))</x:f>
        <x:v>Mismatch</x:v>
      </x:c>
      <x:c r="N8" t="str">
        <x:f>IF(M8="Mismatch","SEAL MISMATCH","")</x:f>
        <x:v>SEAL MISMATCH</x:v>
      </x:c>
      <x:c r="P8" t="str">
        <x:f>IF(M8="Mismatch","Seal mismatch detected. Pickup: "&amp;I8&amp;" Delivery: "&amp;K8&amp;" | Override: "&amp;IF(O8="","None",O8),"")</x:f>
        <x:v>Seal mismatch detected. Pickup: SEAL-73005 Delivery: SEAL-73099 | Override: None</x:v>
      </x:c>
      <x:c r="Q8" t="str">
        <x:f>IF(N8="SEAL MISMATCH",IF(O8="","LOCKED","OVERRIDDEN"),"CLEAR")</x:f>
        <x:v>LOCKED</x:v>
      </x:c>
      <x:c r="R8" t="inlineStr">
        <x:is>
          <x:t xml:space="preserve">Jamal Reeves</x:t>
        </x:is>
      </x:c>
      <x:c r="S8" t="inlineStr">
        <x:is>
          <x:t xml:space="preserve">Summit Freight</x:t>
        </x:is>
      </x:c>
      <x:c r="T8" t="inlineStr">
        <x:is>
          <x:t xml:space="preserve">MC-641255</x:t>
        </x:is>
      </x:c>
      <x:c r="U8" t="inlineStr">
        <x:is>
          <x:t xml:space="preserve">Prairie Grain Co.</x:t>
        </x:is>
      </x:c>
      <x:c r="V8" t="inlineStr">
        <x:is>
          <x:t xml:space="preserve">443 County Line Rd</x:t>
        </x:is>
      </x:c>
      <x:c r="W8" t="inlineStr">
        <x:is>
          <x:t xml:space="preserve">Omaha</x:t>
        </x:is>
      </x:c>
      <x:c r="X8" t="inlineStr">
        <x:is>
          <x:t xml:space="preserve">NE</x:t>
        </x:is>
      </x:c>
      <x:c r="Y8" s="57" t="n">
        <x:v>45851.70833333334</x:v>
      </x:c>
      <x:c r="Z8" t="inlineStr">
        <x:is>
          <x:t xml:space="preserve">Keystone Wholesale</x:t>
        </x:is>
      </x:c>
      <x:c r="AA8" t="inlineStr">
        <x:is>
          <x:t xml:space="preserve">88 Liberty St</x:t>
        </x:is>
      </x:c>
      <x:c r="AB8" t="inlineStr">
        <x:is>
          <x:t xml:space="preserve">Pittsburgh</x:t>
        </x:is>
      </x:c>
      <x:c r="AC8" t="inlineStr">
        <x:is>
          <x:t xml:space="preserve">PA</x:t>
        </x:is>
      </x:c>
      <x:c r="AD8" s="57" t="n">
        <x:v>45854.91666666666</x:v>
      </x:c>
      <x:c r="AE8" t="inlineStr">
        <x:is>
          <x:t xml:space="preserve">Beverages</x:t>
        </x:is>
      </x:c>
      <x:c r="AF8" s="68" t="n">
        <x:v>30608</x:v>
      </x:c>
      <x:c r="AG8" s="68" t="n">
        <x:v>24</x:v>
      </x:c>
      <x:c r="AH8" s="68" t="n">
        <x:v>936</x:v>
      </x:c>
      <x:c r="AI8" t="inlineStr">
        <x:is>
          <x:t xml:space="preserve">TRL-2579</x:t>
        </x:is>
      </x:c>
      <x:c r="AJ8" t="inlineStr">
        <x:is>
          <x:t xml:space="preserve">RC-507-641</x:t>
        </x:is>
      </x:c>
      <x:c r="AK8" t="inlineStr">
        <x:is>
          <x:t xml:space="preserve">BOL-507-5119</x:t>
        </x:is>
      </x:c>
      <x:c r="AL8" t="inlineStr">
        <x:is>
          <x:t xml:space="preserve">PENDING</x:t>
        </x:is>
      </x:c>
      <x:c r="AM8" s="57" t="n">
        <x:v>46217.45833333334</x:v>
      </x:c>
      <x:c r="AN8" s="64" t="n">
        <x:v>315</x:v>
      </x:c>
      <x:c r="AO8" t="inlineStr">
        <x:is>
          <x:t xml:space="preserve">RFID-507-11504</x:t>
        </x:is>
      </x:c>
      <x:c r="AP8" s="57" t="n">
        <x:v>45851.71666666667</x:v>
      </x:c>
      <x:c r="AQ8" s="57" t="n">
        <x:v>46217.41666666666</x:v>
      </x:c>
      <x:c r="AR8" t="inlineStr">
        <x:is>
          <x:t xml:space="preserve">Omaha Yard Gate 3</x:t>
        </x:is>
      </x:c>
      <x:c r="AS8" t="inlineStr">
        <x:is>
          <x:t xml:space="preserve">VERIFIED</x:t>
        </x:is>
      </x:c>
      <x:c r="AT8" t="inlineStr">
        <x:is>
          <x:t xml:space="preserve">MISREAD_AT_GATE</x:t>
        </x:is>
      </x:c>
      <x:c r="AU8" t="inlineStr">
        <x:is>
          <x:t xml:space="preserve">CLM-2026008</x:t>
        </x:is>
      </x:c>
      <x:c r="AV8" t="inlineStr">
        <x:is>
          <x:t xml:space="preserve">OPEN</x:t>
        </x:is>
      </x:c>
      <x:c r="AW8" t="inlineStr">
        <x:is>
          <x:t xml:space="preserve">Cargo Damage</x:t>
        </x:is>
      </x:c>
      <x:c r="AX8" s="55" t="n">
        <x:v>46217</x:v>
      </x:c>
      <x:c r="AY8" s="64" t="n">
        <x:v>1250</x:v>
      </x:c>
      <x:c r="AZ8" s="64" t="n">
        <x:v>500</x:v>
      </x:c>
      <x:c r="BA8" t="inlineStr">
        <x:is>
          <x:t xml:space="preserve">Taylor Brooks</x:t>
        </x:is>
      </x:c>
      <x:c r="BB8" t="inlineStr">
        <x:is>
          <x:t xml:space="preserve">Great West Casualty</x:t>
        </x:is>
      </x:c>
      <x:c r="BC8" t="inlineStr">
        <x:is>
          <x:t xml:space="preserve">POL-660008</x:t>
        </x:is>
      </x:c>
      <x:c r="BD8" t="inlineStr">
        <x:is>
          <x:t xml:space="preserve">Acme Distribution - St. Louis, MO</x:t>
        </x:is>
      </x:c>
      <x:c r="BE8" t="inlineStr">
        <x:is>
          <x:t xml:space="preserve">Metro Fulfillment - Chicago, IL</x:t>
        </x:is>
      </x:c>
      <x:c r="BF8" s="55" t="n">
        <x:v>46216</x:v>
      </x:c>
      <x:c r="BG8" s="55" t="n">
        <x:v>46217</x:v>
      </x:c>
      <x:c r="BH8" t="inlineStr">
        <x:is>
          <x:t xml:space="preserve">10:00-13:00</x:t>
        </x:is>
      </x:c>
      <x:c r="BI8" t="inlineStr">
        <x:is>
          <x:t xml:space="preserve">09:00-13:00</x:t>
        </x:is>
      </x:c>
      <x:c r="BJ8" s="64" t="n">
        <x:v>2358</x:v>
      </x:c>
      <x:c r="BK8" s="64" t="n">
        <x:v>1886</x:v>
      </x:c>
      <x:c r="BL8" s="64" t="n">
        <x:v>276</x:v>
      </x:c>
      <x:c r="BM8" s="64" t="n">
        <x:v>50</x:v>
      </x:c>
      <x:c r="BN8" s="64" t="n">
        <x:v>88</x:v>
      </x:c>
      <x:c r="BO8" t="n">
        <x:v>582</x:v>
      </x:c>
      <x:c r="BP8" t="inlineStr">
        <x:is>
          <x:t xml:space="preserve">BLN-100506</x:t>
        </x:is>
      </x:c>
      <x:c r="BQ8" t="inlineStr">
        <x:is>
          <x:t xml:space="preserve">PO-84006</x:t>
        </x:is>
      </x:c>
      <x:c r="BR8" t="inlineStr">
        <x:is>
          <x:t xml:space="preserve">RECEIVED</x:t>
        </x:is>
      </x:c>
      <x:c r="BS8" t="inlineStr">
        <x:is>
          <x:t xml:space="preserve">/proof/pod/L-507.jpg</x:t>
        </x:is>
      </x:c>
      <x:c r="BT8" t="inlineStr">
        <x:is>
          <x:t xml:space="preserve">Dock Supervisor</x:t>
        </x:is>
      </x:c>
      <x:c r="BU8" t="inlineStr">
        <x:is>
          <x:t xml:space="preserve">MISSING</x:t>
        </x:is>
      </x:c>
      <x:c r="BV8" s="55" t="n">
        <x:v>46216</x:v>
      </x:c>
      <x:c r="BW8" t="inlineStr">
        <x:is>
          <x:t xml:space="preserve">UPLOADED</x:t>
        </x:is>
      </x:c>
      <x:c r="BX8" s="55" t="n">
        <x:v>46215</x:v>
      </x:c>
      <x:c r="BY8" t="inlineStr">
        <x:is>
          <x:t xml:space="preserve">TRAIL-2008</x:t>
        </x:is>
      </x:c>
      <x:c r="BZ8" t="inlineStr">
        <x:is>
          <x:t xml:space="preserve">CARGO-5008</x:t>
        </x:is>
      </x:c>
      <x:c r="CA8" s="57" t="n">
        <x:v>46217.42708333334</x:v>
      </x:c>
      <x:c r="CB8" t="inlineStr">
        <x:is>
          <x:t xml:space="preserve">Yard Gate A</x:t>
        </x:is>
      </x:c>
      <x:c r="CC8" t="inlineStr">
        <x:is>
          <x:t xml:space="preserve">YES</x:t>
        </x:is>
      </x:c>
      <x:c r="CD8" t="inlineStr">
        <x:is>
          <x:t xml:space="preserve">Seal mismatch review</x:t>
        </x:is>
      </x:c>
      <x:c r="CE8" s="64" t="n">
        <x:v>1062.5</x:v>
      </x:c>
      <x:c r="CF8" s="64" t="n">
        <x:v>1250</x:v>
      </x:c>
      <x:c r="CG8" t="inlineStr">
        <x:is>
          <x:t xml:space="preserve">Motor Truck Cargo</x:t>
        </x:is>
      </x:c>
      <x:c r="CH8" t="inlineStr">
        <x:is>
          <x:t xml:space="preserve">YES</x:t>
        </x:is>
      </x:c>
      <x:c r="CI8" t="inlineStr">
        <x:is>
          <x:t xml:space="preserve">NO</x:t>
        </x:is>
      </x:c>
    </x:row>
    <x:row r="9" s="24" customFormat="1" ht="15" customHeight="1">
      <x:c r="A9" s="11" t="inlineStr">
        <x:is>
          <x:t xml:space="preserve">L-508</x:t>
        </x:is>
      </x:c>
      <x:c r="B9" s="11" t="inlineStr">
        <x:is>
          <x:t xml:space="preserve">Driver 8</x:t>
        </x:is>
      </x:c>
      <x:c r="C9" s="11" t="inlineStr">
        <x:is>
          <x:t xml:space="preserve">T-110</x:t>
        </x:is>
      </x:c>
      <x:c r="D9" s="69" t="n">
        <x:v>1750</x:v>
      </x:c>
      <x:c r="E9" s="69" t="n">
        <x:v>81</x:v>
      </x:c>
      <x:c r="F9" s="26" t="inlineStr">
        <x:is>
          <x:t xml:space="preserve">Yes</x:t>
        </x:is>
      </x:c>
      <x:c r="G9" s="11" t="inlineStr">
        <x:is>
          <x:t xml:space="preserve">Delivered</x:t>
        </x:is>
      </x:c>
      <x:c r="H9" s="13" t="n"/>
      <x:c r="I9" t="inlineStr">
        <x:is>
          <x:t xml:space="preserve">SEAL-18542</x:t>
        </x:is>
      </x:c>
      <x:c r="J9" t="inlineStr">
        <x:is>
          <x:t xml:space="preserve">pickup_photo_08.jpg</x:t>
        </x:is>
      </x:c>
      <x:c r="K9" t="inlineStr">
        <x:is>
          <x:t xml:space="preserve">SEAL-18542</x:t>
        </x:is>
      </x:c>
      <x:c r="L9" t="inlineStr">
        <x:is>
          <x:t xml:space="preserve">delivery_photo_08.jpg</x:t>
        </x:is>
      </x:c>
      <x:c r="M9" t="str">
        <x:f>IF(K9="","Pending",IF(K9&lt;&gt;I9,"Mismatch","Verified"))</x:f>
        <x:v>Verified</x:v>
      </x:c>
      <x:c r="N9" t="str">
        <x:f>IF(M9="Mismatch","SEAL MISMATCH","")</x:f>
      </x:c>
      <x:c r="P9" t="str">
        <x:f>IF(M9="Mismatch","Seal mismatch detected. Pickup: "&amp;I9&amp;" Delivery: "&amp;K9&amp;" | Override: "&amp;IF(O9="","None",O9),"")</x:f>
      </x:c>
      <x:c r="Q9" t="str">
        <x:f>IF(N9="SEAL MISMATCH",IF(O9="","LOCKED","OVERRIDDEN"),"CLEAR")</x:f>
        <x:v>CLEAR</x:v>
      </x:c>
      <x:c r="R9" t="inlineStr">
        <x:is>
          <x:t xml:space="preserve">Morgan Patel</x:t>
        </x:is>
      </x:c>
      <x:c r="S9" t="inlineStr">
        <x:is>
          <x:t xml:space="preserve">IronRoute Transport</x:t>
        </x:is>
      </x:c>
      <x:c r="T9" t="inlineStr">
        <x:is>
          <x:t xml:space="preserve">MC-518903</x:t>
        </x:is>
      </x:c>
      <x:c r="U9" t="inlineStr">
        <x:is>
          <x:t xml:space="preserve">Peachtree Foods</x:t>
        </x:is>
      </x:c>
      <x:c r="V9" t="inlineStr">
        <x:is>
          <x:t xml:space="preserve">1450 Industrial Pkwy</x:t>
        </x:is>
      </x:c>
      <x:c r="W9" t="inlineStr">
        <x:is>
          <x:t xml:space="preserve">Atlanta</x:t>
        </x:is>
      </x:c>
      <x:c r="X9" t="inlineStr">
        <x:is>
          <x:t xml:space="preserve">GA</x:t>
        </x:is>
      </x:c>
      <x:c r="Y9" s="57" t="n">
        <x:v>45853.75</x:v>
      </x:c>
      <x:c r="Z9" t="inlineStr">
        <x:is>
          <x:t xml:space="preserve">Desert Valley Grocers</x:t>
        </x:is>
      </x:c>
      <x:c r="AA9" t="inlineStr">
        <x:is>
          <x:t xml:space="preserve">504 Mesa Park</x:t>
        </x:is>
      </x:c>
      <x:c r="AB9" t="inlineStr">
        <x:is>
          <x:t xml:space="preserve">Phoenix</x:t>
        </x:is>
      </x:c>
      <x:c r="AC9" t="inlineStr">
        <x:is>
          <x:t xml:space="preserve">AZ</x:t>
        </x:is>
      </x:c>
      <x:c r="AD9" s="57" t="n">
        <x:v>45855.08333333334</x:v>
      </x:c>
      <x:c r="AE9" t="inlineStr">
        <x:is>
          <x:t xml:space="preserve">Auto parts</x:t>
        </x:is>
      </x:c>
      <x:c r="AF9" s="68" t="n">
        <x:v>34403</x:v>
      </x:c>
      <x:c r="AG9" s="68" t="n">
        <x:v>17</x:v>
      </x:c>
      <x:c r="AH9" s="68" t="n">
        <x:v>612</x:v>
      </x:c>
      <x:c r="AI9" t="inlineStr">
        <x:is>
          <x:t xml:space="preserve">TRL-2208</x:t>
        </x:is>
      </x:c>
      <x:c r="AJ9" t="inlineStr">
        <x:is>
          <x:t xml:space="preserve">RC-508-991</x:t>
        </x:is>
      </x:c>
      <x:c r="AK9" t="inlineStr">
        <x:is>
          <x:t xml:space="preserve">BOL-508-5889</x:t>
        </x:is>
      </x:c>
      <x:c r="AL9" t="inlineStr">
        <x:is>
          <x:t xml:space="preserve">YES</x:t>
        </x:is>
      </x:c>
      <x:c r="AM9" s="57" t="n">
        <x:v>45855.33333333334</x:v>
      </x:c>
      <x:c r="AN9" s="64" t="n">
        <x:v>315</x:v>
      </x:c>
      <x:c r="AO9" t="inlineStr">
        <x:is>
          <x:t xml:space="preserve">RFID-508-89818</x:t>
        </x:is>
      </x:c>
      <x:c r="AP9" s="57" t="n">
        <x:v>45853.76180555556</x:v>
      </x:c>
      <x:c r="AQ9" s="57" t="n">
        <x:v>45855.09652777778</x:v>
      </x:c>
      <x:c r="AR9" t="inlineStr">
        <x:is>
          <x:t xml:space="preserve">Atlanta Yard Gate 3</x:t>
        </x:is>
      </x:c>
      <x:c r="AS9" t="inlineStr">
        <x:is>
          <x:t xml:space="preserve">VERIFIED</x:t>
        </x:is>
      </x:c>
      <x:c r="AT9" t="inlineStr">
        <x:is>
          <x:t xml:space="preserve">DUPLICATE_SCAN</x:t>
        </x:is>
      </x:c>
      <x:c r="AU9" t="inlineStr">
        <x:is>
          <x:t xml:space="preserve">CLM-508-9689</x:t>
        </x:is>
      </x:c>
      <x:c r="AV9" t="inlineStr">
        <x:is>
          <x:t xml:space="preserve">OPEN</x:t>
        </x:is>
      </x:c>
      <x:c r="AW9" t="inlineStr">
        <x:is>
          <x:t xml:space="preserve">Shortage</x:t>
        </x:is>
      </x:c>
      <x:c r="AX9" s="55" t="n">
        <x:v>45855</x:v>
      </x:c>
      <x:c r="AY9" s="64" t="n">
        <x:v>6722.38</x:v>
      </x:c>
      <x:c r="AZ9" s="64" t="n">
        <x:v>500</x:v>
      </x:c>
      <x:c r="BA9" t="inlineStr">
        <x:is>
          <x:t xml:space="preserve">Alicia Gomez</x:t>
        </x:is>
      </x:c>
      <x:c r="BB9" t="inlineStr">
        <x:is>
          <x:t xml:space="preserve">Great West Casualty</x:t>
        </x:is>
      </x:c>
      <x:c r="BC9" t="inlineStr">
        <x:is>
          <x:t xml:space="preserve">POL-351083</x:t>
        </x:is>
      </x:c>
      <x:c r="BD9" t="inlineStr">
        <x:is>
          <x:t xml:space="preserve">Midwest Foods - Nashville, TN</x:t>
        </x:is>
      </x:c>
      <x:c r="BE9" t="inlineStr">
        <x:is>
          <x:t xml:space="preserve">South Hub DC - Indianapolis, IN</x:t>
        </x:is>
      </x:c>
      <x:c r="BF9" s="55" t="n">
        <x:v>46218</x:v>
      </x:c>
      <x:c r="BG9" s="55" t="n">
        <x:v>46219</x:v>
      </x:c>
      <x:c r="BH9" t="inlineStr">
        <x:is>
          <x:t xml:space="preserve">08:00-11:00</x:t>
        </x:is>
      </x:c>
      <x:c r="BI9" t="inlineStr">
        <x:is>
          <x:t xml:space="preserve">10:00-14:00</x:t>
        </x:is>
      </x:c>
      <x:c r="BJ9" s="64" t="n">
        <x:v>1831</x:v>
      </x:c>
      <x:c r="BK9" s="64" t="n">
        <x:v>1435</x:v>
      </x:c>
      <x:c r="BL9" s="64" t="n">
        <x:v>210</x:v>
      </x:c>
      <x:c r="BM9" s="64" t="n">
        <x:v>75</x:v>
      </x:c>
      <x:c r="BN9" s="64" t="n">
        <x:v>30</x:v>
      </x:c>
      <x:c r="BO9" t="n">
        <x:v>639</x:v>
      </x:c>
      <x:c r="BP9" t="inlineStr">
        <x:is>
          <x:t xml:space="preserve">BLN-100507</x:t>
        </x:is>
      </x:c>
      <x:c r="BQ9" t="inlineStr">
        <x:is>
          <x:t xml:space="preserve">PO-84007</x:t>
        </x:is>
      </x:c>
      <x:c r="BR9" t="inlineStr">
        <x:is>
          <x:t xml:space="preserve">PENDING</x:t>
        </x:is>
      </x:c>
      <x:c r="BS9" t="inlineStr">
        <x:is>
          <x:t xml:space="preserve">/proof/pod/L-508.jpg</x:t>
        </x:is>
      </x:c>
      <x:c r="BT9" t="inlineStr">
        <x:is>
          <x:t xml:space="preserve">Inventory Lead</x:t>
        </x:is>
      </x:c>
      <x:c r="BU9" t="inlineStr">
        <x:is>
          <x:t xml:space="preserve">UPLOADED</x:t>
        </x:is>
      </x:c>
      <x:c r="BV9" s="55" t="n">
        <x:v>46218</x:v>
      </x:c>
      <x:c r="BW9" t="inlineStr">
        <x:is>
          <x:t xml:space="preserve">UPLOADED</x:t>
        </x:is>
      </x:c>
      <x:c r="BX9" s="55" t="n">
        <x:v>46217</x:v>
      </x:c>
      <x:c r="BY9" t="inlineStr">
        <x:is>
          <x:t xml:space="preserve">TRAIL-2009</x:t>
        </x:is>
      </x:c>
      <x:c r="BZ9" t="inlineStr">
        <x:is>
          <x:t xml:space="preserve">CARGO-5009</x:t>
        </x:is>
      </x:c>
      <x:c r="CA9" s="57" t="n">
        <x:v>46219.42708333334</x:v>
      </x:c>
      <x:c r="CB9" t="inlineStr">
        <x:is>
          <x:t xml:space="preserve">Warehouse South</x:t>
        </x:is>
      </x:c>
      <x:c r="CC9" t="inlineStr">
        <x:is>
          <x:t xml:space="preserve">YES</x:t>
        </x:is>
      </x:c>
      <x:c r="CD9" t="inlineStr">
        <x:is>
          <x:t xml:space="preserve">No active claim</x:t>
        </x:is>
      </x:c>
      <x:c r="CE9" s="64" t="n">
        <x:v>5714.023</x:v>
      </x:c>
      <x:c r="CF9" s="64" t="n">
        <x:v>6222.38</x:v>
      </x:c>
      <x:c r="CG9" t="inlineStr">
        <x:is>
          <x:t xml:space="preserve">Auto Liability</x:t>
        </x:is>
      </x:c>
      <x:c r="CH9" t="inlineStr">
        <x:is>
          <x:t xml:space="preserve">YES</x:t>
        </x:is>
      </x:c>
      <x:c r="CI9" t="inlineStr">
        <x:is>
          <x:t xml:space="preserve">YES</x:t>
        </x:is>
      </x:c>
    </x:row>
    <x:row r="10" s="24" customFormat="1" ht="15" customHeight="1">
      <x:c r="A10" s="11" t="inlineStr">
        <x:is>
          <x:t xml:space="preserve">L-509</x:t>
        </x:is>
      </x:c>
      <x:c r="B10" s="11" t="inlineStr">
        <x:is>
          <x:t xml:space="preserve">Driver 9</x:t>
        </x:is>
      </x:c>
      <x:c r="C10" s="11" t="inlineStr">
        <x:is>
          <x:t xml:space="preserve">T-111</x:t>
        </x:is>
      </x:c>
      <x:c r="D10" s="69" t="n">
        <x:v>2400</x:v>
      </x:c>
      <x:c r="E10" s="69" t="n">
        <x:v>49</x:v>
      </x:c>
      <x:c r="F10" s="26" t="inlineStr">
        <x:is>
          <x:t xml:space="preserve">No</x:t>
        </x:is>
      </x:c>
      <x:c r="G10" s="11" t="inlineStr">
        <x:is>
          <x:t xml:space="preserve">Pending</x:t>
        </x:is>
      </x:c>
      <x:c r="H10" s="13" t="inlineStr">
        <x:is>
          <x:t xml:space="preserve">Customer hold</x:t>
        </x:is>
      </x:c>
      <x:c r="I10" t="inlineStr">
        <x:is>
          <x:t xml:space="preserve">SEAL-26790</x:t>
        </x:is>
      </x:c>
      <x:c r="J10" t="inlineStr">
        <x:is>
          <x:t xml:space="preserve">pickup_photo_09.jpg</x:t>
        </x:is>
      </x:c>
      <x:c r="K10" t="inlineStr">
        <x:is>
          <x:t xml:space="preserve">SEAL-26791</x:t>
        </x:is>
      </x:c>
      <x:c r="L10" t="inlineStr">
        <x:is>
          <x:t xml:space="preserve">delivery_photo_09.jpg</x:t>
        </x:is>
      </x:c>
      <x:c r="M10" t="str">
        <x:f>IF(K10="","Pending",IF(K10&lt;&gt;I10,"Mismatch","Verified"))</x:f>
        <x:v>Mismatch</x:v>
      </x:c>
      <x:c r="N10" t="str">
        <x:f>IF(M10="Mismatch","SEAL MISMATCH","")</x:f>
        <x:v>SEAL MISMATCH</x:v>
      </x:c>
      <x:c r="O10" t="inlineStr">
        <x:is>
          <x:t xml:space="preserve">Carrier note logged</x:t>
        </x:is>
      </x:c>
      <x:c r="P10" t="str">
        <x:f>IF(M10="Mismatch","Seal mismatch detected. Pickup: "&amp;I10&amp;" Delivery: "&amp;K10&amp;" | Override: "&amp;IF(O10="","None",O10),"")</x:f>
        <x:v>Seal mismatch detected. Pickup: SEAL-26790 Delivery: SEAL-26791 | Override: Carrier note logged</x:v>
      </x:c>
      <x:c r="Q10" t="str">
        <x:f>IF(N10="SEAL MISMATCH",IF(O10="","LOCKED","OVERRIDDEN"),"CLEAR")</x:f>
        <x:v>OVERRIDDEN</x:v>
      </x:c>
      <x:c r="R10" t="inlineStr">
        <x:is>
          <x:t xml:space="preserve">Avery Collins</x:t>
        </x:is>
      </x:c>
      <x:c r="S10" t="inlineStr">
        <x:is>
          <x:t xml:space="preserve">NorthStar 3PL</x:t>
        </x:is>
      </x:c>
      <x:c r="T10" t="inlineStr">
        <x:is>
          <x:t xml:space="preserve">MC-774221</x:t>
        </x:is>
      </x:c>
      <x:c r="U10" t="inlineStr">
        <x:is>
          <x:t xml:space="preserve">Lakeside Plastics</x:t>
        </x:is>
      </x:c>
      <x:c r="V10" t="inlineStr">
        <x:is>
          <x:t xml:space="preserve">880 Harbor Dr</x:t>
        </x:is>
      </x:c>
      <x:c r="W10" t="inlineStr">
        <x:is>
          <x:t xml:space="preserve">Cleveland</x:t>
        </x:is>
      </x:c>
      <x:c r="X10" t="inlineStr">
        <x:is>
          <x:t xml:space="preserve">OH</x:t>
        </x:is>
      </x:c>
      <x:c r="Y10" s="57" t="n">
        <x:v>45855.5</x:v>
      </x:c>
      <x:c r="Z10" t="inlineStr">
        <x:is>
          <x:t xml:space="preserve">Great Lakes Foods</x:t>
        </x:is>
      </x:c>
      <x:c r="AA10" t="inlineStr">
        <x:is>
          <x:t xml:space="preserve">109 Shoreline Dr</x:t>
        </x:is>
      </x:c>
      <x:c r="AB10" t="inlineStr">
        <x:is>
          <x:t xml:space="preserve">Detroit</x:t>
        </x:is>
      </x:c>
      <x:c r="AC10" t="inlineStr">
        <x:is>
          <x:t xml:space="preserve">MI</x:t>
        </x:is>
      </x:c>
      <x:c r="AD10" s="57" t="n">
        <x:v>45858.70833333334</x:v>
      </x:c>
      <x:c r="AE10" t="inlineStr">
        <x:is>
          <x:t xml:space="preserve">Frozen foods</x:t>
        </x:is>
      </x:c>
      <x:c r="AF10" s="68" t="n">
        <x:v>20806</x:v>
      </x:c>
      <x:c r="AG10" s="68" t="n">
        <x:v>27</x:v>
      </x:c>
      <x:c r="AH10" s="68" t="n">
        <x:v>1242</x:v>
      </x:c>
      <x:c r="AI10" t="inlineStr">
        <x:is>
          <x:t xml:space="preserve">TRL-2170</x:t>
        </x:is>
      </x:c>
      <x:c r="AJ10" t="inlineStr">
        <x:is>
          <x:t xml:space="preserve">RC-509-878</x:t>
        </x:is>
      </x:c>
      <x:c r="AK10" t="inlineStr">
        <x:is>
          <x:t xml:space="preserve">BOL-509-9727</x:t>
        </x:is>
      </x:c>
      <x:c r="AL10" t="inlineStr">
        <x:is>
          <x:t xml:space="preserve">NO</x:t>
        </x:is>
      </x:c>
      <x:c r="AM10" s="57" t="n">
        <x:v>46221.45833333334</x:v>
      </x:c>
      <x:c r="AN10" s="64" t="n">
        <x:v>125</x:v>
      </x:c>
      <x:c r="AO10" t="inlineStr">
        <x:is>
          <x:t xml:space="preserve">RFID-509-26828</x:t>
        </x:is>
      </x:c>
      <x:c r="AP10" s="57" t="n">
        <x:v>45855.52430555555</x:v>
      </x:c>
      <x:c r="AQ10" s="57" t="n">
        <x:v>46221.41666666666</x:v>
      </x:c>
      <x:c r="AR10" t="inlineStr">
        <x:is>
          <x:t xml:space="preserve">Cleveland Yard Gate 2</x:t>
        </x:is>
      </x:c>
      <x:c r="AS10" t="inlineStr">
        <x:is>
          <x:t xml:space="preserve">PENDING_DELIVERY</x:t>
        </x:is>
      </x:c>
      <x:c r="AT10" t="inlineStr">
        <x:is>
          <x:t xml:space="preserve"/>
        </x:is>
      </x:c>
      <x:c r="AU10" t="inlineStr">
        <x:is>
          <x:t xml:space="preserve">CLM-2026010</x:t>
        </x:is>
      </x:c>
      <x:c r="AV10" t="inlineStr">
        <x:is>
          <x:t xml:space="preserve">FILED</x:t>
        </x:is>
      </x:c>
      <x:c r="AW10" t="inlineStr">
        <x:is>
          <x:t xml:space="preserve">Seal Tampering</x:t>
        </x:is>
      </x:c>
      <x:c r="AX10" s="55" t="n">
        <x:v>46221</x:v>
      </x:c>
      <x:c r="AY10" s="64" t="n">
        <x:v>750</x:v>
      </x:c>
      <x:c r="AZ10" s="64" t="n">
        <x:v>500</x:v>
      </x:c>
      <x:c r="BA10" t="inlineStr">
        <x:is>
          <x:t xml:space="preserve">Casey Nguyen</x:t>
        </x:is>
      </x:c>
      <x:c r="BB10" t="inlineStr">
        <x:is>
          <x:t xml:space="preserve">Nationwide</x:t>
        </x:is>
      </x:c>
      <x:c r="BC10" t="inlineStr">
        <x:is>
          <x:t xml:space="preserve">POL-660010</x:t>
        </x:is>
      </x:c>
      <x:c r="BD10" t="inlineStr">
        <x:is>
          <x:t xml:space="preserve">BlueLine Retail - Cleveland, OH</x:t>
        </x:is>
      </x:c>
      <x:c r="BE10" t="inlineStr">
        <x:is>
          <x:t xml:space="preserve">Lakeside Grocery - Dallas, TX</x:t>
        </x:is>
      </x:c>
      <x:c r="BF10" s="55" t="n">
        <x:v>46220</x:v>
      </x:c>
      <x:c r="BG10" s="55" t="n">
        <x:v>46221</x:v>
      </x:c>
      <x:c r="BH10" t="inlineStr">
        <x:is>
          <x:t xml:space="preserve">09:00-12:00</x:t>
        </x:is>
      </x:c>
      <x:c r="BI10" t="inlineStr">
        <x:is>
          <x:t xml:space="preserve">11:00-15:00</x:t>
        </x:is>
      </x:c>
      <x:c r="BJ10" s="64" t="n">
        <x:v>2449</x:v>
      </x:c>
      <x:c r="BK10" s="64" t="n">
        <x:v>1967</x:v>
      </x:c>
      <x:c r="BL10" s="64" t="n">
        <x:v>288</x:v>
      </x:c>
      <x:c r="BM10" s="64" t="n">
        <x:v>0</x:v>
      </x:c>
      <x:c r="BN10" s="64" t="n">
        <x:v>145</x:v>
      </x:c>
      <x:c r="BO10" t="n">
        <x:v>696</x:v>
      </x:c>
      <x:c r="BP10" t="inlineStr">
        <x:is>
          <x:t xml:space="preserve">BLN-100508</x:t>
        </x:is>
      </x:c>
      <x:c r="BQ10" t="inlineStr">
        <x:is>
          <x:t xml:space="preserve">PO-84008</x:t>
        </x:is>
      </x:c>
      <x:c r="BR10" t="inlineStr">
        <x:is>
          <x:t xml:space="preserve">RECEIVED</x:t>
        </x:is>
      </x:c>
      <x:c r="BS10" t="inlineStr">
        <x:is>
          <x:t xml:space="preserve">/proof/pod/L-509.jpg</x:t>
        </x:is>
      </x:c>
      <x:c r="BT10" t="inlineStr">
        <x:is>
          <x:t xml:space="preserve">Warehouse Clerk</x:t>
        </x:is>
      </x:c>
      <x:c r="BU10" t="inlineStr">
        <x:is>
          <x:t xml:space="preserve">UPLOADED</x:t>
        </x:is>
      </x:c>
      <x:c r="BV10" s="55" t="n">
        <x:v>46220</x:v>
      </x:c>
      <x:c r="BW10" t="inlineStr">
        <x:is>
          <x:t xml:space="preserve">UPLOADED</x:t>
        </x:is>
      </x:c>
      <x:c r="BX10" s="55" t="n">
        <x:v>46219</x:v>
      </x:c>
      <x:c r="BY10" t="inlineStr">
        <x:is>
          <x:t xml:space="preserve">TRAIL-2010</x:t>
        </x:is>
      </x:c>
      <x:c r="BZ10" t="inlineStr">
        <x:is>
          <x:t xml:space="preserve">CARGO-5010</x:t>
        </x:is>
      </x:c>
      <x:c r="CA10" s="57" t="n">
        <x:v>46221.42708333334</x:v>
      </x:c>
      <x:c r="CB10" t="inlineStr">
        <x:is>
          <x:t xml:space="preserve">Crossdock Bay 2</x:t>
        </x:is>
      </x:c>
      <x:c r="CC10" t="inlineStr">
        <x:is>
          <x:t xml:space="preserve">YES</x:t>
        </x:is>
      </x:c>
      <x:c r="CD10" t="inlineStr">
        <x:is>
          <x:t xml:space="preserve">Shortage under review</x:t>
        </x:is>
      </x:c>
      <x:c r="CE10" s="64" t="n">
        <x:v>637.5</x:v>
      </x:c>
      <x:c r="CF10" s="64" t="n">
        <x:v>750</x:v>
      </x:c>
      <x:c r="CG10" t="inlineStr">
        <x:is>
          <x:t xml:space="preserve">General Liability</x:t>
        </x:is>
      </x:c>
      <x:c r="CH10" t="inlineStr">
        <x:is>
          <x:t xml:space="preserve">YES</x:t>
        </x:is>
      </x:c>
      <x:c r="CI10" t="inlineStr">
        <x:is>
          <x:t xml:space="preserve">YES</x:t>
        </x:is>
      </x:c>
    </x:row>
    <x:row r="11" s="24" customFormat="1" ht="15" customHeight="1">
      <x:c r="A11" s="11" t="inlineStr">
        <x:is>
          <x:t xml:space="preserve">L-510</x:t>
        </x:is>
      </x:c>
      <x:c r="B11" s="11" t="inlineStr">
        <x:is>
          <x:t xml:space="preserve">Driver 10</x:t>
        </x:is>
      </x:c>
      <x:c r="C11" s="11" t="inlineStr">
        <x:is>
          <x:t xml:space="preserve">T-105</x:t>
        </x:is>
      </x:c>
      <x:c r="D11" s="69" t="n">
        <x:v>1900</x:v>
      </x:c>
      <x:c r="E11" s="69" t="n">
        <x:v>77</x:v>
      </x:c>
      <x:c r="F11" s="26" t="inlineStr">
        <x:is>
          <x:t xml:space="preserve">Yes</x:t>
        </x:is>
      </x:c>
      <x:c r="G11" s="11" t="inlineStr">
        <x:is>
          <x:t xml:space="preserve">Delivered</x:t>
        </x:is>
      </x:c>
      <x:c r="H11" s="13" t="n"/>
      <x:c r="I11" t="inlineStr">
        <x:is>
          <x:t xml:space="preserve">SEAL-48113</x:t>
        </x:is>
      </x:c>
      <x:c r="J11" t="inlineStr">
        <x:is>
          <x:t xml:space="preserve">pickup_photo_10.jpg</x:t>
        </x:is>
      </x:c>
      <x:c r="M11" t="str">
        <x:f>IF(K11="","Pending",IF(K11&lt;&gt;I11,"Mismatch","Verified"))</x:f>
        <x:v>Pending</x:v>
      </x:c>
      <x:c r="N11" t="str">
        <x:f>IF(M11="Mismatch","SEAL MISMATCH","")</x:f>
      </x:c>
      <x:c r="P11" t="str">
        <x:f>IF(M11="Mismatch","Seal mismatch detected. Pickup: "&amp;I11&amp;" Delivery: "&amp;K11&amp;" | Override: "&amp;IF(O11="","None",O11),"")</x:f>
      </x:c>
      <x:c r="Q11" t="str">
        <x:f>IF(N11="SEAL MISMATCH",IF(O11="","LOCKED","OVERRIDDEN"),"CLEAR")</x:f>
        <x:v>CLEAR</x:v>
      </x:c>
      <x:c r="R11" t="inlineStr">
        <x:is>
          <x:t xml:space="preserve">Nina Harris</x:t>
        </x:is>
      </x:c>
      <x:c r="S11" t="inlineStr">
        <x:is>
          <x:t xml:space="preserve">Pioneer Brokerage</x:t>
        </x:is>
      </x:c>
      <x:c r="T11" t="inlineStr">
        <x:is>
          <x:t xml:space="preserve">MC-699114</x:t>
        </x:is>
      </x:c>
      <x:c r="U11" t="inlineStr">
        <x:is>
          <x:t xml:space="preserve">Midwest Paper Co.</x:t>
        </x:is>
      </x:c>
      <x:c r="V11" t="inlineStr">
        <x:is>
          <x:t xml:space="preserve">2210 Mill Rd</x:t>
        </x:is>
      </x:c>
      <x:c r="W11" t="inlineStr">
        <x:is>
          <x:t xml:space="preserve">Columbus</x:t>
        </x:is>
      </x:c>
      <x:c r="X11" t="inlineStr">
        <x:is>
          <x:t xml:space="preserve">OH</x:t>
        </x:is>
      </x:c>
      <x:c r="Y11" s="57" t="n">
        <x:v>45857.625</x:v>
      </x:c>
      <x:c r="Z11" t="inlineStr">
        <x:is>
          <x:t xml:space="preserve">Capital Retail Hub</x:t>
        </x:is>
      </x:c>
      <x:c r="AA11" t="inlineStr">
        <x:is>
          <x:t xml:space="preserve">755 Market Loop</x:t>
        </x:is>
      </x:c>
      <x:c r="AB11" t="inlineStr">
        <x:is>
          <x:t xml:space="preserve">Indianapolis</x:t>
        </x:is>
      </x:c>
      <x:c r="AC11" t="inlineStr">
        <x:is>
          <x:t xml:space="preserve">IN</x:t>
        </x:is>
      </x:c>
      <x:c r="AD11" s="57" t="n">
        <x:v>45860.95833333334</x:v>
      </x:c>
      <x:c r="AE11" t="inlineStr">
        <x:is>
          <x:t xml:space="preserve">Dry groceries</x:t>
        </x:is>
      </x:c>
      <x:c r="AF11" s="68" t="n">
        <x:v>31074</x:v>
      </x:c>
      <x:c r="AG11" s="68" t="n">
        <x:v>23</x:v>
      </x:c>
      <x:c r="AH11" s="68" t="n">
        <x:v>782</x:v>
      </x:c>
      <x:c r="AI11" t="inlineStr">
        <x:is>
          <x:t xml:space="preserve">TRL-2629</x:t>
        </x:is>
      </x:c>
      <x:c r="AJ11" t="inlineStr">
        <x:is>
          <x:t xml:space="preserve">RC-510-562</x:t>
        </x:is>
      </x:c>
      <x:c r="AK11" t="inlineStr">
        <x:is>
          <x:t xml:space="preserve">BOL-510-2982</x:t>
        </x:is>
      </x:c>
      <x:c r="AL11" t="inlineStr">
        <x:is>
          <x:t xml:space="preserve">YES</x:t>
        </x:is>
      </x:c>
      <x:c r="AM11" s="57" t="n">
        <x:v>45861.04166666666</x:v>
      </x:c>
      <x:c r="AN11" s="64" t="n">
        <x:v>125</x:v>
      </x:c>
      <x:c r="AO11" t="inlineStr">
        <x:is>
          <x:t xml:space="preserve">RFID-510-18392</x:t>
        </x:is>
      </x:c>
      <x:c r="AP11" s="57" t="n">
        <x:v>45857.64305555556</x:v>
      </x:c>
      <x:c r="AQ11" s="57" t="n">
        <x:v>45860.96597222222</x:v>
      </x:c>
      <x:c r="AR11" t="inlineStr">
        <x:is>
          <x:t xml:space="preserve">Columbus Yard Gate 2</x:t>
        </x:is>
      </x:c>
      <x:c r="AS11" t="inlineStr">
        <x:is>
          <x:t xml:space="preserve">VERIFIED</x:t>
        </x:is>
      </x:c>
      <x:c r="AT11" t="inlineStr">
        <x:is>
          <x:t xml:space="preserve"/>
        </x:is>
      </x:c>
      <x:c r="AU11" t="inlineStr">
        <x:is>
          <x:t xml:space="preserve">CLM-510-1964</x:t>
        </x:is>
      </x:c>
      <x:c r="AV11" t="inlineStr">
        <x:is>
          <x:t xml:space="preserve">OPEN</x:t>
        </x:is>
      </x:c>
      <x:c r="AW11" t="inlineStr">
        <x:is>
          <x:t xml:space="preserve">Cargo Damage</x:t>
        </x:is>
      </x:c>
      <x:c r="AX11" s="55" t="n">
        <x:v>45860</x:v>
      </x:c>
      <x:c r="AY11" s="64" t="n">
        <x:v>11390.7</x:v>
      </x:c>
      <x:c r="AZ11" s="64" t="n">
        <x:v>1000</x:v>
      </x:c>
      <x:c r="BA11" t="inlineStr">
        <x:is>
          <x:t xml:space="preserve">Kelly Moore</x:t>
        </x:is>
      </x:c>
      <x:c r="BB11" t="inlineStr">
        <x:is>
          <x:t xml:space="preserve">Travelers Inland Marine</x:t>
        </x:is>
      </x:c>
      <x:c r="BC11" t="inlineStr">
        <x:is>
          <x:t xml:space="preserve">POL-392004</x:t>
        </x:is>
      </x:c>
      <x:c r="BD11" t="inlineStr">
        <x:is>
          <x:t xml:space="preserve">NorthStar Paper - Chicago, IL</x:t>
        </x:is>
      </x:c>
      <x:c r="BE11" t="inlineStr">
        <x:is>
          <x:t xml:space="preserve">Cleveland Receiver - Memphis, TN</x:t>
        </x:is>
      </x:c>
      <x:c r="BF11" s="55" t="n">
        <x:v>46222</x:v>
      </x:c>
      <x:c r="BG11" s="55" t="n">
        <x:v>46223</x:v>
      </x:c>
      <x:c r="BH11" t="inlineStr">
        <x:is>
          <x:t xml:space="preserve">10:00-13:00</x:t>
        </x:is>
      </x:c>
      <x:c r="BI11" t="inlineStr">
        <x:is>
          <x:t xml:space="preserve">09:00-13:00</x:t>
        </x:is>
      </x:c>
      <x:c r="BJ11" s="64" t="n">
        <x:v>1977</x:v>
      </x:c>
      <x:c r="BK11" s="64" t="n">
        <x:v>1558</x:v>
      </x:c>
      <x:c r="BL11" s="64" t="n">
        <x:v>228</x:v>
      </x:c>
      <x:c r="BM11" s="64" t="n">
        <x:v>25</x:v>
      </x:c>
      <x:c r="BN11" s="64" t="n">
        <x:v>89</x:v>
      </x:c>
      <x:c r="BO11" t="n">
        <x:v>753</x:v>
      </x:c>
      <x:c r="BP11" t="inlineStr">
        <x:is>
          <x:t xml:space="preserve">BLN-100509</x:t>
        </x:is>
      </x:c>
      <x:c r="BQ11" t="inlineStr">
        <x:is>
          <x:t xml:space="preserve">PO-84009</x:t>
        </x:is>
      </x:c>
      <x:c r="BR11" t="inlineStr">
        <x:is>
          <x:t xml:space="preserve">RECEIVED</x:t>
        </x:is>
      </x:c>
      <x:c r="BS11" t="inlineStr">
        <x:is>
          <x:t xml:space="preserve">/proof/pod/L-510.jpg</x:t>
        </x:is>
      </x:c>
      <x:c r="BT11" t="inlineStr">
        <x:is>
          <x:t xml:space="preserve">Receiver</x:t>
        </x:is>
      </x:c>
      <x:c r="BU11" t="inlineStr">
        <x:is>
          <x:t xml:space="preserve">UPLOADED</x:t>
        </x:is>
      </x:c>
      <x:c r="BV11" s="55" t="n">
        <x:v>46222</x:v>
      </x:c>
      <x:c r="BW11" t="inlineStr">
        <x:is>
          <x:t xml:space="preserve">UPLOADED</x:t>
        </x:is>
      </x:c>
      <x:c r="BX11" s="55" t="n">
        <x:v>46221</x:v>
      </x:c>
      <x:c r="BY11" t="inlineStr">
        <x:is>
          <x:t xml:space="preserve">TRAIL-2011</x:t>
        </x:is>
      </x:c>
      <x:c r="BZ11" t="inlineStr">
        <x:is>
          <x:t xml:space="preserve">CARGO-5011</x:t>
        </x:is>
      </x:c>
      <x:c r="CA11" s="57" t="n">
        <x:v>46223.42708333334</x:v>
      </x:c>
      <x:c r="CB11" t="inlineStr">
        <x:is>
          <x:t xml:space="preserve">Receiver Gate 1</x:t>
        </x:is>
      </x:c>
      <x:c r="CC11" t="inlineStr">
        <x:is>
          <x:t xml:space="preserve">YES</x:t>
        </x:is>
      </x:c>
      <x:c r="CD11" t="inlineStr">
        <x:is>
          <x:t xml:space="preserve">Cargo shift photos attached</x:t>
        </x:is>
      </x:c>
      <x:c r="CE11" s="64" t="n">
        <x:v>9682.095000000001</x:v>
      </x:c>
      <x:c r="CF11" s="64" t="n">
        <x:v>10390.7</x:v>
      </x:c>
      <x:c r="CG11" t="inlineStr">
        <x:is>
          <x:t xml:space="preserve">Motor Truck Cargo</x:t>
        </x:is>
      </x:c>
      <x:c r="CH11" t="inlineStr">
        <x:is>
          <x:t xml:space="preserve">YES</x:t>
        </x:is>
      </x:c>
      <x:c r="CI11" t="inlineStr">
        <x:is>
          <x:t xml:space="preserve">YES</x:t>
        </x:is>
      </x:c>
    </x:row>
    <x:row r="12" s="24" customFormat="1" ht="15" customHeight="1">
      <x:c r="A12" s="11" t="inlineStr">
        <x:is>
          <x:t xml:space="preserve">L-511</x:t>
        </x:is>
      </x:c>
      <x:c r="B12" s="11" t="inlineStr">
        <x:is>
          <x:t xml:space="preserve">Driver 11</x:t>
        </x:is>
      </x:c>
      <x:c r="C12" s="11" t="inlineStr">
        <x:is>
          <x:t xml:space="preserve">T-112</x:t>
        </x:is>
      </x:c>
      <x:c r="D12" s="69" t="n">
        <x:v>2250</x:v>
      </x:c>
      <x:c r="E12" s="69" t="n">
        <x:v>63</x:v>
      </x:c>
      <x:c r="F12" s="26" t="inlineStr">
        <x:is>
          <x:t xml:space="preserve">No</x:t>
        </x:is>
      </x:c>
      <x:c r="G12" s="11" t="inlineStr">
        <x:is>
          <x:t xml:space="preserve">In-Transit</x:t>
        </x:is>
      </x:c>
      <x:c r="H12" s="13" t="n"/>
      <x:c r="I12" t="inlineStr">
        <x:is>
          <x:t xml:space="preserve">SEAL-91420</x:t>
        </x:is>
      </x:c>
      <x:c r="J12" t="inlineStr">
        <x:is>
          <x:t xml:space="preserve">pickup_photo_11.jpg</x:t>
        </x:is>
      </x:c>
      <x:c r="K12" t="inlineStr">
        <x:is>
          <x:t xml:space="preserve">SEAL-91420</x:t>
        </x:is>
      </x:c>
      <x:c r="L12" t="inlineStr">
        <x:is>
          <x:t xml:space="preserve">delivery_photo_11.jpg</x:t>
        </x:is>
      </x:c>
      <x:c r="M12" t="str">
        <x:f>IF(K12="","Pending",IF(K12&lt;&gt;I12,"Mismatch","Verified"))</x:f>
        <x:v>Verified</x:v>
      </x:c>
      <x:c r="N12" t="str">
        <x:f>IF(M12="Mismatch","SEAL MISMATCH","")</x:f>
      </x:c>
      <x:c r="P12" t="str">
        <x:f>IF(M12="Mismatch","Seal mismatch detected. Pickup: "&amp;I12&amp;" Delivery: "&amp;K12&amp;" | Override: "&amp;IF(O12="","None",O12),"")</x:f>
      </x:c>
      <x:c r="Q12" t="str">
        <x:f>IF(N12="SEAL MISMATCH",IF(O12="","LOCKED","OVERRIDDEN"),"CLEAR")</x:f>
        <x:v>CLEAR</x:v>
      </x:c>
      <x:c r="R12" t="inlineStr">
        <x:is>
          <x:t xml:space="preserve">Tina Brooks</x:t>
        </x:is>
      </x:c>
      <x:c r="S12" t="inlineStr">
        <x:is>
          <x:t xml:space="preserve">BlueLine Logistics</x:t>
        </x:is>
      </x:c>
      <x:c r="T12" t="inlineStr">
        <x:is>
          <x:t xml:space="preserve">MC-782104</x:t>
        </x:is>
      </x:c>
      <x:c r="U12" t="inlineStr">
        <x:is>
          <x:t xml:space="preserve">Sunbelt Beverages</x:t>
        </x:is>
      </x:c>
      <x:c r="V12" t="inlineStr">
        <x:is>
          <x:t xml:space="preserve">9900 Commerce Blvd</x:t>
        </x:is>
      </x:c>
      <x:c r="W12" t="inlineStr">
        <x:is>
          <x:t xml:space="preserve">Charlotte</x:t>
        </x:is>
      </x:c>
      <x:c r="X12" t="inlineStr">
        <x:is>
          <x:t xml:space="preserve">NC</x:t>
        </x:is>
      </x:c>
      <x:c r="Y12" s="57" t="n">
        <x:v>45859.79166666666</x:v>
      </x:c>
      <x:c r="Z12" t="inlineStr">
        <x:is>
          <x:t xml:space="preserve">Bayport Imports</x:t>
        </x:is>
      </x:c>
      <x:c r="AA12" t="inlineStr">
        <x:is>
          <x:t xml:space="preserve">330 Dockside Ln</x:t>
        </x:is>
      </x:c>
      <x:c r="AB12" t="inlineStr">
        <x:is>
          <x:t xml:space="preserve">Savannah</x:t>
        </x:is>
      </x:c>
      <x:c r="AC12" t="inlineStr">
        <x:is>
          <x:t xml:space="preserve">GA</x:t>
        </x:is>
      </x:c>
      <x:c r="AD12" s="57" t="n">
        <x:v>45863.04166666666</x:v>
      </x:c>
      <x:c r="AE12" t="inlineStr">
        <x:is>
          <x:t xml:space="preserve">Plastic resins</x:t>
        </x:is>
      </x:c>
      <x:c r="AF12" s="68" t="n">
        <x:v>41702</x:v>
      </x:c>
      <x:c r="AG12" s="68" t="n">
        <x:v>27</x:v>
      </x:c>
      <x:c r="AH12" s="68" t="n">
        <x:v>729</x:v>
      </x:c>
      <x:c r="AI12" t="inlineStr">
        <x:is>
          <x:t xml:space="preserve">TRL-2584</x:t>
        </x:is>
      </x:c>
      <x:c r="AJ12" t="inlineStr">
        <x:is>
          <x:t xml:space="preserve">RC-511-926</x:t>
        </x:is>
      </x:c>
      <x:c r="AK12" t="inlineStr">
        <x:is>
          <x:t xml:space="preserve">BOL-511-7669</x:t>
        </x:is>
      </x:c>
      <x:c r="AL12" t="inlineStr">
        <x:is>
          <x:t xml:space="preserve">PENDING</x:t>
        </x:is>
      </x:c>
      <x:c r="AM12" s="57" t="n">
        <x:v>46225.45833333334</x:v>
      </x:c>
      <x:c r="AN12" s="64" t="n">
        <x:v>125</x:v>
      </x:c>
      <x:c r="AO12" t="inlineStr">
        <x:is>
          <x:t xml:space="preserve">RFID-511-22363</x:t>
        </x:is>
      </x:c>
      <x:c r="AP12" s="57" t="n">
        <x:v>45859.79930555556</x:v>
      </x:c>
      <x:c r="AQ12" s="57" t="n">
        <x:v>46225.41666666666</x:v>
      </x:c>
      <x:c r="AR12" t="inlineStr">
        <x:is>
          <x:t xml:space="preserve">Charlotte Yard Gate 4</x:t>
        </x:is>
      </x:c>
      <x:c r="AS12" t="inlineStr">
        <x:is>
          <x:t xml:space="preserve">PENDING_DELIVERY</x:t>
        </x:is>
      </x:c>
      <x:c r="AT12" t="inlineStr">
        <x:is>
          <x:t xml:space="preserve">MISREAD_AT_GATE</x:t>
        </x:is>
      </x:c>
      <x:c r="AU12" t="inlineStr">
        <x:is>
          <x:t xml:space="preserve"/>
        </x:is>
      </x:c>
      <x:c r="AV12" t="inlineStr">
        <x:is>
          <x:t xml:space="preserve">NO_CLAIM</x:t>
        </x:is>
      </x:c>
      <x:c r="AW12" t="inlineStr">
        <x:is>
          <x:t xml:space="preserve"/>
        </x:is>
      </x:c>
      <x:c r="AX12" s="55" t="n"/>
      <x:c r="AY12" s="64" t="n">
        <x:v>0</x:v>
      </x:c>
      <x:c r="AZ12" s="64" t="n">
        <x:v>500</x:v>
      </x:c>
      <x:c r="BA12" t="inlineStr">
        <x:is>
          <x:t xml:space="preserve"/>
        </x:is>
      </x:c>
      <x:c r="BB12" t="inlineStr">
        <x:is>
          <x:t xml:space="preserve">Progressive Commercial</x:t>
        </x:is>
      </x:c>
      <x:c r="BC12" t="inlineStr">
        <x:is>
          <x:t xml:space="preserve">POL-660012</x:t>
        </x:is>
      </x:c>
      <x:c r="BD12" t="inlineStr">
        <x:is>
          <x:t xml:space="preserve">Rapid Parts - Indianapolis, IN</x:t>
        </x:is>
      </x:c>
      <x:c r="BE12" t="inlineStr">
        <x:is>
          <x:t xml:space="preserve">Delta Retail DC - Atlanta, GA</x:t>
        </x:is>
      </x:c>
      <x:c r="BF12" s="55" t="n">
        <x:v>46224</x:v>
      </x:c>
      <x:c r="BG12" s="55" t="n">
        <x:v>46225</x:v>
      </x:c>
      <x:c r="BH12" t="inlineStr">
        <x:is>
          <x:t xml:space="preserve">08:00-11:00</x:t>
        </x:is>
      </x:c>
      <x:c r="BI12" t="inlineStr">
        <x:is>
          <x:t xml:space="preserve">10:00-14:00</x:t>
        </x:is>
      </x:c>
      <x:c r="BJ12" s="64" t="n">
        <x:v>2313</x:v>
      </x:c>
      <x:c r="BK12" s="64" t="n">
        <x:v>1845</x:v>
      </x:c>
      <x:c r="BL12" s="64" t="n">
        <x:v>270</x:v>
      </x:c>
      <x:c r="BM12" s="64" t="n">
        <x:v>0</x:v>
      </x:c>
      <x:c r="BN12" s="64" t="n">
        <x:v>135</x:v>
      </x:c>
      <x:c r="BO12" t="n">
        <x:v>810</x:v>
      </x:c>
      <x:c r="BP12" t="inlineStr">
        <x:is>
          <x:t xml:space="preserve">BLN-100510</x:t>
        </x:is>
      </x:c>
      <x:c r="BQ12" t="inlineStr">
        <x:is>
          <x:t xml:space="preserve">PO-84010</x:t>
        </x:is>
      </x:c>
      <x:c r="BR12" t="inlineStr">
        <x:is>
          <x:t xml:space="preserve">PENDING</x:t>
        </x:is>
      </x:c>
      <x:c r="BS12" t="inlineStr">
        <x:is>
          <x:t xml:space="preserve">/proof/pod/L-511.jpg</x:t>
        </x:is>
      </x:c>
      <x:c r="BT12" t="inlineStr">
        <x:is>
          <x:t xml:space="preserve">Dock Supervisor</x:t>
        </x:is>
      </x:c>
      <x:c r="BU12" t="inlineStr">
        <x:is>
          <x:t xml:space="preserve">MISSING</x:t>
        </x:is>
      </x:c>
      <x:c r="BV12" s="55" t="n">
        <x:v>46224</x:v>
      </x:c>
      <x:c r="BW12" t="inlineStr">
        <x:is>
          <x:t xml:space="preserve">UPLOADED</x:t>
        </x:is>
      </x:c>
      <x:c r="BX12" s="55" t="n">
        <x:v>46223</x:v>
      </x:c>
      <x:c r="BY12" t="inlineStr">
        <x:is>
          <x:t xml:space="preserve">TRAIL-2012</x:t>
        </x:is>
      </x:c>
      <x:c r="BZ12" t="inlineStr">
        <x:is>
          <x:t xml:space="preserve">CARGO-5012</x:t>
        </x:is>
      </x:c>
      <x:c r="CA12" s="57" t="n">
        <x:v>46225.42708333334</x:v>
      </x:c>
      <x:c r="CB12" t="inlineStr">
        <x:is>
          <x:t xml:space="preserve">Dock Door 3</x:t>
        </x:is>
      </x:c>
      <x:c r="CC12" t="inlineStr">
        <x:is>
          <x:t xml:space="preserve">NO</x:t>
        </x:is>
      </x:c>
      <x:c r="CD12" t="inlineStr">
        <x:is>
          <x:t xml:space="preserve">No active claim</x:t>
        </x:is>
      </x:c>
      <x:c r="CE12" s="64" t="n">
        <x:v>0</x:v>
      </x:c>
      <x:c r="CF12" s="64" t="n">
        <x:v>0</x:v>
      </x:c>
      <x:c r="CG12" t="inlineStr">
        <x:is>
          <x:t xml:space="preserve">Auto Liability</x:t>
        </x:is>
      </x:c>
      <x:c r="CH12" t="inlineStr">
        <x:is>
          <x:t xml:space="preserve">NO</x:t>
        </x:is>
      </x:c>
      <x:c r="CI12" t="inlineStr">
        <x:is>
          <x:t xml:space="preserve">NO</x:t>
        </x:is>
      </x:c>
    </x:row>
    <x:row r="13" s="24" customFormat="1" ht="15" customHeight="1">
      <x:c r="A13" s="11" t="inlineStr">
        <x:is>
          <x:t xml:space="preserve">L-512</x:t>
        </x:is>
      </x:c>
      <x:c r="B13" s="11" t="inlineStr">
        <x:is>
          <x:t xml:space="preserve">Driver 12</x:t>
        </x:is>
      </x:c>
      <x:c r="C13" s="13" t="inlineStr">
        <x:is>
          <x:t xml:space="preserve">T-106</x:t>
        </x:is>
      </x:c>
      <x:c r="D13" s="69" t="n">
        <x:v>2150</x:v>
      </x:c>
      <x:c r="E13" s="69" t="n">
        <x:v>69</x:v>
      </x:c>
      <x:c r="F13" s="26" t="inlineStr">
        <x:is>
          <x:t xml:space="preserve">Yes</x:t>
        </x:is>
      </x:c>
      <x:c r="G13" s="11" t="inlineStr">
        <x:is>
          <x:t xml:space="preserve">Delivered</x:t>
        </x:is>
      </x:c>
      <x:c r="H13" s="13" t="n"/>
      <x:c r="I13" t="inlineStr">
        <x:is>
          <x:t xml:space="preserve">SEAL-35864</x:t>
        </x:is>
      </x:c>
      <x:c r="J13" t="inlineStr">
        <x:is>
          <x:t xml:space="preserve">pickup_photo_12.jpg</x:t>
        </x:is>
      </x:c>
      <x:c r="K13" t="inlineStr">
        <x:is>
          <x:t xml:space="preserve">SEAL-35860</x:t>
        </x:is>
      </x:c>
      <x:c r="L13" t="inlineStr">
        <x:is>
          <x:t xml:space="preserve">delivery_photo_12.jpg</x:t>
        </x:is>
      </x:c>
      <x:c r="M13" t="str">
        <x:f>IF(K13="","Pending",IF(K13&lt;&gt;I13,"Mismatch","Verified"))</x:f>
        <x:v>Mismatch</x:v>
      </x:c>
      <x:c r="N13" t="str">
        <x:f>IF(M13="Mismatch","SEAL MISMATCH","")</x:f>
        <x:v>SEAL MISMATCH</x:v>
      </x:c>
      <x:c r="P13" t="str">
        <x:f>IF(M13="Mismatch","Seal mismatch detected. Pickup: "&amp;I13&amp;" Delivery: "&amp;K13&amp;" | Override: "&amp;IF(O13="","None",O13),"")</x:f>
        <x:v>Seal mismatch detected. Pickup: SEAL-35864 Delivery: SEAL-35860 | Override: None</x:v>
      </x:c>
      <x:c r="Q13" t="str">
        <x:f>IF(N13="SEAL MISMATCH",IF(O13="","LOCKED","OVERRIDDEN"),"CLEAR")</x:f>
        <x:v>LOCKED</x:v>
      </x:c>
      <x:c r="R13" t="inlineStr">
        <x:is>
          <x:t xml:space="preserve">Jamal Reeves</x:t>
        </x:is>
      </x:c>
      <x:c r="S13" t="inlineStr">
        <x:is>
          <x:t xml:space="preserve">Summit Freight</x:t>
        </x:is>
      </x:c>
      <x:c r="T13" t="inlineStr">
        <x:is>
          <x:t xml:space="preserve">MC-641255</x:t>
        </x:is>
      </x:c>
      <x:c r="U13" t="inlineStr">
        <x:is>
          <x:t xml:space="preserve">Frontier Retail DC</x:t>
        </x:is>
      </x:c>
      <x:c r="V13" t="inlineStr">
        <x:is>
          <x:t xml:space="preserve">5600 Warehouse Way</x:t>
        </x:is>
      </x:c>
      <x:c r="W13" t="inlineStr">
        <x:is>
          <x:t xml:space="preserve">Dallas</x:t>
        </x:is>
      </x:c>
      <x:c r="X13" t="inlineStr">
        <x:is>
          <x:t xml:space="preserve">TX</x:t>
        </x:is>
      </x:c>
      <x:c r="Y13" s="57" t="n">
        <x:v>45861.41666666666</x:v>
      </x:c>
      <x:c r="Z13" t="inlineStr">
        <x:is>
          <x:t xml:space="preserve">Metro Supply Chain</x:t>
        </x:is>
      </x:c>
      <x:c r="AA13" t="inlineStr">
        <x:is>
          <x:t xml:space="preserve">120 Junction Rd</x:t>
        </x:is>
      </x:c>
      <x:c r="AB13" t="inlineStr">
        <x:is>
          <x:t xml:space="preserve">Chicago</x:t>
        </x:is>
      </x:c>
      <x:c r="AC13" t="inlineStr">
        <x:is>
          <x:t xml:space="preserve">IL</x:t>
        </x:is>
      </x:c>
      <x:c r="AD13" s="57" t="n">
        <x:v>45862.83333333334</x:v>
      </x:c>
      <x:c r="AE13" t="inlineStr">
        <x:is>
          <x:t xml:space="preserve">Building materials</x:t>
        </x:is>
      </x:c>
      <x:c r="AF13" s="68" t="n">
        <x:v>41862</x:v>
      </x:c>
      <x:c r="AG13" s="68" t="n">
        <x:v>22</x:v>
      </x:c>
      <x:c r="AH13" s="68" t="n">
        <x:v>990</x:v>
      </x:c>
      <x:c r="AI13" t="inlineStr">
        <x:is>
          <x:t xml:space="preserve">TRL-2211</x:t>
        </x:is>
      </x:c>
      <x:c r="AJ13" t="inlineStr">
        <x:is>
          <x:t xml:space="preserve">RC-512-354</x:t>
        </x:is>
      </x:c>
      <x:c r="AK13" t="inlineStr">
        <x:is>
          <x:t xml:space="preserve">BOL-512-4139</x:t>
        </x:is>
      </x:c>
      <x:c r="AL13" t="inlineStr">
        <x:is>
          <x:t xml:space="preserve">YES</x:t>
        </x:is>
      </x:c>
      <x:c r="AM13" s="57" t="n">
        <x:v>45862.91666666666</x:v>
      </x:c>
      <x:c r="AN13" s="64" t="n">
        <x:v>315</x:v>
      </x:c>
      <x:c r="AO13" t="inlineStr">
        <x:is>
          <x:t xml:space="preserve">RFID-512-68800</x:t>
        </x:is>
      </x:c>
      <x:c r="AP13" s="57" t="n">
        <x:v>45861.42569444444</x:v>
      </x:c>
      <x:c r="AQ13" s="57" t="n">
        <x:v>45862.85902777778</x:v>
      </x:c>
      <x:c r="AR13" t="inlineStr">
        <x:is>
          <x:t xml:space="preserve">Dallas Yard Gate 2</x:t>
        </x:is>
      </x:c>
      <x:c r="AS13" t="inlineStr">
        <x:is>
          <x:t xml:space="preserve">VERIFIED</x:t>
        </x:is>
      </x:c>
      <x:c r="AT13" t="inlineStr">
        <x:is>
          <x:t xml:space="preserve"/>
        </x:is>
      </x:c>
      <x:c r="AU13" t="inlineStr">
        <x:is>
          <x:t xml:space="preserve">CLM-512-2235</x:t>
        </x:is>
      </x:c>
      <x:c r="AV13" t="inlineStr">
        <x:is>
          <x:t xml:space="preserve">UNDER_REVIEW</x:t>
        </x:is>
      </x:c>
      <x:c r="AW13" t="inlineStr">
        <x:is>
          <x:t xml:space="preserve">Cargo Damage</x:t>
        </x:is>
      </x:c>
      <x:c r="AX13" s="55" t="n">
        <x:v>45862</x:v>
      </x:c>
      <x:c r="AY13" s="64" t="n">
        <x:v>1816.59</x:v>
      </x:c>
      <x:c r="AZ13" s="64" t="n">
        <x:v>1500</x:v>
      </x:c>
      <x:c r="BA13" t="inlineStr">
        <x:is>
          <x:t xml:space="preserve">Kelly Moore</x:t>
        </x:is>
      </x:c>
      <x:c r="BB13" t="inlineStr">
        <x:is>
          <x:t xml:space="preserve">Progressive Commercial</x:t>
        </x:is>
      </x:c>
      <x:c r="BC13" t="inlineStr">
        <x:is>
          <x:t xml:space="preserve">POL-890170</x:t>
        </x:is>
      </x:c>
      <x:c r="BD13" t="inlineStr">
        <x:is>
          <x:t xml:space="preserve">Prime Consumer - Dallas, TX</x:t>
        </x:is>
      </x:c>
      <x:c r="BE13" t="inlineStr">
        <x:is>
          <x:t xml:space="preserve">Union Crossdock - St. Louis, MO</x:t>
        </x:is>
      </x:c>
      <x:c r="BF13" s="55" t="n">
        <x:v>46226</x:v>
      </x:c>
      <x:c r="BG13" s="55" t="n">
        <x:v>46227</x:v>
      </x:c>
      <x:c r="BH13" t="inlineStr">
        <x:is>
          <x:t xml:space="preserve">09:00-12:00</x:t>
        </x:is>
      </x:c>
      <x:c r="BI13" t="inlineStr">
        <x:is>
          <x:t xml:space="preserve">11:00-15:00</x:t>
        </x:is>
      </x:c>
      <x:c r="BJ13" s="64" t="n">
        <x:v>2219</x:v>
      </x:c>
      <x:c r="BK13" s="64" t="n">
        <x:v>1763</x:v>
      </x:c>
      <x:c r="BL13" s="64" t="n">
        <x:v>258</x:v>
      </x:c>
      <x:c r="BM13" s="64" t="n">
        <x:v>50</x:v>
      </x:c>
      <x:c r="BN13" s="64" t="n">
        <x:v>79</x:v>
      </x:c>
      <x:c r="BO13" t="n">
        <x:v>867</x:v>
      </x:c>
      <x:c r="BP13" t="inlineStr">
        <x:is>
          <x:t xml:space="preserve">BLN-100511</x:t>
        </x:is>
      </x:c>
      <x:c r="BQ13" t="inlineStr">
        <x:is>
          <x:t xml:space="preserve">PO-84011</x:t>
        </x:is>
      </x:c>
      <x:c r="BR13" t="inlineStr">
        <x:is>
          <x:t xml:space="preserve">RECEIVED</x:t>
        </x:is>
      </x:c>
      <x:c r="BS13" t="inlineStr">
        <x:is>
          <x:t xml:space="preserve">/proof/pod/L-512.jpg</x:t>
        </x:is>
      </x:c>
      <x:c r="BT13" t="inlineStr">
        <x:is>
          <x:t xml:space="preserve">Inventory Lead</x:t>
        </x:is>
      </x:c>
      <x:c r="BU13" t="inlineStr">
        <x:is>
          <x:t xml:space="preserve">UPLOADED</x:t>
        </x:is>
      </x:c>
      <x:c r="BV13" s="55" t="n">
        <x:v>46226</x:v>
      </x:c>
      <x:c r="BW13" t="inlineStr">
        <x:is>
          <x:t xml:space="preserve">UPLOADED</x:t>
        </x:is>
      </x:c>
      <x:c r="BX13" s="55" t="n">
        <x:v>46225</x:v>
      </x:c>
      <x:c r="BY13" t="inlineStr">
        <x:is>
          <x:t xml:space="preserve">TRAIL-2013</x:t>
        </x:is>
      </x:c>
      <x:c r="BZ13" t="inlineStr">
        <x:is>
          <x:t xml:space="preserve">CARGO-5013</x:t>
        </x:is>
      </x:c>
      <x:c r="CA13" s="57" t="n">
        <x:v>46227.42708333334</x:v>
      </x:c>
      <x:c r="CB13" t="inlineStr">
        <x:is>
          <x:t xml:space="preserve">Yard Gate A</x:t>
        </x:is>
      </x:c>
      <x:c r="CC13" t="inlineStr">
        <x:is>
          <x:t xml:space="preserve">YES</x:t>
        </x:is>
      </x:c>
      <x:c r="CD13" t="inlineStr">
        <x:is>
          <x:t xml:space="preserve">Seal mismatch review</x:t>
        </x:is>
      </x:c>
      <x:c r="CE13" s="64" t="n">
        <x:v>1544.1015</x:v>
      </x:c>
      <x:c r="CF13" s="64" t="n">
        <x:v>316.5899999999999</x:v>
      </x:c>
      <x:c r="CG13" t="inlineStr">
        <x:is>
          <x:t xml:space="preserve">General Liability</x:t>
        </x:is>
      </x:c>
      <x:c r="CH13" t="inlineStr">
        <x:is>
          <x:t xml:space="preserve">YES</x:t>
        </x:is>
      </x:c>
      <x:c r="CI13" t="inlineStr">
        <x:is>
          <x:t xml:space="preserve">YES</x:t>
        </x:is>
      </x:c>
    </x:row>
  </x:sheetData>
  <x:conditionalFormatting sqref="G2:G13">
    <x:cfRule type="containsText" dxfId="1" priority="4" operator="containsText">
      <x:formula>NOT(ISERROR(SEARCH("Pending",G2)))</x:formula>
    </x:cfRule>
    <x:cfRule type="containsText" dxfId="0" priority="5" operator="containsText">
      <x:formula>NOT(ISERROR(SEARCH("Transit",G2)))</x:formula>
    </x:cfRule>
    <x:cfRule type="containsText" dxfId="2" priority="6" operator="containsText">
      <x:formula>NOT(ISERROR(SEARCH("Delivered",G2)))</x:formula>
    </x:cfRule>
  </x:conditionalFormatting>
  <x:conditionalFormatting sqref="G2:G100">
    <x:cfRule type="expression" dxfId="8" priority="14">
      <x:formula>$Q2="LOCKED"</x:formula>
    </x:cfRule>
  </x:conditionalFormatting>
  <x:conditionalFormatting sqref="H2:H13">
    <x:cfRule type="containsText" dxfId="1" priority="1" operator="containsText">
      <x:formula>NOT(ISERROR(SEARCH("Problem (or Issue)",H2)))</x:formula>
    </x:cfRule>
    <x:cfRule type="containsText" dxfId="0" priority="2" operator="containsText">
      <x:formula>NOT(ISERROR(SEARCH("In Process",H2)))</x:formula>
    </x:cfRule>
  </x:conditionalFormatting>
  <x:conditionalFormatting sqref="M2:M13">
    <x:cfRule type="expression" dxfId="13" priority="7">
      <x:formula>M2="Verified"</x:formula>
    </x:cfRule>
    <x:cfRule type="expression" dxfId="10" priority="7">
      <x:formula>M2="Mismatch"</x:formula>
    </x:cfRule>
    <x:cfRule type="expression" dxfId="11" priority="8">
      <x:formula>M2="Pending"</x:formula>
    </x:cfRule>
  </x:conditionalFormatting>
  <x:conditionalFormatting sqref="N2:N13">
    <x:cfRule type="expression" dxfId="10" priority="9">
      <x:formula>N2="SEAL MISMATCH"</x:formula>
    </x:cfRule>
  </x:conditionalFormatting>
  <x:conditionalFormatting sqref="O2:O13">
    <x:cfRule type="expression" dxfId="9" priority="10">
      <x:formula>AND(N2="SEAL MISMATCH",O2="")</x:formula>
    </x:cfRule>
  </x:conditionalFormatting>
  <x:conditionalFormatting sqref="Q2:Q100">
    <x:cfRule type="expression" dxfId="8" priority="11">
      <x:formula>Q2="LOCKED"</x:formula>
    </x:cfRule>
    <x:cfRule type="expression" dxfId="7" priority="12">
      <x:formula>Q2="OVERRIDDEN"</x:formula>
    </x:cfRule>
    <x:cfRule type="expression" dxfId="6" priority="13">
      <x:formula>Q2="CLEAR"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4.25"/>
  <x:cols>
    <x:col min="1" max="1" width="24" style="24" customWidth="1"/>
    <x:col min="2" max="2" width="12" style="24" customWidth="1"/>
    <x:col min="3" max="4" width="14" style="24" customWidth="1"/>
    <x:col min="4" max="4" width="14" style="24" customWidth="1"/>
    <x:col min="5" max="5" width="10" style="24" customWidth="1"/>
    <x:col min="7" max="7" width="2" style="24" customWidth="1"/>
    <x:col min="8" max="9" width="12" style="24" customWidth="1"/>
  </x:cols>
  <x:sheetData>
    <x:row r="1" s="24" customFormat="1" ht="18" customHeight="1">
      <x:c r="A1" s="39" t="inlineStr">
        <x:is>
          <x:t xml:space="preserve">Compliance Monitoring Dashboard</x:t>
        </x:is>
      </x:c>
    </x:row>
    <x:row r="2">
      <x:c r="A2" s="40" t="inlineStr">
        <x:is>
          <x:t xml:space="preserve">Updated to reference Dispatch and all cells are editable</x:t>
        </x:is>
      </x:c>
    </x:row>
    <x:row r="4" s="24" customFormat="1" ht="15" customHeight="1">
      <x:c r="A4" s="41" t="inlineStr">
        <x:is>
          <x:t xml:space="preserve">Total Loads</x:t>
        </x:is>
      </x:c>
      <x:c r="B4" s="42" t="n">
        <x:f>COUNTA(Dispatch!$A$2:$A$1000)</x:f>
        <x:v>12</x:v>
      </x:c>
    </x:row>
    <x:row r="5" s="24" customFormat="1" ht="15" customHeight="1">
      <x:c r="A5" s="41" t="inlineStr">
        <x:is>
          <x:t xml:space="preserve">Verified</x:t>
        </x:is>
      </x:c>
      <x:c r="B5" s="42" t="n">
        <x:f>COUNTIF(Dispatch!$M$2:$M$1000,"Verified")</x:f>
        <x:v>4</x:v>
      </x:c>
    </x:row>
    <x:row r="6" s="24" customFormat="1" ht="15" customHeight="1">
      <x:c r="A6" s="41" t="inlineStr">
        <x:is>
          <x:t xml:space="preserve">Mismatch</x:t>
        </x:is>
      </x:c>
      <x:c r="B6" s="42" t="n">
        <x:f>COUNTIF(Dispatch!$M$2:$M$1000,"Mismatch")</x:f>
        <x:v>5</x:v>
      </x:c>
    </x:row>
    <x:row r="7" s="24" customFormat="1" ht="15" customHeight="1">
      <x:c r="A7" s="41" t="inlineStr">
        <x:is>
          <x:t xml:space="preserve">Pending</x:t>
        </x:is>
      </x:c>
      <x:c r="B7" s="42" t="n">
        <x:f>COUNTIF(Dispatch!$M$2:$M$1000,"Pending")</x:f>
        <x:v>3</x:v>
      </x:c>
    </x:row>
    <x:row r="8" s="24" customFormat="1" ht="15" customHeight="1">
      <x:c r="A8" s="41" t="inlineStr">
        <x:is>
          <x:t xml:space="preserve">Locked</x:t>
        </x:is>
      </x:c>
      <x:c r="B8" s="42" t="n">
        <x:f>COUNTIF(Dispatch!$Q$2:$Q$1000,"LOCKED")</x:f>
        <x:v>3</x:v>
      </x:c>
    </x:row>
    <x:row r="9" s="24" customFormat="1" ht="15" customHeight="1">
      <x:c r="A9" s="41" t="inlineStr">
        <x:is>
          <x:t xml:space="preserve">Overrides</x:t>
        </x:is>
      </x:c>
      <x:c r="B9" s="42" t="n">
        <x:f>COUNTIF(Dispatch!$Q$2:$Q$1000,"OVERRIDDEN")</x:f>
        <x:v>2</x:v>
      </x:c>
    </x:row>
    <x:row r="10" s="24" customFormat="1" ht="15" customHeight="1">
      <x:c r="A10" s="41" t="inlineStr">
        <x:is>
          <x:t xml:space="preserve">Compliance %</x:t>
        </x:is>
      </x:c>
      <x:c r="B10" s="43" t="n">
        <x:f>IF(B4=0,0,B5/B4)</x:f>
        <x:v>0.3333333333333333</x:v>
      </x:c>
    </x:row>
    <x:row r="13" s="24" customFormat="1" ht="15" customHeight="1">
      <x:c r="A13" s="44" t="inlineStr">
        <x:is>
          <x:t xml:space="preserve">Driver ID</x:t>
        </x:is>
      </x:c>
      <x:c r="B13" s="44" t="inlineStr">
        <x:is>
          <x:t xml:space="preserve">Deal Count</x:t>
        </x:is>
      </x:c>
      <x:c r="C13" s="44" t="inlineStr">
        <x:is>
          <x:t xml:space="preserve">Revenue</x:t>
        </x:is>
      </x:c>
      <x:c r="D13" s="44" t="inlineStr">
        <x:is>
          <x:t xml:space="preserve">Compliance %</x:t>
        </x:is>
      </x:c>
      <x:c r="E13" s="44" t="inlineStr">
        <x:is>
          <x:t xml:space="preserve">Locked</x:t>
        </x:is>
      </x:c>
    </x:row>
    <x:row r="14">
      <x:c r="A14" s="45" t="inlineStr">
        <x:is>
          <x:t xml:space="preserve">Driver 1</x:t>
        </x:is>
      </x:c>
      <x:c r="B14" s="45" t="n">
        <x:f>COUNTIF(Dispatch!$B$2:$B$1000,A14)</x:f>
        <x:v>1</x:v>
      </x:c>
      <x:c r="C14" s="46" t="n">
        <x:f>SUMIF(Dispatch!$B$2:$B$1000,A14,Dispatch!$D$2:$D$1000)</x:f>
        <x:v>2000</x:v>
      </x:c>
      <x:c r="D14" s="47" t="n">
        <x:f>IF(B14=0,0,COUNTIFS(Dispatch!$B$2:$B$1000,A14,Dispatch!$M$2:$M$1000,"Verified")/B14)</x:f>
        <x:v>0</x:v>
      </x:c>
      <x:c r="E14" s="45" t="n">
        <x:f>COUNTIFS(Dispatch!$B$2:$B$1000,A14,Dispatch!$Q$2:$Q$1000,"LOCKED")</x:f>
        <x:v>1</x:v>
      </x:c>
    </x:row>
    <x:row r="15">
      <x:c r="A15" s="45" t="inlineStr">
        <x:is>
          <x:t xml:space="preserve">Driver 2</x:t>
        </x:is>
      </x:c>
      <x:c r="B15" s="45" t="n">
        <x:f>COUNTIF(Dispatch!$B$2:$B$1000,A15)</x:f>
        <x:v>1</x:v>
      </x:c>
      <x:c r="C15" s="46" t="n">
        <x:f>SUMIF(Dispatch!$B$2:$B$1000,A15,Dispatch!$D$2:$D$1000)</x:f>
        <x:v>1800</x:v>
      </x:c>
      <x:c r="D15" s="47" t="n">
        <x:f>IF(B15=0,0,COUNTIFS(Dispatch!$B$2:$B$1000,A15,Dispatch!$M$2:$M$1000,"Verified")/B15)</x:f>
        <x:v>1</x:v>
      </x:c>
      <x:c r="E15" s="45" t="n">
        <x:f>COUNTIFS(Dispatch!$B$2:$B$1000,A15,Dispatch!$Q$2:$Q$1000,"LOCKED")</x:f>
        <x:v>0</x:v>
      </x:c>
    </x:row>
    <x:row r="16">
      <x:c r="A16" s="45" t="inlineStr">
        <x:is>
          <x:t xml:space="preserve">Driver 3</x:t>
        </x:is>
      </x:c>
      <x:c r="B16" s="45" t="n">
        <x:f>COUNTIF(Dispatch!$B$2:$B$1000,A16)</x:f>
        <x:v>1</x:v>
      </x:c>
      <x:c r="C16" s="46" t="n">
        <x:f>SUMIF(Dispatch!$B$2:$B$1000,A16,Dispatch!$D$2:$D$1000)</x:f>
        <x:v>2100</x:v>
      </x:c>
      <x:c r="D16" s="47" t="n">
        <x:f>IF(B16=0,0,COUNTIFS(Dispatch!$B$2:$B$1000,A16,Dispatch!$M$2:$M$1000,"Verified")/B16)</x:f>
        <x:v>0</x:v>
      </x:c>
      <x:c r="E16" s="45" t="n">
        <x:f>COUNTIFS(Dispatch!$B$2:$B$1000,A16,Dispatch!$Q$2:$Q$1000,"LOCKED")</x:f>
        <x:v>0</x:v>
      </x:c>
    </x:row>
    <x:row r="17">
      <x:c r="A17" s="45" t="inlineStr">
        <x:is>
          <x:t xml:space="preserve">Driver 4</x:t>
        </x:is>
      </x:c>
      <x:c r="B17" s="45" t="n">
        <x:f>COUNTIF(Dispatch!$B$2:$B$1000,A17)</x:f>
        <x:v>1</x:v>
      </x:c>
      <x:c r="C17" s="46" t="n">
        <x:f>SUMIF(Dispatch!$B$2:$B$1000,A17,Dispatch!$D$2:$D$1000)</x:f>
        <x:v>1950</x:v>
      </x:c>
      <x:c r="D17" s="47" t="n">
        <x:f>IF(B17=0,0,COUNTIFS(Dispatch!$B$2:$B$1000,A17,Dispatch!$M$2:$M$1000,"Verified")/B17)</x:f>
        <x:v>0</x:v>
      </x:c>
      <x:c r="E17" s="45" t="n">
        <x:f>COUNTIFS(Dispatch!$B$2:$B$1000,A17,Dispatch!$Q$2:$Q$1000,"LOCKED")</x:f>
        <x:v>0</x:v>
      </x:c>
    </x:row>
    <x:row r="18">
      <x:c r="A18" s="45" t="inlineStr">
        <x:is>
          <x:t xml:space="preserve">Driver 5</x:t>
        </x:is>
      </x:c>
      <x:c r="B18" s="45" t="n">
        <x:f>COUNTIF(Dispatch!$B$2:$B$1000,A18)</x:f>
        <x:v>1</x:v>
      </x:c>
      <x:c r="C18" s="46" t="n">
        <x:f>SUMIF(Dispatch!$B$2:$B$1000,A18,Dispatch!$D$2:$D$1000)</x:f>
        <x:v>2200</x:v>
      </x:c>
      <x:c r="D18" s="47" t="n">
        <x:f>IF(B18=0,0,COUNTIFS(Dispatch!$B$2:$B$1000,A18,Dispatch!$M$2:$M$1000,"Verified")/B18)</x:f>
        <x:v>1</x:v>
      </x:c>
      <x:c r="E18" s="45" t="n">
        <x:f>COUNTIFS(Dispatch!$B$2:$B$1000,A18,Dispatch!$Q$2:$Q$1000,"LOCKED")</x:f>
        <x:v>0</x:v>
      </x:c>
    </x:row>
    <x:row r="19">
      <x:c r="A19" s="45" t="inlineStr">
        <x:is>
          <x:t xml:space="preserve">Driver 6</x:t>
        </x:is>
      </x:c>
      <x:c r="B19" s="45" t="n">
        <x:f>COUNTIF(Dispatch!$B$2:$B$1000,A19)</x:f>
        <x:v>1</x:v>
      </x:c>
      <x:c r="C19" s="46" t="n">
        <x:f>SUMIF(Dispatch!$B$2:$B$1000,A19,Dispatch!$D$2:$D$1000)</x:f>
        <x:v>2050</x:v>
      </x:c>
      <x:c r="D19" s="47" t="n">
        <x:f>IF(B19=0,0,COUNTIFS(Dispatch!$B$2:$B$1000,A19,Dispatch!$M$2:$M$1000,"Verified")/B19)</x:f>
        <x:v>0</x:v>
      </x:c>
      <x:c r="E19" s="45" t="n">
        <x:f>COUNTIFS(Dispatch!$B$2:$B$1000,A19,Dispatch!$Q$2:$Q$1000,"LOCKED")</x:f>
        <x:v>0</x:v>
      </x:c>
    </x:row>
    <x:row r="20">
      <x:c r="A20" s="45" t="inlineStr">
        <x:is>
          <x:t xml:space="preserve">Driver 7</x:t>
        </x:is>
      </x:c>
      <x:c r="B20" s="45" t="n">
        <x:f>COUNTIF(Dispatch!$B$2:$B$1000,A20)</x:f>
        <x:v>1</x:v>
      </x:c>
      <x:c r="C20" s="46" t="n">
        <x:f>SUMIF(Dispatch!$B$2:$B$1000,A20,Dispatch!$D$2:$D$1000)</x:f>
        <x:v>2300</x:v>
      </x:c>
      <x:c r="D20" s="47" t="n">
        <x:f>IF(B20=0,0,COUNTIFS(Dispatch!$B$2:$B$1000,A20,Dispatch!$M$2:$M$1000,"Verified")/B20)</x:f>
        <x:v>0</x:v>
      </x:c>
      <x:c r="E20" s="45" t="n">
        <x:f>COUNTIFS(Dispatch!$B$2:$B$1000,A20,Dispatch!$Q$2:$Q$1000,"LOCKED")</x:f>
        <x:v>1</x:v>
      </x:c>
    </x:row>
    <x:row r="21">
      <x:c r="A21" s="45" t="inlineStr">
        <x:is>
          <x:t xml:space="preserve">Driver 8</x:t>
        </x:is>
      </x:c>
      <x:c r="B21" s="45" t="n">
        <x:f>COUNTIF(Dispatch!$B$2:$B$1000,A21)</x:f>
        <x:v>1</x:v>
      </x:c>
      <x:c r="C21" s="46" t="n">
        <x:f>SUMIF(Dispatch!$B$2:$B$1000,A21,Dispatch!$D$2:$D$1000)</x:f>
        <x:v>1750</x:v>
      </x:c>
      <x:c r="D21" s="47" t="n">
        <x:f>IF(B21=0,0,COUNTIFS(Dispatch!$B$2:$B$1000,A21,Dispatch!$M$2:$M$1000,"Verified")/B21)</x:f>
        <x:v>1</x:v>
      </x:c>
      <x:c r="E21" s="45" t="n">
        <x:f>COUNTIFS(Dispatch!$B$2:$B$1000,A21,Dispatch!$Q$2:$Q$1000,"LOCKED")</x:f>
        <x:v>0</x:v>
      </x:c>
    </x:row>
    <x:row r="22">
      <x:c r="A22" s="45" t="inlineStr">
        <x:is>
          <x:t xml:space="preserve">Driver 9</x:t>
        </x:is>
      </x:c>
      <x:c r="B22" s="45" t="n">
        <x:f>COUNTIF(Dispatch!$B$2:$B$1000,A22)</x:f>
        <x:v>1</x:v>
      </x:c>
      <x:c r="C22" s="46" t="n">
        <x:f>SUMIF(Dispatch!$B$2:$B$1000,A22,Dispatch!$D$2:$D$1000)</x:f>
        <x:v>2400</x:v>
      </x:c>
      <x:c r="D22" s="47" t="n">
        <x:f>IF(B22=0,0,COUNTIFS(Dispatch!$B$2:$B$1000,A22,Dispatch!$M$2:$M$1000,"Verified")/B22)</x:f>
        <x:v>0</x:v>
      </x:c>
      <x:c r="E22" s="45" t="n">
        <x:f>COUNTIFS(Dispatch!$B$2:$B$1000,A22,Dispatch!$Q$2:$Q$1000,"LOCKED")</x:f>
        <x:v>0</x:v>
      </x:c>
    </x:row>
    <x:row r="23">
      <x:c r="A23" s="45" t="inlineStr">
        <x:is>
          <x:t xml:space="preserve">Driver 10</x:t>
        </x:is>
      </x:c>
      <x:c r="B23" s="45" t="n">
        <x:f>COUNTIF(Dispatch!$B$2:$B$1000,A23)</x:f>
        <x:v>1</x:v>
      </x:c>
      <x:c r="C23" s="46" t="n">
        <x:f>SUMIF(Dispatch!$B$2:$B$1000,A23,Dispatch!$D$2:$D$1000)</x:f>
        <x:v>1900</x:v>
      </x:c>
      <x:c r="D23" s="47" t="n">
        <x:f>IF(B23=0,0,COUNTIFS(Dispatch!$B$2:$B$1000,A23,Dispatch!$M$2:$M$1000,"Verified")/B23)</x:f>
        <x:v>0</x:v>
      </x:c>
      <x:c r="E23" s="45" t="n">
        <x:f>COUNTIFS(Dispatch!$B$2:$B$1000,A23,Dispatch!$Q$2:$Q$1000,"LOCKED")</x:f>
        <x:v>0</x:v>
      </x:c>
    </x:row>
    <x:row r="24">
      <x:c r="A24" s="45" t="inlineStr">
        <x:is>
          <x:t xml:space="preserve">Driver 11</x:t>
        </x:is>
      </x:c>
      <x:c r="B24" s="45" t="n">
        <x:f>COUNTIF(Dispatch!$B$2:$B$1000,A24)</x:f>
        <x:v>1</x:v>
      </x:c>
      <x:c r="C24" s="46" t="n">
        <x:f>SUMIF(Dispatch!$B$2:$B$1000,A24,Dispatch!$D$2:$D$1000)</x:f>
        <x:v>2250</x:v>
      </x:c>
      <x:c r="D24" s="47" t="n">
        <x:f>IF(B24=0,0,COUNTIFS(Dispatch!$B$2:$B$1000,A24,Dispatch!$M$2:$M$1000,"Verified")/B24)</x:f>
        <x:v>1</x:v>
      </x:c>
      <x:c r="E24" s="45" t="n">
        <x:f>COUNTIFS(Dispatch!$B$2:$B$1000,A24,Dispatch!$Q$2:$Q$1000,"LOCKED")</x:f>
        <x:v>0</x:v>
      </x:c>
    </x:row>
    <x:row r="25">
      <x:c r="A25" s="45" t="inlineStr">
        <x:is>
          <x:t xml:space="preserve">Driver 12</x:t>
        </x:is>
      </x:c>
      <x:c r="B25" s="45" t="n">
        <x:f>COUNTIF(Dispatch!$B$2:$B$1000,A25)</x:f>
        <x:v>1</x:v>
      </x:c>
      <x:c r="C25" s="46" t="n">
        <x:f>SUMIF(Dispatch!$B$2:$B$1000,A25,Dispatch!$D$2:$D$1000)</x:f>
        <x:v>2150</x:v>
      </x:c>
      <x:c r="D25" s="47" t="n">
        <x:f>IF(B25=0,0,COUNTIFS(Dispatch!$B$2:$B$1000,A25,Dispatch!$M$2:$M$1000,"Verified")/B25)</x:f>
        <x:v>0</x:v>
      </x:c>
      <x:c r="E25" s="45" t="n">
        <x:f>COUNTIFS(Dispatch!$B$2:$B$1000,A25,Dispatch!$Q$2:$Q$1000,"LOCKED")</x:f>
        <x:v>1</x:v>
      </x:c>
    </x:row>
  </x:sheetData>
  <x:mergeCells>
    <x:mergeCell ref="A2:F2"/>
    <x:mergeCell ref="A1:F1"/>
  </x:mergeCells>
  <x:pageMargins left="0.7" right="0.7" top="0.75" bottom="0.75" header="0.3" footer="0.3"/>
  <x:drawing xmlns:r="http://schemas.openxmlformats.org/officeDocument/2006/relationships" r:id="R12d35e188acd4778"/>
</x:worksheet>
</file>

<file path=xl/worksheets/sheet8.xml><?xml version="1.0" encoding="utf-8"?>
<x:worksheet xmlns:x="http://schemas.openxmlformats.org/spreadsheetml/2006/main">
  <x:sheetFormatPr baseColWidth="8" defaultRowHeight="15"/>
  <x:cols>
    <x:col min="2" max="2" width="13.140625" style="24" customWidth="1"/>
    <x:col min="4" max="4" width="9.85546875" style="24" customWidth="1"/>
    <x:col min="17" max="17" width="23.28515625" style="24" customWidth="1"/>
    <x:col min="18" max="18" width="9.85546875" style="24" customWidth="1"/>
    <x:col min="20" max="20" width="9.85546875" style="24" customWidth="1"/>
    <x:col min="21" max="21" width="8.28515625" style="24" customWidth="1"/>
    <x:col min="22" max="22" width="17" style="24" customWidth="1"/>
    <x:col min="23" max="23" width="13" style="24" customWidth="1"/>
  </x:cols>
  <x:sheetData>
    <x:row r="1">
      <x:c r="A1" t="inlineStr">
        <x:is>
          <x:t xml:space="preserve">Driver</x:t>
        </x:is>
      </x:c>
      <x:c r="B1" t="inlineStr">
        <x:is>
          <x:t xml:space="preserve">Base Earnings</x:t>
        </x:is>
      </x:c>
      <x:c r="C1" t="inlineStr">
        <x:is>
          <x:t xml:space="preserve">Backhaul Pay</x:t>
        </x:is>
      </x:c>
      <x:c r="D1" t="inlineStr">
        <x:is>
          <x:t xml:space="preserve">Gross Pay</x:t>
        </x:is>
      </x:c>
      <x:c r="E1" t="inlineStr">
        <x:is>
          <x:t xml:space="preserve">FICA</x:t>
        </x:is>
      </x:c>
      <x:c r="F1" t="inlineStr">
        <x:is>
          <x:t xml:space="preserve">OASDI</x:t>
        </x:is>
      </x:c>
      <x:c r="G1" t="inlineStr">
        <x:is>
          <x:t xml:space="preserve">Federal Withholding</x:t>
        </x:is>
      </x:c>
      <x:c r="H1" t="inlineStr">
        <x:is>
          <x:t xml:space="preserve">State Withholding</x:t>
        </x:is>
      </x:c>
      <x:c r="I1" t="inlineStr">
        <x:is>
          <x:t xml:space="preserve">SDI</x:t>
        </x:is>
      </x:c>
      <x:c r="J1" t="inlineStr">
        <x:is>
          <x:t xml:space="preserve">FM Leave</x:t>
        </x:is>
      </x:c>
      <x:c r="K1" t="inlineStr">
        <x:is>
          <x:t xml:space="preserve">Family Support</x:t>
        </x:is>
      </x:c>
      <x:c r="L1" t="inlineStr">
        <x:is>
          <x:t xml:space="preserve">Insurance Premiums</x:t>
        </x:is>
      </x:c>
      <x:c r="M1" t="inlineStr">
        <x:is>
          <x:t xml:space="preserve">Credit Union Savings Club</x:t>
        </x:is>
      </x:c>
      <x:c r="N1" t="inlineStr">
        <x:is>
          <x:t xml:space="preserve">401(k) Contribution</x:t>
        </x:is>
      </x:c>
      <x:c r="O1" t="inlineStr">
        <x:is>
          <x:t xml:space="preserve">HSA/FSA Health Deduction</x:t>
        </x:is>
      </x:c>
      <x:c r="P1" t="inlineStr">
        <x:is>
          <x:t xml:space="preserve">Health Insurance Premiums</x:t>
        </x:is>
      </x:c>
      <x:c r="Q1" t="inlineStr">
        <x:is>
          <x:t xml:space="preserve">Life Insurance Above 50k</x:t>
        </x:is>
      </x:c>
      <x:c r="R1" t="inlineStr">
        <x:is>
          <x:t xml:space="preserve">Total Deductions</x:t>
        </x:is>
      </x:c>
      <x:c r="S1" t="inlineStr">
        <x:is>
          <x:t xml:space="preserve">Fuel Reimb.</x:t>
        </x:is>
      </x:c>
      <x:c r="T1" t="inlineStr">
        <x:is>
          <x:t xml:space="preserve">Net Pay</x:t>
        </x:is>
      </x:c>
      <x:c r="U1" t="inlineStr">
        <x:is>
          <x:t xml:space="preserve">Status</x:t>
        </x:is>
      </x:c>
      <x:c r="V1" t="inlineStr">
        <x:is>
          <x:t xml:space="preserve">Pending Reason</x:t>
        </x:is>
      </x:c>
      <x:c r="W1" t="inlineStr">
        <x:is>
          <x:t xml:space="preserve">401(k) Rate</x:t>
        </x:is>
      </x:c>
    </x:row>
    <x:row r="2">
      <x:c r="A2" t="inlineStr">
        <x:is>
          <x:t xml:space="preserve">J. Carter</x:t>
        </x:is>
      </x:c>
      <x:c r="B2" s="48" t="n">
        <x:v>2100</x:v>
      </x:c>
      <x:c r="C2" s="26" t="n">
        <x:v>65</x:v>
      </x:c>
      <x:c r="D2" s="48" t="n">
        <x:f>B2+C2</x:f>
        <x:v>2165</x:v>
      </x:c>
      <x:c r="E2" s="48" t="n">
        <x:f>0.062*D2</x:f>
        <x:v>134.23</x:v>
      </x:c>
      <x:c r="F2" s="48" t="n">
        <x:f>0.0145*D2</x:f>
        <x:v>31.392500000000002</x:v>
      </x:c>
      <x:c r="G2" s="48" t="n">
        <x:f>0.18*D2</x:f>
        <x:v>389.7</x:v>
      </x:c>
      <x:c r="H2" s="48" t="n">
        <x:f>0.035*D2</x:f>
        <x:v>75.775</x:v>
      </x:c>
      <x:c r="I2" s="48" t="n">
        <x:f>0.0045*D2</x:f>
        <x:v>9.7425</x:v>
      </x:c>
      <x:c r="J2" s="48" t="n">
        <x:f>0.0066*D2</x:f>
        <x:v>14.289</x:v>
      </x:c>
      <x:c r="K2" s="48" t="n">
        <x:v>0</x:v>
      </x:c>
      <x:c r="L2" s="48" t="n">
        <x:v>214.92</x:v>
      </x:c>
      <x:c r="M2" s="48" t="n">
        <x:v>0</x:v>
      </x:c>
      <x:c r="N2" s="48" t="n">
        <x:f>D2*W2</x:f>
        <x:v>64.95</x:v>
      </x:c>
      <x:c r="O2" t="n">
        <x:v>114.79</x:v>
      </x:c>
      <x:c r="P2" t="n">
        <x:v>0</x:v>
      </x:c>
      <x:c r="Q2" s="48" t="n">
        <x:v>0</x:v>
      </x:c>
      <x:c r="R2" s="48" t="n">
        <x:f>D2-E2-F2-G2-H2-I2-J2-K2-L2-M2-N2-O2-P2-Q2</x:f>
        <x:v>1115.2109999999998</x:v>
      </x:c>
      <x:c r="S2" s="48" t="n">
        <x:v>0</x:v>
      </x:c>
      <x:c r="T2" s="48" t="n">
        <x:f>D2-R2</x:f>
        <x:v>1049.7890000000002</x:v>
      </x:c>
      <x:c r="U2" t="inlineStr">
        <x:is>
          <x:t xml:space="preserve">Paid</x:t>
        </x:is>
      </x:c>
      <x:c r="V2" t="inlineStr">
        <x:is>
          <x:t xml:space="preserve">N/A</x:t>
        </x:is>
      </x:c>
      <x:c r="W2" t="n">
        <x:v>0.03</x:v>
      </x:c>
    </x:row>
    <x:row r="3">
      <x:c r="A3" t="inlineStr">
        <x:is>
          <x:t xml:space="preserve">M. Lopez</x:t>
        </x:is>
      </x:c>
      <x:c r="B3" s="48" t="n">
        <x:v>1910</x:v>
      </x:c>
      <x:c r="C3" s="26" t="n">
        <x:v>95</x:v>
      </x:c>
      <x:c r="D3" s="48" t="n">
        <x:f>B3+C3</x:f>
        <x:v>2005</x:v>
      </x:c>
      <x:c r="E3" s="48" t="n">
        <x:f>0.062*D3</x:f>
        <x:v>124.31</x:v>
      </x:c>
      <x:c r="F3" s="48" t="n">
        <x:f>0.0145*D3</x:f>
        <x:v>29.0725</x:v>
      </x:c>
      <x:c r="G3" s="48" t="n">
        <x:f>0.18*D3</x:f>
        <x:v>360.9</x:v>
      </x:c>
      <x:c r="H3" s="48" t="n">
        <x:f>0.035*D3</x:f>
        <x:v>70.17500000000001</x:v>
      </x:c>
      <x:c r="I3" s="48" t="n">
        <x:f>0.0045*D3</x:f>
        <x:v>9.022499999999999</x:v>
      </x:c>
      <x:c r="J3" s="48" t="n">
        <x:f>0.0066*D3</x:f>
        <x:v>13.233</x:v>
      </x:c>
      <x:c r="K3" s="48" t="n">
        <x:v>79.68000000000001</x:v>
      </x:c>
      <x:c r="L3" s="48" t="n">
        <x:v>0</x:v>
      </x:c>
      <x:c r="M3" s="48" t="n">
        <x:v>42.09</x:v>
      </x:c>
      <x:c r="N3" s="48" t="n">
        <x:f>D3*W3</x:f>
        <x:v>0</x:v>
      </x:c>
      <x:c r="O3" t="n">
        <x:v>69.33</x:v>
      </x:c>
      <x:c r="P3" t="n">
        <x:v>0</x:v>
      </x:c>
      <x:c r="Q3" s="48" t="n">
        <x:v>0</x:v>
      </x:c>
      <x:c r="R3" s="48" t="n">
        <x:f>D3-E3-F3-G3-H3-I3-J3-K3-L3-M3-N3-O3-P3-Q3</x:f>
        <x:v>1207.1870000000004</x:v>
      </x:c>
      <x:c r="S3" s="48" t="n">
        <x:v>120</x:v>
      </x:c>
      <x:c r="T3" s="48" t="n">
        <x:f>D3-R3</x:f>
        <x:v>797.8129999999996</x:v>
      </x:c>
      <x:c r="U3" t="inlineStr">
        <x:is>
          <x:t xml:space="preserve">Pending</x:t>
        </x:is>
      </x:c>
      <x:c r="V3" t="inlineStr">
        <x:is>
          <x:t xml:space="preserve">Awaiting Receipts</x:t>
        </x:is>
      </x:c>
      <x:c r="W3" t="n">
        <x:v>0</x:v>
      </x:c>
    </x:row>
    <x:row r="4">
      <x:c r="A4" t="inlineStr">
        <x:is>
          <x:t xml:space="preserve">A. Kim</x:t>
        </x:is>
      </x:c>
      <x:c r="B4" s="48" t="n">
        <x:v>2155</x:v>
      </x:c>
      <x:c r="C4" s="26" t="n">
        <x:v>45</x:v>
      </x:c>
      <x:c r="D4" s="48" t="n">
        <x:f>B4+C4</x:f>
        <x:v>2200</x:v>
      </x:c>
      <x:c r="E4" s="48" t="n">
        <x:f>0.062*D4</x:f>
        <x:v>136.4</x:v>
      </x:c>
      <x:c r="F4" s="48" t="n">
        <x:f>0.0145*D4</x:f>
        <x:v>31.900000000000002</x:v>
      </x:c>
      <x:c r="G4" s="48" t="n">
        <x:f>0.18*D4</x:f>
        <x:v>396</x:v>
      </x:c>
      <x:c r="H4" s="48" t="n">
        <x:f>0.035*D4</x:f>
        <x:v>77.00000000000001</x:v>
      </x:c>
      <x:c r="I4" s="48" t="n">
        <x:f>0.0045*D4</x:f>
        <x:v>9.899999999999999</x:v>
      </x:c>
      <x:c r="J4" s="48" t="n">
        <x:f>0.0066*D4</x:f>
        <x:v>14.52</x:v>
      </x:c>
      <x:c r="K4" s="48" t="n">
        <x:v>0</x:v>
      </x:c>
      <x:c r="L4" s="48" t="n">
        <x:v>0</x:v>
      </x:c>
      <x:c r="M4" s="48" t="n">
        <x:v>30.98</x:v>
      </x:c>
      <x:c r="N4" s="48" t="n">
        <x:f>D4*W4</x:f>
        <x:v>132</x:v>
      </x:c>
      <x:c r="O4" t="n">
        <x:v>0</x:v>
      </x:c>
      <x:c r="P4" t="n">
        <x:v>0</x:v>
      </x:c>
      <x:c r="Q4" s="48" t="n">
        <x:v>0</x:v>
      </x:c>
      <x:c r="R4" s="48" t="n">
        <x:f>D4-E4-F4-G4-H4-I4-J4-K4-L4-M4-N4-O4-P4-Q4</x:f>
        <x:v>1371.2999999999997</x:v>
      </x:c>
      <x:c r="S4" s="48" t="n">
        <x:v>0</x:v>
      </x:c>
      <x:c r="T4" s="48" t="n">
        <x:f>D4-R4</x:f>
        <x:v>828.7000000000003</x:v>
      </x:c>
      <x:c r="U4" t="inlineStr">
        <x:is>
          <x:t xml:space="preserve">Paid</x:t>
        </x:is>
      </x:c>
      <x:c r="V4" t="inlineStr">
        <x:is>
          <x:t xml:space="preserve">N/A</x:t>
        </x:is>
      </x:c>
      <x:c r="W4" t="n">
        <x:v>0.06</x:v>
      </x:c>
    </x:row>
    <x:row r="5">
      <x:c r="A5" t="inlineStr">
        <x:is>
          <x:t xml:space="preserve">P. Patel</x:t>
        </x:is>
      </x:c>
      <x:c r="B5" s="48" t="n">
        <x:v>2020</x:v>
      </x:c>
      <x:c r="C5" s="26" t="n">
        <x:v>88</x:v>
      </x:c>
      <x:c r="D5" s="48" t="n">
        <x:f>B5+C5</x:f>
        <x:v>2108</x:v>
      </x:c>
      <x:c r="E5" s="48" t="n">
        <x:f>0.062*D5</x:f>
        <x:v>130.696</x:v>
      </x:c>
      <x:c r="F5" s="48" t="n">
        <x:f>0.0145*D5</x:f>
        <x:v>30.566000000000003</x:v>
      </x:c>
      <x:c r="G5" s="48" t="n">
        <x:f>0.18*D5</x:f>
        <x:v>379.44</x:v>
      </x:c>
      <x:c r="H5" s="48" t="n">
        <x:f>0.035*D5</x:f>
        <x:v>73.78</x:v>
      </x:c>
      <x:c r="I5" s="48" t="n">
        <x:f>0.0045*D5</x:f>
        <x:v>9.485999999999999</x:v>
      </x:c>
      <x:c r="J5" s="48" t="n">
        <x:f>0.0066*D5</x:f>
        <x:v>13.9128</x:v>
      </x:c>
      <x:c r="K5" s="48" t="n">
        <x:v>0</x:v>
      </x:c>
      <x:c r="L5" s="48" t="n">
        <x:v>0</x:v>
      </x:c>
      <x:c r="M5" s="48" t="n">
        <x:v>32.58</x:v>
      </x:c>
      <x:c r="N5" s="48" t="n">
        <x:f>D5*W5</x:f>
        <x:v>0</x:v>
      </x:c>
      <x:c r="O5" t="n">
        <x:v>0</x:v>
      </x:c>
      <x:c r="P5" t="n">
        <x:v>0</x:v>
      </x:c>
      <x:c r="Q5" s="48" t="n">
        <x:v>0</x:v>
      </x:c>
      <x:c r="R5" s="48" t="n">
        <x:f>D5-E5-F5-G5-H5-I5-J5-K5-L5-M5-N5-O5-P5-Q5</x:f>
        <x:v>1437.5392</x:v>
      </x:c>
      <x:c r="S5" s="48" t="n">
        <x:v>150</x:v>
      </x:c>
      <x:c r="T5" s="48" t="n">
        <x:f>D5-R5</x:f>
        <x:v>670.4608000000001</x:v>
      </x:c>
      <x:c r="U5" t="inlineStr">
        <x:is>
          <x:t xml:space="preserve">Pending</x:t>
        </x:is>
      </x:c>
      <x:c r="V5" t="inlineStr">
        <x:is>
          <x:t xml:space="preserve">Awaiting Receipts</x:t>
        </x:is>
      </x:c>
      <x:c r="W5" t="n">
        <x:v>0</x:v>
      </x:c>
    </x:row>
    <x:row r="6">
      <x:c r="A6" t="inlineStr">
        <x:is>
          <x:t xml:space="preserve">K. Tanaka</x:t>
        </x:is>
      </x:c>
      <x:c r="B6" s="48" t="n">
        <x:v>2280</x:v>
      </x:c>
      <x:c r="C6" s="26" t="n">
        <x:v>45</x:v>
      </x:c>
      <x:c r="D6" s="48" t="n">
        <x:f>B6+C6</x:f>
        <x:v>2325</x:v>
      </x:c>
      <x:c r="E6" s="48" t="n">
        <x:f>0.062*D6</x:f>
        <x:v>144.15</x:v>
      </x:c>
      <x:c r="F6" s="48" t="n">
        <x:f>0.0145*D6</x:f>
        <x:v>33.7125</x:v>
      </x:c>
      <x:c r="G6" s="48" t="n">
        <x:f>0.18*D6</x:f>
        <x:v>418.5</x:v>
      </x:c>
      <x:c r="H6" s="48" t="n">
        <x:f>0.035*D6</x:f>
        <x:v>81.37500000000001</x:v>
      </x:c>
      <x:c r="I6" s="48" t="n">
        <x:f>0.0045*D6</x:f>
        <x:v>10.462499999999999</x:v>
      </x:c>
      <x:c r="J6" s="48" t="n">
        <x:f>0.0066*D6</x:f>
        <x:v>15.345</x:v>
      </x:c>
      <x:c r="K6" s="48" t="n">
        <x:v>187.05</x:v>
      </x:c>
      <x:c r="L6" s="48" t="n">
        <x:v>0</x:v>
      </x:c>
      <x:c r="M6" s="48" t="n">
        <x:v>72.68000000000001</x:v>
      </x:c>
      <x:c r="N6" s="48" t="n">
        <x:f>D6*W6</x:f>
        <x:v>69.75</x:v>
      </x:c>
      <x:c r="O6" t="n">
        <x:v>26.5</x:v>
      </x:c>
      <x:c r="P6" t="n">
        <x:v>0</x:v>
      </x:c>
      <x:c r="Q6" s="48" t="n">
        <x:v>0</x:v>
      </x:c>
      <x:c r="R6" s="48" t="n">
        <x:f>D6-E6-F6-G6-H6-I6-J6-K6-L6-M6-N6-O6-P6-Q6</x:f>
        <x:v>1265.4749999999997</x:v>
      </x:c>
      <x:c r="S6" s="48" t="n">
        <x:v>0</x:v>
      </x:c>
      <x:c r="T6" s="48" t="n">
        <x:f>D6-R6</x:f>
        <x:v>1059.5250000000003</x:v>
      </x:c>
      <x:c r="U6" t="inlineStr">
        <x:is>
          <x:t xml:space="preserve">Pending</x:t>
        </x:is>
      </x:c>
      <x:c r="V6" t="inlineStr">
        <x:is>
          <x:t xml:space="preserve">Load Verification</x:t>
        </x:is>
      </x:c>
      <x:c r="W6" t="n">
        <x:v>0.03</x:v>
      </x:c>
    </x:row>
    <x:row r="7">
      <x:c r="A7" t="inlineStr">
        <x:is>
          <x:t xml:space="preserve">M. Chen</x:t>
        </x:is>
      </x:c>
      <x:c r="B7" s="48" t="n">
        <x:v>2090</x:v>
      </x:c>
      <x:c r="C7" s="26" t="n">
        <x:v>72</x:v>
      </x:c>
      <x:c r="D7" s="48" t="n">
        <x:f>B7+C7</x:f>
        <x:v>2162</x:v>
      </x:c>
      <x:c r="E7" s="48" t="n">
        <x:f>0.062*D7</x:f>
        <x:v>134.044</x:v>
      </x:c>
      <x:c r="F7" s="48" t="n">
        <x:f>0.0145*D7</x:f>
        <x:v>31.349</x:v>
      </x:c>
      <x:c r="G7" s="48" t="n">
        <x:f>0.18*D7</x:f>
        <x:v>389.15999999999997</x:v>
      </x:c>
      <x:c r="H7" s="48" t="n">
        <x:f>0.035*D7</x:f>
        <x:v>75.67</x:v>
      </x:c>
      <x:c r="I7" s="48" t="n">
        <x:f>0.0045*D7</x:f>
        <x:v>9.729</x:v>
      </x:c>
      <x:c r="J7" s="48" t="n">
        <x:f>0.0066*D7</x:f>
        <x:v>14.2692</x:v>
      </x:c>
      <x:c r="K7" s="48" t="n">
        <x:v>0</x:v>
      </x:c>
      <x:c r="L7" s="48" t="n">
        <x:v>0</x:v>
      </x:c>
      <x:c r="M7" s="48" t="n">
        <x:v>0</x:v>
      </x:c>
      <x:c r="N7" s="48" t="n">
        <x:f>D7*W7</x:f>
        <x:v>64.86</x:v>
      </x:c>
      <x:c r="O7" t="n">
        <x:v>0</x:v>
      </x:c>
      <x:c r="P7" t="n">
        <x:v>0</x:v>
      </x:c>
      <x:c r="Q7" s="48" t="n">
        <x:v>24.94</x:v>
      </x:c>
      <x:c r="R7" s="48" t="n">
        <x:f>D7-E7-F7-G7-H7-I7-J7-K7-L7-M7-N7-O7-P7-Q7</x:f>
        <x:v>1417.9788</x:v>
      </x:c>
      <x:c r="S7" s="48" t="n">
        <x:v>0</x:v>
      </x:c>
      <x:c r="T7" s="48" t="n">
        <x:f>D7-R7</x:f>
        <x:v>744.0211999999999</x:v>
      </x:c>
      <x:c r="U7" t="inlineStr">
        <x:is>
          <x:t xml:space="preserve">Paid</x:t>
        </x:is>
      </x:c>
      <x:c r="V7" t="inlineStr">
        <x:is>
          <x:t xml:space="preserve">N/A</x:t>
        </x:is>
      </x:c>
      <x:c r="W7" t="n">
        <x:v>0.03</x:v>
      </x:c>
    </x:row>
    <x:row r="8">
      <x:c r="A8" t="inlineStr">
        <x:is>
          <x:t xml:space="preserve">S. Gomez</x:t>
        </x:is>
      </x:c>
      <x:c r="B8" s="48" t="n">
        <x:v>1975</x:v>
      </x:c>
      <x:c r="C8" s="26" t="n">
        <x:v>58</x:v>
      </x:c>
      <x:c r="D8" s="48" t="n">
        <x:f>B8+C8</x:f>
        <x:v>2033</x:v>
      </x:c>
      <x:c r="E8" s="48" t="n">
        <x:f>0.062*D8</x:f>
        <x:v>126.04599999999999</x:v>
      </x:c>
      <x:c r="F8" s="48" t="n">
        <x:f>0.0145*D8</x:f>
        <x:v>29.4785</x:v>
      </x:c>
      <x:c r="G8" s="48" t="n">
        <x:f>0.18*D8</x:f>
        <x:v>365.94</x:v>
      </x:c>
      <x:c r="H8" s="48" t="n">
        <x:f>0.035*D8</x:f>
        <x:v>71.155</x:v>
      </x:c>
      <x:c r="I8" s="48" t="n">
        <x:f>0.0045*D8</x:f>
        <x:v>9.148499999999999</x:v>
      </x:c>
      <x:c r="J8" s="48" t="n">
        <x:f>0.0066*D8</x:f>
        <x:v>13.4178</x:v>
      </x:c>
      <x:c r="K8" s="48" t="n">
        <x:v>246.6</x:v>
      </x:c>
      <x:c r="L8" s="48" t="n">
        <x:v>146.97</x:v>
      </x:c>
      <x:c r="M8" s="48" t="n">
        <x:v>0</x:v>
      </x:c>
      <x:c r="N8" s="48" t="n">
        <x:f>D8*W8</x:f>
        <x:v>101.65</x:v>
      </x:c>
      <x:c r="O8" t="n">
        <x:v>0</x:v>
      </x:c>
      <x:c r="P8" t="n">
        <x:v>0</x:v>
      </x:c>
      <x:c r="Q8" s="48" t="n">
        <x:v>7.04</x:v>
      </x:c>
      <x:c r="R8" s="48" t="n">
        <x:f>D8-E8-F8-G8-H8-I8-J8-K8-L8-M8-N8-O8-P8-Q8</x:f>
        <x:v>915.5542000000002</x:v>
      </x:c>
      <x:c r="S8" s="48" t="n">
        <x:v>0</x:v>
      </x:c>
      <x:c r="T8" s="48" t="n">
        <x:f>D8-R8</x:f>
        <x:v>1117.4458</x:v>
      </x:c>
      <x:c r="U8" t="inlineStr">
        <x:is>
          <x:t xml:space="preserve">Paid</x:t>
        </x:is>
      </x:c>
      <x:c r="V8" t="inlineStr">
        <x:is>
          <x:t xml:space="preserve">N/A</x:t>
        </x:is>
      </x:c>
      <x:c r="W8" t="n">
        <x:v>0.05</x:v>
      </x:c>
    </x:row>
    <x:row r="9">
      <x:c r="A9" t="inlineStr">
        <x:is>
          <x:t xml:space="preserve">L. Smith</x:t>
        </x:is>
      </x:c>
      <x:c r="B9" s="48" t="n">
        <x:v>2165</x:v>
      </x:c>
      <x:c r="C9" s="26" t="n">
        <x:v>81</x:v>
      </x:c>
      <x:c r="D9" s="48" t="n">
        <x:f>B9+C9</x:f>
        <x:v>2246</x:v>
      </x:c>
      <x:c r="E9" s="48" t="n">
        <x:f>0.062*D9</x:f>
        <x:v>139.252</x:v>
      </x:c>
      <x:c r="F9" s="48" t="n">
        <x:f>0.0145*D9</x:f>
        <x:v>32.567</x:v>
      </x:c>
      <x:c r="G9" s="48" t="n">
        <x:f>0.18*D9</x:f>
        <x:v>404.28</x:v>
      </x:c>
      <x:c r="H9" s="48" t="n">
        <x:f>0.035*D9</x:f>
        <x:v>78.61000000000001</x:v>
      </x:c>
      <x:c r="I9" s="48" t="n">
        <x:f>0.0045*D9</x:f>
        <x:v>10.107</x:v>
      </x:c>
      <x:c r="J9" s="48" t="n">
        <x:f>0.0066*D9</x:f>
        <x:v>14.8236</x:v>
      </x:c>
      <x:c r="K9" s="48" t="n">
        <x:v>0</x:v>
      </x:c>
      <x:c r="L9" s="48" t="n">
        <x:v>0</x:v>
      </x:c>
      <x:c r="M9" s="48" t="n">
        <x:v>45.02</x:v>
      </x:c>
      <x:c r="N9" s="48" t="n">
        <x:f>D9*W9</x:f>
        <x:v>0</x:v>
      </x:c>
      <x:c r="O9" t="n">
        <x:v>0</x:v>
      </x:c>
      <x:c r="P9" t="n">
        <x:v>111.66</x:v>
      </x:c>
      <x:c r="Q9" s="48" t="n">
        <x:v>0</x:v>
      </x:c>
      <x:c r="R9" s="48" t="n">
        <x:f>D9-E9-F9-G9-H9-I9-J9-K9-L9-M9-N9-O9-P9-Q9</x:f>
        <x:v>1409.6804000000002</x:v>
      </x:c>
      <x:c r="S9" s="48" t="n">
        <x:v>0</x:v>
      </x:c>
      <x:c r="T9" s="48" t="n">
        <x:f>D9-R9</x:f>
        <x:v>836.3195999999998</x:v>
      </x:c>
      <x:c r="U9" t="inlineStr">
        <x:is>
          <x:t xml:space="preserve">Pending</x:t>
        </x:is>
      </x:c>
      <x:c r="V9" t="inlineStr">
        <x:is>
          <x:t xml:space="preserve">Load Verification</x:t>
        </x:is>
      </x:c>
      <x:c r="W9" t="n">
        <x:v>0</x:v>
      </x:c>
    </x:row>
    <x:row r="10">
      <x:c r="A10" t="inlineStr">
        <x:is>
          <x:t xml:space="preserve">E. Brown</x:t>
        </x:is>
      </x:c>
      <x:c r="B10" s="48" t="n">
        <x:v>2110</x:v>
      </x:c>
      <x:c r="C10" s="26" t="n">
        <x:v>49</x:v>
      </x:c>
      <x:c r="D10" s="48" t="n">
        <x:f>B10+C10</x:f>
        <x:v>2159</x:v>
      </x:c>
      <x:c r="E10" s="48" t="n">
        <x:f>0.062*D10</x:f>
        <x:v>133.858</x:v>
      </x:c>
      <x:c r="F10" s="48" t="n">
        <x:f>0.0145*D10</x:f>
        <x:v>31.305500000000002</x:v>
      </x:c>
      <x:c r="G10" s="48" t="n">
        <x:f>0.18*D10</x:f>
        <x:v>388.62</x:v>
      </x:c>
      <x:c r="H10" s="48" t="n">
        <x:f>0.035*D10</x:f>
        <x:v>75.56500000000001</x:v>
      </x:c>
      <x:c r="I10" s="48" t="n">
        <x:f>0.0045*D10</x:f>
        <x:v>9.715499999999999</x:v>
      </x:c>
      <x:c r="J10" s="48" t="n">
        <x:f>0.0066*D10</x:f>
        <x:v>14.2494</x:v>
      </x:c>
      <x:c r="K10" s="48" t="n">
        <x:v>67.76000000000001</x:v>
      </x:c>
      <x:c r="L10" s="48" t="n">
        <x:v>0</x:v>
      </x:c>
      <x:c r="M10" s="48" t="n">
        <x:v>0</x:v>
      </x:c>
      <x:c r="N10" s="48" t="n">
        <x:f>D10*W10</x:f>
        <x:v>0</x:v>
      </x:c>
      <x:c r="O10" t="n">
        <x:v>24.17</x:v>
      </x:c>
      <x:c r="P10" t="n">
        <x:v>0</x:v>
      </x:c>
      <x:c r="Q10" s="48" t="n">
        <x:v>0</x:v>
      </x:c>
      <x:c r="R10" s="48" t="n">
        <x:f>D10-E10-F10-G10-H10-I10-J10-K10-L10-M10-N10-O10-P10-Q10</x:f>
        <x:v>1413.7566</x:v>
      </x:c>
      <x:c r="S10" s="48" t="n">
        <x:v>0</x:v>
      </x:c>
      <x:c r="T10" s="48" t="n">
        <x:f>D10-R10</x:f>
        <x:v>745.2434000000001</x:v>
      </x:c>
      <x:c r="U10" t="inlineStr">
        <x:is>
          <x:t xml:space="preserve">Paid</x:t>
        </x:is>
      </x:c>
      <x:c r="V10" t="inlineStr">
        <x:is>
          <x:t xml:space="preserve">N/A</x:t>
        </x:is>
      </x:c>
      <x:c r="W10" t="n">
        <x:v>0</x:v>
      </x:c>
    </x:row>
    <x:row r="11">
      <x:c r="A11" t="inlineStr">
        <x:is>
          <x:t xml:space="preserve">N. Wilson</x:t>
        </x:is>
      </x:c>
      <x:c r="B11" s="48" t="n">
        <x:v>2080</x:v>
      </x:c>
      <x:c r="C11" s="26" t="n">
        <x:v>77</x:v>
      </x:c>
      <x:c r="D11" s="48" t="n">
        <x:f>B11+C11</x:f>
        <x:v>2157</x:v>
      </x:c>
      <x:c r="E11" s="48" t="n">
        <x:f>0.062*D11</x:f>
        <x:v>133.734</x:v>
      </x:c>
      <x:c r="F11" s="48" t="n">
        <x:f>0.0145*D11</x:f>
        <x:v>31.276500000000002</x:v>
      </x:c>
      <x:c r="G11" s="48" t="n">
        <x:f>0.18*D11</x:f>
        <x:v>388.26</x:v>
      </x:c>
      <x:c r="H11" s="48" t="n">
        <x:f>0.035*D11</x:f>
        <x:v>75.495</x:v>
      </x:c>
      <x:c r="I11" s="48" t="n">
        <x:f>0.0045*D11</x:f>
        <x:v>9.7065</x:v>
      </x:c>
      <x:c r="J11" s="48" t="n">
        <x:f>0.0066*D11</x:f>
        <x:v>14.2362</x:v>
      </x:c>
      <x:c r="K11" s="48" t="n">
        <x:v>0</x:v>
      </x:c>
      <x:c r="L11" s="48" t="n">
        <x:v>0</x:v>
      </x:c>
      <x:c r="M11" s="48" t="n">
        <x:v>0</x:v>
      </x:c>
      <x:c r="N11" s="48" t="n">
        <x:f>D11*W11</x:f>
        <x:v>43.14</x:v>
      </x:c>
      <x:c r="O11" t="n">
        <x:v>0</x:v>
      </x:c>
      <x:c r="P11" t="n">
        <x:v>196.15</x:v>
      </x:c>
      <x:c r="Q11" s="48" t="n">
        <x:v>0</x:v>
      </x:c>
      <x:c r="R11" s="48" t="n">
        <x:f>D11-E11-F11-G11-H11-I11-J11-K11-L11-M11-N11-O11-P11-Q11</x:f>
        <x:v>1265.0017999999998</x:v>
      </x:c>
      <x:c r="S11" s="48" t="n">
        <x:v>0</x:v>
      </x:c>
      <x:c r="T11" s="48" t="n">
        <x:f>D11-R11</x:f>
        <x:v>891.9982000000002</x:v>
      </x:c>
      <x:c r="U11" t="inlineStr">
        <x:is>
          <x:t xml:space="preserve">Paid</x:t>
        </x:is>
      </x:c>
      <x:c r="V11" t="inlineStr">
        <x:is>
          <x:t xml:space="preserve">N/A</x:t>
        </x:is>
      </x:c>
      <x:c r="W11" t="n">
        <x:v>0.02</x:v>
      </x:c>
    </x:row>
    <x:row r="12">
      <x:c r="A12" t="inlineStr">
        <x:is>
          <x:t xml:space="preserve">O. Lee</x:t>
        </x:is>
      </x:c>
      <x:c r="B12" s="48" t="n">
        <x:v>2010</x:v>
      </x:c>
      <x:c r="C12" s="26" t="n">
        <x:v>63</x:v>
      </x:c>
      <x:c r="D12" s="48" t="n">
        <x:f>B12+C12</x:f>
        <x:v>2073</x:v>
      </x:c>
      <x:c r="E12" s="48" t="n">
        <x:f>0.062*D12</x:f>
        <x:v>128.526</x:v>
      </x:c>
      <x:c r="F12" s="48" t="n">
        <x:f>0.0145*D12</x:f>
        <x:v>30.058500000000002</x:v>
      </x:c>
      <x:c r="G12" s="48" t="n">
        <x:f>0.18*D12</x:f>
        <x:v>373.14</x:v>
      </x:c>
      <x:c r="H12" s="48" t="n">
        <x:f>0.035*D12</x:f>
        <x:v>72.555</x:v>
      </x:c>
      <x:c r="I12" s="48" t="n">
        <x:f>0.0045*D12</x:f>
        <x:v>9.3285</x:v>
      </x:c>
      <x:c r="J12" s="48" t="n">
        <x:f>0.0066*D12</x:f>
        <x:v>13.681799999999999</x:v>
      </x:c>
      <x:c r="K12" s="48" t="n">
        <x:v>50.51</x:v>
      </x:c>
      <x:c r="L12" s="48" t="n">
        <x:v>0</x:v>
      </x:c>
      <x:c r="M12" s="48" t="n">
        <x:v>0</x:v>
      </x:c>
      <x:c r="N12" s="48" t="n">
        <x:f>D12*W12</x:f>
        <x:v>0</x:v>
      </x:c>
      <x:c r="O12" t="n">
        <x:v>47.43</x:v>
      </x:c>
      <x:c r="P12" t="n">
        <x:v>0</x:v>
      </x:c>
      <x:c r="Q12" s="48" t="n">
        <x:v>0</x:v>
      </x:c>
      <x:c r="R12" s="48" t="n">
        <x:f>D12-E12-F12-G12-H12-I12-J12-K12-L12-M12-N12-O12-P12-Q12</x:f>
        <x:v>1347.7701999999995</x:v>
      </x:c>
      <x:c r="S12" s="48" t="n">
        <x:v>0</x:v>
      </x:c>
      <x:c r="T12" s="48" t="n">
        <x:f>D12-R12</x:f>
        <x:v>725.2298000000005</x:v>
      </x:c>
      <x:c r="U12" t="inlineStr">
        <x:is>
          <x:t xml:space="preserve">Paid</x:t>
        </x:is>
      </x:c>
      <x:c r="V12" t="inlineStr">
        <x:is>
          <x:t xml:space="preserve">N/A</x:t>
        </x:is>
      </x:c>
      <x:c r="W12" t="n">
        <x:v>0</x:v>
      </x:c>
    </x:row>
    <x:row r="13">
      <x:c r="C13" s="26" t="n"/>
    </x:row>
  </x:sheetData>
  <x:conditionalFormatting sqref="U2:U12">
    <x:cfRule type="containsText" dxfId="1" priority="2" operator="containsText">
      <x:formula>NOT(ISERROR(SEARCH("Pending",U2)))</x:formula>
    </x:cfRule>
  </x:conditionalFormatting>
  <x:conditionalFormatting sqref="U1:U12">
    <x:cfRule type="containsText" dxfId="0" priority="1" operator="containsText">
      <x:formula>NOT(ISERROR(SEARCH("pAID",U1)))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Metric</x:t>
        </x:is>
      </x:c>
      <x:c r="B1" t="inlineStr">
        <x:is>
          <x:t xml:space="preserve">Total</x:t>
        </x:is>
      </x:c>
    </x:row>
    <x:row r="2">
      <x:c r="A2" t="inlineStr">
        <x:is>
          <x:t xml:space="preserve">Total Base Earnings</x:t>
        </x:is>
      </x:c>
      <x:c r="B2" t="n">
        <x:f>SUM(Payroll!B2:B12)</x:f>
        <x:v>22895</x:v>
      </x:c>
    </x:row>
    <x:row r="3">
      <x:c r="A3" t="inlineStr">
        <x:is>
          <x:t xml:space="preserve">Total Backhaul Pay</x:t>
        </x:is>
      </x:c>
      <x:c r="B3" t="n">
        <x:f>SUM(Payroll!C2:C12)</x:f>
        <x:v>738</x:v>
      </x:c>
    </x:row>
    <x:row r="4">
      <x:c r="A4" t="inlineStr">
        <x:is>
          <x:t xml:space="preserve">Total Gross Pay</x:t>
        </x:is>
      </x:c>
      <x:c r="B4" t="n">
        <x:f>SUM(Payroll!D2:D12)</x:f>
        <x:v>23633</x:v>
      </x:c>
    </x:row>
    <x:row r="5">
      <x:c r="A5" t="inlineStr">
        <x:is>
          <x:t xml:space="preserve">Total FICA</x:t>
        </x:is>
      </x:c>
      <x:c r="B5" t="n">
        <x:f>SUM(Payroll!E2:E12)</x:f>
        <x:v>1465.2459999999999</x:v>
      </x:c>
    </x:row>
    <x:row r="6">
      <x:c r="A6" t="inlineStr">
        <x:is>
          <x:t xml:space="preserve">Total OASDI</x:t>
        </x:is>
      </x:c>
      <x:c r="B6" t="n">
        <x:f>SUM(Payroll!F2:F12)</x:f>
        <x:v>342.6785</x:v>
      </x:c>
    </x:row>
    <x:row r="7">
      <x:c r="A7" t="inlineStr">
        <x:is>
          <x:t xml:space="preserve">Total Federal Withholding</x:t>
        </x:is>
      </x:c>
      <x:c r="B7" t="n">
        <x:f>SUM(Payroll!G2:G12)</x:f>
        <x:v>4253.9400000000005</x:v>
      </x:c>
    </x:row>
    <x:row r="8">
      <x:c r="A8" t="inlineStr">
        <x:is>
          <x:t xml:space="preserve">Total State Withholding</x:t>
        </x:is>
      </x:c>
      <x:c r="B8" t="n">
        <x:f>SUM(Payroll!H2:H12)</x:f>
        <x:v>827.1550000000002</x:v>
      </x:c>
    </x:row>
    <x:row r="9">
      <x:c r="A9" t="inlineStr">
        <x:is>
          <x:t xml:space="preserve">Total SDI</x:t>
        </x:is>
      </x:c>
      <x:c r="B9" t="n">
        <x:f>SUM(Payroll!I2:I12)</x:f>
        <x:v>106.34849999999999</x:v>
      </x:c>
    </x:row>
    <x:row r="10">
      <x:c r="A10" t="inlineStr">
        <x:is>
          <x:t xml:space="preserve">Total FM Leave</x:t>
        </x:is>
      </x:c>
      <x:c r="B10" t="n">
        <x:f>SUM(Payroll!J2:J12)</x:f>
        <x:v>155.9778</x:v>
      </x:c>
    </x:row>
    <x:row r="11">
      <x:c r="A11" t="inlineStr">
        <x:is>
          <x:t xml:space="preserve">Total Family Support</x:t>
        </x:is>
      </x:c>
      <x:c r="B11" t="n">
        <x:f>SUM(Payroll!K2:K12)</x:f>
        <x:v>631.6</x:v>
      </x:c>
    </x:row>
    <x:row r="12">
      <x:c r="A12" t="inlineStr">
        <x:is>
          <x:t xml:space="preserve">Total Insurance Premiums</x:t>
        </x:is>
      </x:c>
      <x:c r="B12" t="n">
        <x:f>SUM(Payroll!L2:L12)</x:f>
        <x:v>361.89</x:v>
      </x:c>
    </x:row>
    <x:row r="13">
      <x:c r="A13" t="inlineStr">
        <x:is>
          <x:t xml:space="preserve">Total Credit Union Savings Club</x:t>
        </x:is>
      </x:c>
      <x:c r="B13" t="n">
        <x:f>SUM(Payroll!M2:M12)</x:f>
        <x:v>223.35000000000002</x:v>
      </x:c>
    </x:row>
    <x:row r="14">
      <x:c r="A14" t="inlineStr">
        <x:is>
          <x:t xml:space="preserve">Total 401(k) Contribution</x:t>
        </x:is>
      </x:c>
      <x:c r="B14" t="n">
        <x:f>SUM(Payroll!N2:N12)</x:f>
        <x:v>476.35</x:v>
      </x:c>
    </x:row>
    <x:row r="15">
      <x:c r="A15" t="inlineStr">
        <x:is>
          <x:t xml:space="preserve">Total HSA/FSA Health Deduction</x:t>
        </x:is>
      </x:c>
      <x:c r="B15" t="n">
        <x:f>SUM(Payroll!O2:O12)</x:f>
        <x:v>282.22</x:v>
      </x:c>
    </x:row>
    <x:row r="16">
      <x:c r="A16" t="inlineStr">
        <x:is>
          <x:t xml:space="preserve">Total Health Insurance Premiums</x:t>
        </x:is>
      </x:c>
      <x:c r="B16" t="n">
        <x:f>SUM(Payroll!P2:P12)</x:f>
        <x:v>307.81</x:v>
      </x:c>
    </x:row>
    <x:row r="17">
      <x:c r="A17" t="inlineStr">
        <x:is>
          <x:t xml:space="preserve">Total Life Insurance Above 50k</x:t>
        </x:is>
      </x:c>
      <x:c r="B17" t="n">
        <x:f>SUM(Payroll!Q2:Q12)</x:f>
        <x:v>31.98</x:v>
      </x:c>
    </x:row>
    <x:row r="18">
      <x:c r="A18" t="inlineStr">
        <x:is>
          <x:t xml:space="preserve">Total Deductions</x:t>
        </x:is>
      </x:c>
      <x:c r="B18" t="n">
        <x:f>SUM(Payroll!S2:S12)</x:f>
        <x:v>270</x:v>
      </x:c>
    </x:row>
    <x:row r="19">
      <x:c r="A19" t="inlineStr">
        <x:is>
          <x:t xml:space="preserve">Total Fuel Reimb.</x:t>
        </x:is>
      </x:c>
      <x:c r="B19" t="n">
        <x:f>SUM(Payroll!T2:T12)</x:f>
        <x:v>9466.545800000002</x:v>
      </x:c>
    </x:row>
    <x:row r="20">
      <x:c r="A20" t="inlineStr">
        <x:is>
          <x:t xml:space="preserve">Total Net Pay</x:t>
        </x:is>
      </x:c>
      <x:c r="B20" t="n">
        <x:f>SUM(Payroll!U2:U12)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style="24" customWidth="1"/>
    <x:col min="2" max="2" width="11" style="24" customWidth="1"/>
    <x:col min="3" max="3" width="14" style="24" customWidth="1"/>
    <x:col min="4" max="4" width="14" style="24" customWidth="1"/>
    <x:col min="5" max="5" width="28" style="24" customWidth="1"/>
    <x:col min="6" max="6" width="21" style="24" customWidth="1"/>
    <x:col min="7" max="7" width="25" style="24" customWidth="1"/>
    <x:col min="8" max="8" width="21" style="24" customWidth="1"/>
    <x:col min="9" max="9" width="28" style="24" customWidth="1"/>
    <x:col min="10" max="10" width="28" style="24" customWidth="1"/>
    <x:col min="11" max="11" width="22" style="24" customWidth="1"/>
    <x:col min="12" max="12" width="10" style="24" customWidth="1"/>
    <x:col min="13" max="13" width="10" style="24" customWidth="1"/>
    <x:col min="14" max="14" width="13" style="24" customWidth="1"/>
    <x:col min="15" max="15" width="17" style="24" customWidth="1"/>
    <x:col min="16" max="16" width="15" style="24" customWidth="1"/>
    <x:col min="17" max="17" width="28" style="24" customWidth="1"/>
    <x:col min="18" max="18" width="28" style="24" customWidth="1"/>
    <x:col min="19" max="19" width="28" style="24" customWidth="1"/>
    <x:col min="20" max="20" width="28" style="24" customWidth="1"/>
    <x:col min="21" max="21" width="28" style="24" customWidth="1"/>
  </x:cols>
  <x:sheetData>
    <x:row r="1">
      <x:c r="A1" s="123" t="str">
        <x:v>Legacy Driver ID</x:v>
      </x:c>
      <x:c r="B1" s="123" t="str">
        <x:v>Driver ID</x:v>
      </x:c>
      <x:c r="C1" s="123" t="str">
        <x:v>Full Name</x:v>
      </x:c>
      <x:c r="D1" s="123" t="str">
        <x:v>Phone Number</x:v>
      </x:c>
      <x:c r="E1" s="123" t="str">
        <x:v>Address</x:v>
      </x:c>
      <x:c r="F1" s="123" t="str">
        <x:v>CDL Expiration Date</x:v>
      </x:c>
      <x:c r="G1" s="123" t="str">
        <x:v>Medical Card Expiration</x:v>
      </x:c>
      <x:c r="H1" s="123" t="str">
        <x:v>MVR Expiration</x:v>
      </x:c>
      <x:c r="I1" s="123" t="str">
        <x:v>Assigned Truck</x:v>
      </x:c>
      <x:c r="J1" s="123" t="str">
        <x:v>Compliance Status</x:v>
      </x:c>
      <x:c r="K1" s="123" t="str">
        <x:v>Photo URL</x:v>
      </x:c>
      <x:c r="L1" s="123" t="str">
        <x:v>CDL URL</x:v>
      </x:c>
      <x:c r="M1" s="123" t="str">
        <x:v>MVR URL</x:v>
      </x:c>
      <x:c r="N1" s="123" t="str">
        <x:v>Medical URL</x:v>
      </x:c>
      <x:c r="O1" s="123" t="str">
        <x:v>Compliance Tier</x:v>
      </x:c>
      <x:c r="P1" s="123" t="str">
        <x:v>Primary Truck</x:v>
      </x:c>
      <x:c r="Q1" s="123" t="str">
        <x:v>W9 URL</x:v>
      </x:c>
      <x:c r="R1" s="123" t="str">
        <x:v>I9 URL</x:v>
      </x:c>
      <x:c r="S1" s="123" t="str">
        <x:v>FMCSA URL</x:v>
      </x:c>
      <x:c r="T1" s="123" t="str">
        <x:v>Bank Info URL</x:v>
      </x:c>
      <x:c r="U1" s="123" t="str">
        <x:v>Driver Folder URL</x:v>
      </x:c>
    </x:row>
    <x:row r="2">
      <x:c r="A2" t="str">
        <x:v>Driver 1</x:v>
      </x:c>
      <x:c r="B2" t="str">
        <x:v>DRV-001</x:v>
      </x:c>
      <x:c r="C2" t="str">
        <x:v>John Carter</x:v>
      </x:c>
      <x:c r="D2" t="str">
        <x:v>206-555-0102</x:v>
      </x:c>
      <x:c r="E2" t="str">
        <x:v>220 Demo Street, Cleveland, OH 44113</x:v>
      </x:c>
      <x:c r="F2" s="113" t="n">
        <x:v>46621</x:v>
      </x:c>
      <x:c r="G2" s="113" t="n">
        <x:v>46638</x:v>
      </x:c>
      <x:c r="H2" s="113" t="n">
        <x:v>46677</x:v>
      </x:c>
      <x:c r="I2" t="str">
        <x:v>T-102, T-121</x:v>
      </x:c>
      <x:c r="J2" t="str">
        <x:v>READY</x:v>
      </x:c>
      <x:c r="K2" t="str">
        <x:v>/drivers/DRV-001.jpg</x:v>
      </x:c>
      <x:c r="L2" t="str">
        <x:v>/documents/drivers/DRV-001_CDL.pdf</x:v>
      </x:c>
      <x:c r="M2" t="str">
        <x:v>/documents/drivers/DRV-001_MVR.pdf</x:v>
      </x:c>
      <x:c r="N2" t="str">
        <x:v>/documents/drivers/DRV-001_MEDICAL.pdf</x:v>
      </x:c>
      <x:c r="O2" t="str">
        <x:v>NON_COMPLIANT</x:v>
      </x:c>
      <x:c r="P2" t="str">
        <x:v>T-102</x:v>
      </x:c>
      <x:c r="Q2" t="str">
        <x:v>/documents/drivers/DRV-001_W9.pdf</x:v>
      </x:c>
      <x:c r="R2" t="str">
        <x:v>/documents/drivers/DRV-001_I9.pdf</x:v>
      </x:c>
      <x:c r="S2" t="str">
        <x:v>/documents/drivers/DRV-001_FMCSA.pdf</x:v>
      </x:c>
      <x:c r="T2" t="str">
        <x:v>/documents/drivers/DRV-001_BANK_INFO.pdf</x:v>
      </x:c>
      <x:c r="U2" t="str">
        <x:v>/documents/drivers/DRV-001/</x:v>
      </x:c>
    </x:row>
    <x:row r="3">
      <x:c r="A3" t="str">
        <x:v>Driver 2</x:v>
      </x:c>
      <x:c r="B3" t="str">
        <x:v>DRV-002</x:v>
      </x:c>
      <x:c r="C3" t="str">
        <x:v>Maria Lopez</x:v>
      </x:c>
      <x:c r="D3" t="str">
        <x:v>707-555-0100</x:v>
      </x:c>
      <x:c r="E3" t="str">
        <x:v>770 Demo Street, Chicago, IL 60611</x:v>
      </x:c>
      <x:c r="F3" s="113" t="n">
        <x:v>46518</x:v>
      </x:c>
      <x:c r="G3" s="113" t="n">
        <x:v>46596</x:v>
      </x:c>
      <x:c r="H3" s="113" t="n">
        <x:v>46455</x:v>
      </x:c>
      <x:c r="I3" t="str">
        <x:v>T-122, T-124, T-125</x:v>
      </x:c>
      <x:c r="J3" t="str">
        <x:v>READY</x:v>
      </x:c>
      <x:c r="K3" t="str">
        <x:v>/drivers/DRV-002.jpg</x:v>
      </x:c>
      <x:c r="L3" t="str">
        <x:v>/documents/drivers/DRV-002_CDL.pdf</x:v>
      </x:c>
      <x:c r="M3" t="str">
        <x:v>/documents/drivers/DRV-002_MVR.pdf</x:v>
      </x:c>
      <x:c r="N3" t="str">
        <x:v>/documents/drivers/DRV-002_MEDICAL.pdf</x:v>
      </x:c>
      <x:c r="O3" t="str">
        <x:v>NON_COMPLIANT</x:v>
      </x:c>
      <x:c r="P3" t="str">
        <x:v>T-122</x:v>
      </x:c>
      <x:c r="Q3" t="str">
        <x:v>/documents/drivers/DRV-002_W9.pdf</x:v>
      </x:c>
      <x:c r="R3" t="str">
        <x:v>/documents/drivers/DRV-002_I9.pdf</x:v>
      </x:c>
      <x:c r="S3" t="str">
        <x:v>/documents/drivers/DRV-002_FMCSA.pdf</x:v>
      </x:c>
      <x:c r="T3" t="str">
        <x:v>/documents/drivers/DRV-002_BANK_INFO.pdf</x:v>
      </x:c>
      <x:c r="U3" t="str">
        <x:v>/documents/drivers/DRV-002/</x:v>
      </x:c>
    </x:row>
    <x:row r="4">
      <x:c r="A4" t="str">
        <x:v>Driver 3</x:v>
      </x:c>
      <x:c r="B4" t="str">
        <x:v>DRV-003</x:v>
      </x:c>
      <x:c r="C4" t="str">
        <x:v>Alex Kim</x:v>
      </x:c>
      <x:c r="D4" t="str">
        <x:v>675-555-0100</x:v>
      </x:c>
      <x:c r="E4" t="str">
        <x:v>960 Demo Street, Atlanta, GA 30308</x:v>
      </x:c>
      <x:c r="F4" s="113" t="n">
        <x:v>46420</x:v>
      </x:c>
      <x:c r="G4" s="113" t="n">
        <x:v>46659</x:v>
      </x:c>
      <x:c r="H4" s="113" t="n">
        <x:v>46449</x:v>
      </x:c>
      <x:c r="I4" t="str">
        <x:v>T-107, T-123</x:v>
      </x:c>
      <x:c r="J4" t="str">
        <x:v>READY</x:v>
      </x:c>
      <x:c r="K4" t="str">
        <x:v>/drivers/DRV-003.jpg</x:v>
      </x:c>
      <x:c r="L4" t="str">
        <x:v>/documents/drivers/DRV-003_CDL.pdf</x:v>
      </x:c>
      <x:c r="M4" t="str">
        <x:v>/documents/drivers/DRV-003_MVR.pdf</x:v>
      </x:c>
      <x:c r="N4" t="str">
        <x:v>/documents/drivers/DRV-003_MEDICAL.pdf</x:v>
      </x:c>
      <x:c r="O4" t="str">
        <x:v>NON_COMPLIANT</x:v>
      </x:c>
      <x:c r="P4" t="str">
        <x:v>T-107</x:v>
      </x:c>
      <x:c r="Q4" t="str">
        <x:v>/documents/drivers/DRV-003_W9.pdf</x:v>
      </x:c>
      <x:c r="R4" t="str">
        <x:v>/documents/drivers/DRV-003_I9.pdf</x:v>
      </x:c>
      <x:c r="S4" t="str">
        <x:v>/documents/drivers/DRV-003_FMCSA.pdf</x:v>
      </x:c>
      <x:c r="T4" t="str">
        <x:v>/documents/drivers/DRV-003_BANK_INFO.pdf</x:v>
      </x:c>
      <x:c r="U4" t="str">
        <x:v>/documents/drivers/DRV-003/</x:v>
      </x:c>
    </x:row>
    <x:row r="5">
      <x:c r="A5" t="str">
        <x:v>Driver 4</x:v>
      </x:c>
      <x:c r="B5" t="str">
        <x:v>DRV-004</x:v>
      </x:c>
      <x:c r="C5" t="str">
        <x:v>Priya Patel</x:v>
      </x:c>
      <x:c r="D5" t="str">
        <x:v>359-555-0100</x:v>
      </x:c>
      <x:c r="E5" t="str">
        <x:v>520 Demo Street, Cleveland, OH 44114</x:v>
      </x:c>
      <x:c r="F5" s="113" t="n">
        <x:v>46739</x:v>
      </x:c>
      <x:c r="G5" s="113" t="n">
        <x:v>46486</x:v>
      </x:c>
      <x:c r="H5" s="113" t="n">
        <x:v>46452</x:v>
      </x:c>
      <x:c r="I5" t="str">
        <x:v>T-108, T-110, T-113, T-116</x:v>
      </x:c>
      <x:c r="J5" t="str">
        <x:v>READY</x:v>
      </x:c>
      <x:c r="K5" t="str">
        <x:v>/drivers/DRV-004.jpg</x:v>
      </x:c>
      <x:c r="L5" t="str">
        <x:v>/documents/drivers/DRV-004_CDL.pdf</x:v>
      </x:c>
      <x:c r="M5" t="str">
        <x:v>/documents/drivers/DRV-004_MVR.pdf</x:v>
      </x:c>
      <x:c r="N5" t="str">
        <x:v>/documents/drivers/DRV-004_MEDICAL.pdf</x:v>
      </x:c>
      <x:c r="O5" t="str">
        <x:v>NON_COMPLIANT</x:v>
      </x:c>
      <x:c r="P5" t="str">
        <x:v>T-108</x:v>
      </x:c>
      <x:c r="Q5" t="str">
        <x:v>/documents/drivers/DRV-004_W9.pdf</x:v>
      </x:c>
      <x:c r="R5" t="str">
        <x:v>/documents/drivers/DRV-004_I9.pdf</x:v>
      </x:c>
      <x:c r="S5" t="str">
        <x:v>/documents/drivers/DRV-004_FMCSA.pdf</x:v>
      </x:c>
      <x:c r="T5" t="str">
        <x:v>/documents/drivers/DRV-004_BANK_INFO.pdf</x:v>
      </x:c>
      <x:c r="U5" t="str">
        <x:v>/documents/drivers/DRV-004/</x:v>
      </x:c>
    </x:row>
    <x:row r="6">
      <x:c r="A6" t="str">
        <x:v>Driver 5</x:v>
      </x:c>
      <x:c r="B6" t="str">
        <x:v>DRV-005</x:v>
      </x:c>
      <x:c r="C6" t="str">
        <x:v>Kenji Tanaka</x:v>
      </x:c>
      <x:c r="D6" t="str">
        <x:v>871-555-0100</x:v>
      </x:c>
      <x:c r="E6" t="str">
        <x:v>150 Demo Street, Columbus, OH 43215</x:v>
      </x:c>
      <x:c r="F6" s="113" t="n">
        <x:v>46577</x:v>
      </x:c>
      <x:c r="G6" s="113" t="n">
        <x:v>46496</x:v>
      </x:c>
      <x:c r="H6" s="113" t="n">
        <x:v>46478</x:v>
      </x:c>
      <x:c r="I6" t="str">
        <x:v>T-104, T-112</x:v>
      </x:c>
      <x:c r="J6" t="str">
        <x:v>READY</x:v>
      </x:c>
      <x:c r="K6" t="str">
        <x:v>/drivers/DRV-005.jpg</x:v>
      </x:c>
      <x:c r="L6" t="str">
        <x:v>/documents/drivers/DRV-005_CDL.pdf</x:v>
      </x:c>
      <x:c r="M6" t="str">
        <x:v>/documents/drivers/DRV-005_MVR.pdf</x:v>
      </x:c>
      <x:c r="N6" t="str">
        <x:v>/documents/drivers/DRV-005_MEDICAL.pdf</x:v>
      </x:c>
      <x:c r="O6" t="str">
        <x:v>NON_COMPLIANT</x:v>
      </x:c>
      <x:c r="P6" t="str">
        <x:v>T-104</x:v>
      </x:c>
      <x:c r="Q6" t="str">
        <x:v>/documents/drivers/DRV-005_W9.pdf</x:v>
      </x:c>
      <x:c r="R6" t="str">
        <x:v>/documents/drivers/DRV-005_I9.pdf</x:v>
      </x:c>
      <x:c r="S6" t="str">
        <x:v>/documents/drivers/DRV-005_FMCSA.pdf</x:v>
      </x:c>
      <x:c r="T6" t="str">
        <x:v>/documents/drivers/DRV-005_BANK_INFO.pdf</x:v>
      </x:c>
      <x:c r="U6" t="str">
        <x:v>/documents/drivers/DRV-005/</x:v>
      </x:c>
    </x:row>
    <x:row r="7">
      <x:c r="A7" t="str">
        <x:v>Driver 6</x:v>
      </x:c>
      <x:c r="B7" t="str">
        <x:v>DRV-006</x:v>
      </x:c>
      <x:c r="C7" t="str">
        <x:v>Marcus Chen</x:v>
      </x:c>
      <x:c r="D7" t="str">
        <x:v>283-555-0100</x:v>
      </x:c>
      <x:c r="E7" t="str">
        <x:v>810 Demo Street, Dallas, TX 75202</x:v>
      </x:c>
      <x:c r="F7" s="113" t="n">
        <x:v>46556</x:v>
      </x:c>
      <x:c r="G7" s="113" t="n">
        <x:v>46394</x:v>
      </x:c>
      <x:c r="H7" s="113" t="n">
        <x:v>46455</x:v>
      </x:c>
      <x:c r="I7" t="str">
        <x:v>T-103, T-117, T-119</x:v>
      </x:c>
      <x:c r="J7" t="str">
        <x:v>READY</x:v>
      </x:c>
      <x:c r="K7" t="str">
        <x:v>/drivers/DRV-006.jpg</x:v>
      </x:c>
      <x:c r="L7" t="str">
        <x:v>/documents/drivers/DRV-006_CDL.pdf</x:v>
      </x:c>
      <x:c r="M7" t="str">
        <x:v>/documents/drivers/DRV-006_MVR.pdf</x:v>
      </x:c>
      <x:c r="N7" t="str">
        <x:v>/documents/drivers/DRV-006_MEDICAL.pdf</x:v>
      </x:c>
      <x:c r="O7" t="str">
        <x:v>NON_COMPLIANT</x:v>
      </x:c>
      <x:c r="P7" t="str">
        <x:v>T-103</x:v>
      </x:c>
      <x:c r="Q7" t="str">
        <x:v>/documents/drivers/DRV-006_W9.pdf</x:v>
      </x:c>
      <x:c r="R7" t="str">
        <x:v>/documents/drivers/DRV-006_I9.pdf</x:v>
      </x:c>
      <x:c r="S7" t="str">
        <x:v>/documents/drivers/DRV-006_FMCSA.pdf</x:v>
      </x:c>
      <x:c r="T7" t="str">
        <x:v>/documents/drivers/DRV-006_BANK_INFO.pdf</x:v>
      </x:c>
      <x:c r="U7" t="str">
        <x:v>/documents/drivers/DRV-006/</x:v>
      </x:c>
    </x:row>
    <x:row r="8">
      <x:c r="A8" t="str">
        <x:v>Driver 7</x:v>
      </x:c>
      <x:c r="B8" t="str">
        <x:v>DRV-007</x:v>
      </x:c>
      <x:c r="C8" t="str">
        <x:v>Sofia Gomez</x:v>
      </x:c>
      <x:c r="D8" t="str">
        <x:v>896-555-0100</x:v>
      </x:c>
      <x:c r="E8" t="str">
        <x:v>1020 Demo Street, Cleveland, OH 44115</x:v>
      </x:c>
      <x:c r="F8" s="113" t="n">
        <x:v>46530</x:v>
      </x:c>
      <x:c r="G8" s="113" t="n">
        <x:v>46469</x:v>
      </x:c>
      <x:c r="H8" s="113" t="n">
        <x:v>46456</x:v>
      </x:c>
      <x:c r="I8" t="str">
        <x:v>T-111</x:v>
      </x:c>
      <x:c r="J8" t="str">
        <x:v>READY</x:v>
      </x:c>
      <x:c r="K8" t="str">
        <x:v>/drivers/DRV-007.jpg</x:v>
      </x:c>
      <x:c r="L8" t="str">
        <x:v>/documents/drivers/DRV-007_CDL.pdf</x:v>
      </x:c>
      <x:c r="M8" t="str">
        <x:v>/documents/drivers/DRV-007_MVR.pdf</x:v>
      </x:c>
      <x:c r="N8" t="str">
        <x:v>/documents/drivers/DRV-007_MEDICAL.pdf</x:v>
      </x:c>
      <x:c r="O8" t="str">
        <x:v>NON_COMPLIANT</x:v>
      </x:c>
      <x:c r="P8" t="str">
        <x:v>T-111</x:v>
      </x:c>
      <x:c r="Q8" t="str">
        <x:v>/documents/drivers/DRV-007_W9.pdf</x:v>
      </x:c>
      <x:c r="R8" t="str">
        <x:v>/documents/drivers/DRV-007_I9.pdf</x:v>
      </x:c>
      <x:c r="S8" t="str">
        <x:v>/documents/drivers/DRV-007_FMCSA.pdf</x:v>
      </x:c>
      <x:c r="T8" t="str">
        <x:v>/documents/drivers/DRV-007_BANK_INFO.pdf</x:v>
      </x:c>
      <x:c r="U8" t="str">
        <x:v>/documents/drivers/DRV-007/</x:v>
      </x:c>
    </x:row>
    <x:row r="9">
      <x:c r="A9" t="str">
        <x:v>Driver 8</x:v>
      </x:c>
      <x:c r="B9" t="str">
        <x:v>DRV-008</x:v>
      </x:c>
      <x:c r="C9" t="str">
        <x:v>Liam Smith</x:v>
      </x:c>
      <x:c r="D9" t="str">
        <x:v>820-555-0100</x:v>
      </x:c>
      <x:c r="E9" t="str">
        <x:v>530 Demo Street, Toledo, OH 43604</x:v>
      </x:c>
      <x:c r="F9" s="113" t="n">
        <x:v>46620</x:v>
      </x:c>
      <x:c r="G9" s="113" t="n">
        <x:v>46670</x:v>
      </x:c>
      <x:c r="H9" s="113" t="n">
        <x:v>46452</x:v>
      </x:c>
      <x:c r="I9" t="str">
        <x:v>T-106, T-120</x:v>
      </x:c>
      <x:c r="J9" t="str">
        <x:v>READY</x:v>
      </x:c>
      <x:c r="K9" t="str">
        <x:v>/drivers/DRV-008.jpg</x:v>
      </x:c>
      <x:c r="L9" t="str">
        <x:v>/documents/drivers/DRV-008_CDL.pdf</x:v>
      </x:c>
      <x:c r="M9" t="str">
        <x:v>/documents/drivers/DRV-008_MVR.pdf</x:v>
      </x:c>
      <x:c r="N9" t="str">
        <x:v>/documents/drivers/DRV-008_MEDICAL.pdf</x:v>
      </x:c>
      <x:c r="O9" t="str">
        <x:v>NON_COMPLIANT</x:v>
      </x:c>
      <x:c r="P9" t="str">
        <x:v>T-106</x:v>
      </x:c>
      <x:c r="Q9" t="str">
        <x:v>/documents/drivers/DRV-008_W9.pdf</x:v>
      </x:c>
      <x:c r="R9" t="str">
        <x:v>/documents/drivers/DRV-008_I9.pdf</x:v>
      </x:c>
      <x:c r="S9" t="str">
        <x:v>/documents/drivers/DRV-008_FMCSA.pdf</x:v>
      </x:c>
      <x:c r="T9" t="str">
        <x:v>/documents/drivers/DRV-008_BANK_INFO.pdf</x:v>
      </x:c>
      <x:c r="U9" t="str">
        <x:v>/documents/drivers/DRV-008/</x:v>
      </x:c>
    </x:row>
    <x:row r="10">
      <x:c r="A10" t="str">
        <x:v>Driver 9</x:v>
      </x:c>
      <x:c r="B10" t="str">
        <x:v>DRV-009</x:v>
      </x:c>
      <x:c r="C10" t="str">
        <x:v>Emma Brown</x:v>
      </x:c>
      <x:c r="D10" t="str">
        <x:v>206-555-0103</x:v>
      </x:c>
      <x:c r="E10" t="str">
        <x:v>630 Demo Street, Columbus, OH 43215</x:v>
      </x:c>
      <x:c r="F10" s="113" t="n">
        <x:v>46424</x:v>
      </x:c>
      <x:c r="G10" s="113" t="n">
        <x:v>46645</x:v>
      </x:c>
      <x:c r="H10" s="113" t="n">
        <x:v>46451</x:v>
      </x:c>
      <x:c r="I10" t="str">
        <x:v>T-109</x:v>
      </x:c>
      <x:c r="J10" t="str">
        <x:v>READY</x:v>
      </x:c>
      <x:c r="K10" t="str">
        <x:v>/drivers/DRV-009.jpg</x:v>
      </x:c>
      <x:c r="L10" t="str">
        <x:v>/documents/drivers/DRV-009_CDL.pdf</x:v>
      </x:c>
      <x:c r="M10" t="str">
        <x:v>/documents/drivers/DRV-009_MVR.pdf</x:v>
      </x:c>
      <x:c r="N10" t="str">
        <x:v>/documents/drivers/DRV-009_MEDICAL.pdf</x:v>
      </x:c>
      <x:c r="O10" t="str">
        <x:v>NON_COMPLIANT</x:v>
      </x:c>
      <x:c r="P10" t="str">
        <x:v>T-109</x:v>
      </x:c>
      <x:c r="Q10" t="str">
        <x:v>/documents/drivers/DRV-009_W9.pdf</x:v>
      </x:c>
      <x:c r="R10" t="str">
        <x:v>/documents/drivers/DRV-009_I9.pdf</x:v>
      </x:c>
      <x:c r="S10" t="str">
        <x:v>/documents/drivers/DRV-009_FMCSA.pdf</x:v>
      </x:c>
      <x:c r="T10" t="str">
        <x:v>/documents/drivers/DRV-009_BANK_INFO.pdf</x:v>
      </x:c>
      <x:c r="U10" t="str">
        <x:v>/documents/drivers/DRV-009/</x:v>
      </x:c>
    </x:row>
    <x:row r="11">
      <x:c r="A11" t="str">
        <x:v>Driver 10</x:v>
      </x:c>
      <x:c r="B11" t="str">
        <x:v>DRV-010</x:v>
      </x:c>
      <x:c r="C11" t="str">
        <x:v>Noah Wilson</x:v>
      </x:c>
      <x:c r="D11" t="str">
        <x:v>582-555-0100</x:v>
      </x:c>
      <x:c r="E11" t="str">
        <x:v>130 Demo Street, Chicago, IL 60603</x:v>
      </x:c>
      <x:c r="F11" s="113" t="n">
        <x:v>46647</x:v>
      </x:c>
      <x:c r="G11" s="113" t="n">
        <x:v>46752</x:v>
      </x:c>
      <x:c r="H11" s="113" t="n">
        <x:v>46481</x:v>
      </x:c>
      <x:c r="I11" t="str">
        <x:v>T-105</x:v>
      </x:c>
      <x:c r="J11" t="str">
        <x:v>READY</x:v>
      </x:c>
      <x:c r="K11" t="str">
        <x:v>/drivers/DRV-010.jpg</x:v>
      </x:c>
      <x:c r="L11" t="str">
        <x:v>/documents/drivers/DRV-010_CDL.pdf</x:v>
      </x:c>
      <x:c r="M11" t="str">
        <x:v>/documents/drivers/DRV-010_MVR.pdf</x:v>
      </x:c>
      <x:c r="N11" t="str">
        <x:v>/documents/drivers/DRV-010_MEDICAL.pdf</x:v>
      </x:c>
      <x:c r="O11" t="str">
        <x:v>COMPLIANT</x:v>
      </x:c>
      <x:c r="P11" t="str">
        <x:v>T-105</x:v>
      </x:c>
      <x:c r="Q11" t="str">
        <x:v>/documents/drivers/DRV-010_W9.pdf</x:v>
      </x:c>
      <x:c r="R11" t="str">
        <x:v>/documents/drivers/DRV-010_I9.pdf</x:v>
      </x:c>
      <x:c r="S11" t="str">
        <x:v>/documents/drivers/DRV-010_FMCSA.pdf</x:v>
      </x:c>
      <x:c r="T11" t="str">
        <x:v>/documents/drivers/DRV-010_BANK_INFO.pdf</x:v>
      </x:c>
      <x:c r="U11" t="str">
        <x:v>/documents/drivers/DRV-010/</x:v>
      </x:c>
    </x:row>
    <x:row r="12">
      <x:c r="A12" t="str">
        <x:v>Driver 11</x:v>
      </x:c>
      <x:c r="B12" t="str">
        <x:v>DRV-011</x:v>
      </x:c>
      <x:c r="C12" t="str">
        <x:v>Olivia Lee</x:v>
      </x:c>
      <x:c r="D12" t="str">
        <x:v>337-555-0100</x:v>
      </x:c>
      <x:c r="E12" t="str">
        <x:v>900 Demo Street, Atlanta, GA 30308</x:v>
      </x:c>
      <x:c r="F12" s="113" t="n">
        <x:v>46566</x:v>
      </x:c>
      <x:c r="G12" s="113" t="n">
        <x:v>46499</x:v>
      </x:c>
      <x:c r="H12" s="113" t="n">
        <x:v>46484</x:v>
      </x:c>
      <x:c r="I12" t="str">
        <x:v>T-114, T-118</x:v>
      </x:c>
      <x:c r="J12" t="str">
        <x:v>READY</x:v>
      </x:c>
      <x:c r="K12" t="str">
        <x:v>/drivers/DRV-011.jpg</x:v>
      </x:c>
      <x:c r="L12" t="str">
        <x:v>/documents/drivers/DRV-011_CDL.pdf</x:v>
      </x:c>
      <x:c r="M12" t="str">
        <x:v>/documents/drivers/DRV-011_MVR.pdf</x:v>
      </x:c>
      <x:c r="N12" t="str">
        <x:v>/documents/drivers/DRV-011_MEDICAL.pdf</x:v>
      </x:c>
      <x:c r="O12" t="str">
        <x:v>COMPLIANT</x:v>
      </x:c>
      <x:c r="P12" t="str">
        <x:v>T-114</x:v>
      </x:c>
      <x:c r="Q12" t="str">
        <x:v>/documents/drivers/DRV-011_W9.pdf</x:v>
      </x:c>
      <x:c r="R12" t="str">
        <x:v>/documents/drivers/DRV-011_I9.pdf</x:v>
      </x:c>
      <x:c r="S12" t="str">
        <x:v>/documents/drivers/DRV-011_FMCSA.pdf</x:v>
      </x:c>
      <x:c r="T12" t="str">
        <x:v>/documents/drivers/DRV-011_BANK_INFO.pdf</x:v>
      </x:c>
      <x:c r="U12" t="str">
        <x:v>/documents/drivers/DRV-011/</x:v>
      </x:c>
    </x:row>
    <x:row r="13">
      <x:c r="A13" t="str">
        <x:v>Driver 12</x:v>
      </x:c>
      <x:c r="B13" t="str">
        <x:v>DRV-012</x:v>
      </x:c>
      <x:c r="C13" t="str">
        <x:v>Robert Johnson</x:v>
      </x:c>
      <x:c r="D13" t="str">
        <x:v>618-555-0101</x:v>
      </x:c>
      <x:c r="E13" t="str">
        <x:v>920 Demo Street, Chicago, IL 60605</x:v>
      </x:c>
      <x:c r="F13" s="113" t="n">
        <x:v>46706</x:v>
      </x:c>
      <x:c r="G13" s="113" t="n">
        <x:v>46609</x:v>
      </x:c>
      <x:c r="H13" s="113" t="n">
        <x:v>46519</x:v>
      </x:c>
      <x:c r="I13" t="str">
        <x:v>T-106, T-115</x:v>
      </x:c>
      <x:c r="J13" t="str">
        <x:v>READY</x:v>
      </x:c>
      <x:c r="K13" t="str">
        <x:v>/drivers/DRV-012.jpg</x:v>
      </x:c>
      <x:c r="L13" t="str">
        <x:v>/documents/drivers/DRV-012_CDL.pdf</x:v>
      </x:c>
      <x:c r="M13" t="str">
        <x:v>/documents/drivers/DRV-012_MVR.pdf</x:v>
      </x:c>
      <x:c r="N13" t="str">
        <x:v>/documents/drivers/DRV-012_MEDICAL.pdf</x:v>
      </x:c>
      <x:c r="O13" t="str">
        <x:v>NON_COMPLIANT</x:v>
      </x:c>
      <x:c r="P13" t="str">
        <x:v>T-106</x:v>
      </x:c>
      <x:c r="Q13" t="str">
        <x:v>/documents/drivers/DRV-012_W9.pdf</x:v>
      </x:c>
      <x:c r="R13" t="str">
        <x:v>/documents/drivers/DRV-012_I9.pdf</x:v>
      </x:c>
      <x:c r="S13" t="str">
        <x:v>/documents/drivers/DRV-012_FMCSA.pdf</x:v>
      </x:c>
      <x:c r="T13" t="str">
        <x:v>/documents/drivers/DRV-012_BANK_INFO.pdf</x:v>
      </x:c>
      <x:c r="U13" t="str">
        <x:v>/documents/drivers/DRV-012/</x:v>
      </x:c>
    </x:row>
  </x:sheetData>
  <x:pageMargins left="0.7" right="0.7" top="0.75" bottom="0.75" header="0.3" footer="0.3"/>
  <x:tableParts count="2">
    <x:tablePart xmlns:r="http://schemas.openxmlformats.org/officeDocument/2006/relationships" r:id="R3f272cdc88e74c6b"/>
    <x:tablePart xmlns:r="http://schemas.openxmlformats.org/officeDocument/2006/relationships" r:id="R93d2b166d6614ca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style="24" customWidth="1"/>
    <x:col min="2" max="2" width="16" style="24" customWidth="1"/>
    <x:col min="3" max="3" width="14" style="24" customWidth="1"/>
    <x:col min="4" max="4" width="28" style="24" customWidth="1"/>
    <x:col min="5" max="5" width="19" style="24" customWidth="1"/>
    <x:col min="6" max="6" width="28" style="24" customWidth="1"/>
    <x:col min="7" max="7" width="21" style="24" customWidth="1"/>
    <x:col min="8" max="8" width="11" style="24" customWidth="1"/>
    <x:col min="9" max="9" width="19" style="24" customWidth="1"/>
    <x:col min="10" max="10" width="14" style="24" customWidth="1"/>
    <x:col min="11" max="11" width="28" style="24" customWidth="1"/>
    <x:col min="12" max="12" width="22" style="24" customWidth="1"/>
    <x:col min="13" max="13" width="26" style="24" customWidth="1"/>
    <x:col min="14" max="14" width="26" style="24" customWidth="1"/>
    <x:col min="15" max="15" width="21" style="24" customWidth="1"/>
  </x:cols>
  <x:sheetData>
    <x:row r="1">
      <x:c r="A1" s="123" t="str">
        <x:v>Driver ID</x:v>
      </x:c>
      <x:c r="B1" s="123" t="str">
        <x:v>Full Name</x:v>
      </x:c>
      <x:c r="C1" s="123" t="str">
        <x:v>Phone</x:v>
      </x:c>
      <x:c r="D1" s="123" t="str">
        <x:v>Address</x:v>
      </x:c>
      <x:c r="E1" s="123" t="str">
        <x:v>Compliance Status</x:v>
      </x:c>
      <x:c r="F1" s="123" t="str">
        <x:v>Document Type</x:v>
      </x:c>
      <x:c r="G1" s="123" t="str">
        <x:v>Expiration Date</x:v>
      </x:c>
      <x:c r="H1" s="123" t="str">
        <x:v>File Link</x:v>
      </x:c>
      <x:c r="I1" s="123" t="str">
        <x:v>Standard Doc Type</x:v>
      </x:c>
      <x:c r="J1" s="123" t="str">
        <x:v>Document URL</x:v>
      </x:c>
      <x:c r="K1" s="123" t="str">
        <x:v>Doc Status</x:v>
      </x:c>
      <x:c r="L1" s="123" t="str">
        <x:v>Export Key</x:v>
      </x:c>
      <x:c r="M1" s="123" t="str">
        <x:v>File Name</x:v>
      </x:c>
      <x:c r="N1" s="123" t="str">
        <x:v>Driver Photo URL</x:v>
      </x:c>
      <x:c r="O1" s="123" t="str">
        <x:v>Preview Image URL</x:v>
      </x:c>
      <x:c r="P1" s="118"/>
      <x:c r="Q1" s="118"/>
      <x:c r="R1" s="118"/>
      <x:c r="S1" s="118"/>
      <x:c r="T1" s="118"/>
      <x:c r="U1" s="118"/>
    </x:row>
    <x:row r="2">
      <x:c r="A2" t="str">
        <x:v>DRV-001</x:v>
      </x:c>
      <x:c r="B2" t="str">
        <x:v>John Carter</x:v>
      </x:c>
      <x:c r="C2" t="str">
        <x:v>206-555-0102</x:v>
      </x:c>
      <x:c r="D2" t="str">
        <x:v>220 Demo Street, Cleveland, OH</x:v>
      </x:c>
      <x:c r="E2" t="str">
        <x:v>READY</x:v>
      </x:c>
      <x:c r="F2" t="str">
        <x:v>CDL Summary</x:v>
      </x:c>
      <x:c r="G2" s="113" t="n">
        <x:v>46621</x:v>
      </x:c>
      <x:c r="H2" t="str">
        <x:v>/documents/drivers/DRV-001_CDL.pdf</x:v>
      </x:c>
      <x:c r="I2" t="str">
        <x:v>CDL</x:v>
      </x:c>
      <x:c r="J2" t="str">
        <x:v>/documents/drivers/DRV-001_CDL.pdf</x:v>
      </x:c>
      <x:c r="K2" t="str">
        <x:v>VALID</x:v>
      </x:c>
      <x:c r="L2" t="str">
        <x:v>DRV-001|CDL</x:v>
      </x:c>
      <x:c r="M2" t="str">
        <x:v>DRV-001_CDL.pdf</x:v>
      </x:c>
      <x:c r="N2" t="str">
        <x:v>/drivers/DRV-001.jpg</x:v>
      </x:c>
      <x:c r="O2" t="str">
        <x:v>/images/documents/DRV-001_CDL.jpg</x:v>
      </x:c>
    </x:row>
    <x:row r="3">
      <x:c r="A3" t="str">
        <x:v>DRV-001</x:v>
      </x:c>
      <x:c r="B3" t="str">
        <x:v>John Carter</x:v>
      </x:c>
      <x:c r="C3" t="str">
        <x:v>206-555-0102</x:v>
      </x:c>
      <x:c r="D3" t="str">
        <x:v>220 Demo Street, Cleveland, OH</x:v>
      </x:c>
      <x:c r="E3" t="str">
        <x:v>READY</x:v>
      </x:c>
      <x:c r="F3" t="str">
        <x:v>Medical Certification Summary</x:v>
      </x:c>
      <x:c r="G3" s="113" t="n">
        <x:v>46638</x:v>
      </x:c>
      <x:c r="H3" t="str">
        <x:v>/documents/drivers/DRV-001_MEDICAL.pdf</x:v>
      </x:c>
      <x:c r="I3" t="str">
        <x:v>MEDICAL_CARD</x:v>
      </x:c>
      <x:c r="J3" t="str">
        <x:v>/documents/drivers/DRV-001_MEDICAL.pdf</x:v>
      </x:c>
      <x:c r="K3" t="str">
        <x:v>VALID</x:v>
      </x:c>
      <x:c r="L3" t="str">
        <x:v>DRV-001|MEDICAL_CARD</x:v>
      </x:c>
      <x:c r="M3" t="str">
        <x:v>DRV-001_MEDICAL.pdf</x:v>
      </x:c>
      <x:c r="N3" t="str">
        <x:v>/drivers/DRV-001.jpg</x:v>
      </x:c>
      <x:c r="O3" t="str">
        <x:v>/images/documents/DRV-001_MEDICAL_CARD.jpg</x:v>
      </x:c>
    </x:row>
    <x:row r="4">
      <x:c r="A4" t="str">
        <x:v>DRV-001</x:v>
      </x:c>
      <x:c r="B4" t="str">
        <x:v>John Carter</x:v>
      </x:c>
      <x:c r="C4" t="str">
        <x:v>206-555-0102</x:v>
      </x:c>
      <x:c r="D4" t="str">
        <x:v>220 Demo Street, Cleveland, OH</x:v>
      </x:c>
      <x:c r="E4" t="str">
        <x:v>READY</x:v>
      </x:c>
      <x:c r="F4" t="str">
        <x:v>MVR Summary</x:v>
      </x:c>
      <x:c r="G4" s="113" t="n">
        <x:v>46677</x:v>
      </x:c>
      <x:c r="H4" t="str">
        <x:v>/documents/drivers/DRV-001_MVR.pdf</x:v>
      </x:c>
      <x:c r="I4" t="str">
        <x:v>MVR</x:v>
      </x:c>
      <x:c r="J4" t="str">
        <x:v>/documents/drivers/DRV-001_MVR.pdf</x:v>
      </x:c>
      <x:c r="K4" t="str">
        <x:v>VALID</x:v>
      </x:c>
      <x:c r="L4" t="str">
        <x:v>DRV-001|MVR</x:v>
      </x:c>
      <x:c r="M4" t="str">
        <x:v>DRV-001_MVR.pdf</x:v>
      </x:c>
      <x:c r="N4" t="str">
        <x:v>/drivers/DRV-001.jpg</x:v>
      </x:c>
      <x:c r="O4" t="str">
        <x:v>/images/documents/DRV-001_MVR.jpg</x:v>
      </x:c>
    </x:row>
    <x:row r="5">
      <x:c r="A5" t="str">
        <x:v>DRV-001</x:v>
      </x:c>
      <x:c r="B5" t="str">
        <x:v>John Carter</x:v>
      </x:c>
      <x:c r="C5" t="str">
        <x:v>206-555-0102</x:v>
      </x:c>
      <x:c r="D5" t="str">
        <x:v>220 Demo Street, Cleveland, OH</x:v>
      </x:c>
      <x:c r="E5" t="str">
        <x:v>NON-COMPLIANT</x:v>
      </x:c>
      <x:c r="F5" t="str">
        <x:v>Employment Eligibility Summary</x:v>
      </x:c>
      <x:c r="G5" s="113" t="n">
        <x:v>46104</x:v>
      </x:c>
      <x:c r="H5" t="str">
        <x:v>/documents/drivers/DRV-001_I9.pdf</x:v>
      </x:c>
      <x:c r="I5" t="str">
        <x:v>I9</x:v>
      </x:c>
      <x:c r="J5" t="str">
        <x:v>/documents/drivers/DRV-001_I9.pdf</x:v>
      </x:c>
      <x:c r="K5" t="str">
        <x:v>EXPIRED</x:v>
      </x:c>
      <x:c r="L5" t="str">
        <x:v>DRV-001|I9</x:v>
      </x:c>
      <x:c r="M5" t="str">
        <x:v>DRV-001_I9.pdf</x:v>
      </x:c>
      <x:c r="N5" t="str">
        <x:v>/drivers/DRV-001.jpg</x:v>
      </x:c>
      <x:c r="O5" t="str">
        <x:v>/images/documents/DRV-001_I9.jpg</x:v>
      </x:c>
    </x:row>
    <x:row r="6">
      <x:c r="A6" t="str">
        <x:v>DRV-001</x:v>
      </x:c>
      <x:c r="B6" t="str">
        <x:v>John Carter</x:v>
      </x:c>
      <x:c r="C6" t="str">
        <x:v>206-555-0102</x:v>
      </x:c>
      <x:c r="D6" t="str">
        <x:v>220 Demo Street, Cleveland, OH</x:v>
      </x:c>
      <x:c r="E6" t="str">
        <x:v>NON-COMPLIANT</x:v>
      </x:c>
      <x:c r="F6" t="str">
        <x:v>FMCSA Compliance Summary</x:v>
      </x:c>
      <x:c r="G6" s="113" t="n">
        <x:v>45978</x:v>
      </x:c>
      <x:c r="H6" t="str">
        <x:v>/documents/drivers/DRV-001_FMCSA.pdf</x:v>
      </x:c>
      <x:c r="I6" t="str">
        <x:v>FMCSA</x:v>
      </x:c>
      <x:c r="J6" t="str">
        <x:v>/documents/drivers/DRV-001_FMCSA.pdf</x:v>
      </x:c>
      <x:c r="K6" t="str">
        <x:v>EXPIRED</x:v>
      </x:c>
      <x:c r="L6" t="str">
        <x:v>DRV-001|FMCSA</x:v>
      </x:c>
      <x:c r="M6" t="str">
        <x:v>DRV-001_FMCSA.pdf</x:v>
      </x:c>
      <x:c r="N6" t="str">
        <x:v>/drivers/DRV-001.jpg</x:v>
      </x:c>
      <x:c r="O6" t="str">
        <x:v>/images/documents/DRV-001_FMCSA.jpg</x:v>
      </x:c>
    </x:row>
    <x:row r="7">
      <x:c r="A7" t="str">
        <x:v>DRV-001</x:v>
      </x:c>
      <x:c r="B7" t="str">
        <x:v>John Carter</x:v>
      </x:c>
      <x:c r="C7" t="str">
        <x:v>206-555-0102</x:v>
      </x:c>
      <x:c r="D7" t="str">
        <x:v>220 Demo Street, Cleveland, OH</x:v>
      </x:c>
      <x:c r="E7" t="str">
        <x:v>NON-COMPLIANT</x:v>
      </x:c>
      <x:c r="F7" t="str">
        <x:v>W-9 Summary</x:v>
      </x:c>
      <x:c r="G7" s="113" t="n">
        <x:v>46190</x:v>
      </x:c>
      <x:c r="H7" t="str">
        <x:v>/documents/drivers/DRV-001_W9.pdf</x:v>
      </x:c>
      <x:c r="I7" t="str">
        <x:v>W9</x:v>
      </x:c>
      <x:c r="J7" t="str">
        <x:v>/documents/drivers/DRV-001_W9.pdf</x:v>
      </x:c>
      <x:c r="K7" t="str">
        <x:v>VALID</x:v>
      </x:c>
      <x:c r="L7" t="str">
        <x:v>DRV-001|W9</x:v>
      </x:c>
      <x:c r="M7" t="str">
        <x:v>DRV-001_W9.pdf</x:v>
      </x:c>
      <x:c r="N7" t="str">
        <x:v>/drivers/DRV-001.jpg</x:v>
      </x:c>
      <x:c r="O7" t="str">
        <x:v>/images/documents/DRV-001_W9.jpg</x:v>
      </x:c>
    </x:row>
    <x:row r="8">
      <x:c r="A8" t="str">
        <x:v>DRV-001</x:v>
      </x:c>
      <x:c r="B8" t="str">
        <x:v>John Carter</x:v>
      </x:c>
      <x:c r="C8" t="str">
        <x:v>206-555-0102</x:v>
      </x:c>
      <x:c r="D8" t="str">
        <x:v>220 Demo Street, Cleveland, OH</x:v>
      </x:c>
      <x:c r="E8" t="str">
        <x:v>NON-COMPLIANT</x:v>
      </x:c>
      <x:c r="F8" t="str">
        <x:v>Bank Information Sheet</x:v>
      </x:c>
      <x:c r="G8" s="113" t="n">
        <x:v>46074</x:v>
      </x:c>
      <x:c r="H8" t="str">
        <x:v>/documents/drivers/DRV-001_BANK_INFO.pdf</x:v>
      </x:c>
      <x:c r="I8" t="str">
        <x:v>BANK_INFO</x:v>
      </x:c>
      <x:c r="J8" t="str">
        <x:v>/documents/drivers/DRV-001_BANK_INFO.pdf</x:v>
      </x:c>
      <x:c r="K8" t="str">
        <x:v>EXPIRED</x:v>
      </x:c>
      <x:c r="L8" t="str">
        <x:v>DRV-001|BANK_INFO</x:v>
      </x:c>
      <x:c r="M8" t="str">
        <x:v>DRV-001_BANK_INFO.pdf</x:v>
      </x:c>
      <x:c r="N8" t="str">
        <x:v>/drivers/DRV-001.jpg</x:v>
      </x:c>
      <x:c r="O8" t="str">
        <x:v>/images/documents/DRV-001_BANK_INFO.jpg</x:v>
      </x:c>
    </x:row>
    <x:row r="9">
      <x:c r="A9" t="str">
        <x:v>DRV-002</x:v>
      </x:c>
      <x:c r="B9" t="str">
        <x:v>Maria Lopez</x:v>
      </x:c>
      <x:c r="C9" t="str">
        <x:v>707-555-0100</x:v>
      </x:c>
      <x:c r="D9" t="str">
        <x:v>770 Demo Street, Chicago, IL</x:v>
      </x:c>
      <x:c r="E9" t="str">
        <x:v>READY</x:v>
      </x:c>
      <x:c r="F9" t="str">
        <x:v>Medical Certification Summary</x:v>
      </x:c>
      <x:c r="G9" s="113" t="n">
        <x:v>46596</x:v>
      </x:c>
      <x:c r="H9" t="str">
        <x:v>/documents/drivers/DRV-002_MEDICAL.pdf</x:v>
      </x:c>
      <x:c r="I9" t="str">
        <x:v>MEDICAL_CARD</x:v>
      </x:c>
      <x:c r="J9" t="str">
        <x:v>/documents/drivers/DRV-002_MEDICAL.pdf</x:v>
      </x:c>
      <x:c r="K9" t="str">
        <x:v>VALID</x:v>
      </x:c>
      <x:c r="L9" t="str">
        <x:v>DRV-002|MEDICAL_CARD</x:v>
      </x:c>
      <x:c r="M9" t="str">
        <x:v>DRV-002_MEDICAL.pdf</x:v>
      </x:c>
      <x:c r="N9" t="str">
        <x:v>/drivers/DRV-002.jpg</x:v>
      </x:c>
      <x:c r="O9" t="str">
        <x:v>/images/documents/DRV-002_MEDICAL_CARD.jpg</x:v>
      </x:c>
    </x:row>
    <x:row r="10">
      <x:c r="A10" t="str">
        <x:v>DRV-002</x:v>
      </x:c>
      <x:c r="B10" t="str">
        <x:v>Maria Lopez</x:v>
      </x:c>
      <x:c r="C10" t="str">
        <x:v>707-555-0100</x:v>
      </x:c>
      <x:c r="D10" t="str">
        <x:v>770 Demo Street, Chicago, IL</x:v>
      </x:c>
      <x:c r="E10" t="str">
        <x:v>READY</x:v>
      </x:c>
      <x:c r="F10" t="str">
        <x:v>Medical Certification Summary</x:v>
      </x:c>
      <x:c r="G10" s="113" t="n">
        <x:v>46596</x:v>
      </x:c>
      <x:c r="H10" t="str">
        <x:v>/documents/drivers/DRV-002_MEDICAL.pdf</x:v>
      </x:c>
      <x:c r="I10" t="str">
        <x:v>MEDICAL_CARD</x:v>
      </x:c>
      <x:c r="J10" t="str">
        <x:v>/documents/drivers/DRV-002_MEDICAL.pdf</x:v>
      </x:c>
      <x:c r="K10" t="str">
        <x:v>VALID</x:v>
      </x:c>
      <x:c r="L10" t="str">
        <x:v>DRV-002|MEDICAL_CARD</x:v>
      </x:c>
      <x:c r="M10" t="str">
        <x:v>DRV-002_MEDICAL.pdf</x:v>
      </x:c>
      <x:c r="N10" t="str">
        <x:v>/drivers/DRV-002.jpg</x:v>
      </x:c>
      <x:c r="O10" t="str">
        <x:v>/images/documents/DRV-002_MEDICAL_CARD.jpg</x:v>
      </x:c>
    </x:row>
    <x:row r="11">
      <x:c r="A11" t="str">
        <x:v>DRV-002</x:v>
      </x:c>
      <x:c r="B11" t="str">
        <x:v>Maria Lopez</x:v>
      </x:c>
      <x:c r="C11" t="str">
        <x:v>707-555-0100</x:v>
      </x:c>
      <x:c r="D11" t="str">
        <x:v>770 Demo Street, Chicago, IL</x:v>
      </x:c>
      <x:c r="E11" t="str">
        <x:v>READY</x:v>
      </x:c>
      <x:c r="F11" t="str">
        <x:v>MVR Summary</x:v>
      </x:c>
      <x:c r="G11" s="113" t="n">
        <x:v>46455</x:v>
      </x:c>
      <x:c r="H11" t="str">
        <x:v>/documents/drivers/DRV-002_MVR.pdf</x:v>
      </x:c>
      <x:c r="I11" t="str">
        <x:v>MVR</x:v>
      </x:c>
      <x:c r="J11" t="str">
        <x:v>/documents/drivers/DRV-002_MVR.pdf</x:v>
      </x:c>
      <x:c r="K11" t="str">
        <x:v>VALID</x:v>
      </x:c>
      <x:c r="L11" t="str">
        <x:v>DRV-002|MVR</x:v>
      </x:c>
      <x:c r="M11" t="str">
        <x:v>DRV-002_MVR.pdf</x:v>
      </x:c>
      <x:c r="N11" t="str">
        <x:v>/drivers/DRV-002.jpg</x:v>
      </x:c>
      <x:c r="O11" t="str">
        <x:v>/images/documents/DRV-002_MVR.jpg</x:v>
      </x:c>
    </x:row>
    <x:row r="12">
      <x:c r="A12" t="str">
        <x:v>DRV-002</x:v>
      </x:c>
      <x:c r="B12" t="str">
        <x:v>Maria Lopez</x:v>
      </x:c>
      <x:c r="C12" t="str">
        <x:v>707-555-0100</x:v>
      </x:c>
      <x:c r="D12" t="str">
        <x:v>770 Demo Street, Chicago, IL</x:v>
      </x:c>
      <x:c r="E12" t="str">
        <x:v>NON-COMPLIANT</x:v>
      </x:c>
      <x:c r="F12" t="str">
        <x:v>Employment Eligibility Summary</x:v>
      </x:c>
      <x:c r="G12" s="113" t="n">
        <x:v>46049</x:v>
      </x:c>
      <x:c r="H12" t="str">
        <x:v>/documents/drivers/DRV-002_I9.pdf</x:v>
      </x:c>
      <x:c r="I12" t="str">
        <x:v>I9</x:v>
      </x:c>
      <x:c r="J12" t="str">
        <x:v>/documents/drivers/DRV-002_I9.pdf</x:v>
      </x:c>
      <x:c r="K12" t="str">
        <x:v>EXPIRED</x:v>
      </x:c>
      <x:c r="L12" t="str">
        <x:v>DRV-002|I9</x:v>
      </x:c>
      <x:c r="M12" t="str">
        <x:v>DRV-002_I9.pdf</x:v>
      </x:c>
      <x:c r="N12" t="str">
        <x:v>/drivers/DRV-002.jpg</x:v>
      </x:c>
      <x:c r="O12" t="str">
        <x:v>/images/documents/DRV-002_I9.jpg</x:v>
      </x:c>
    </x:row>
    <x:row r="13">
      <x:c r="A13" t="str">
        <x:v>DRV-002</x:v>
      </x:c>
      <x:c r="B13" t="str">
        <x:v>Maria Lopez</x:v>
      </x:c>
      <x:c r="C13" t="str">
        <x:v>707-555-0100</x:v>
      </x:c>
      <x:c r="D13" t="str">
        <x:v>770 Demo Street, Chicago, IL</x:v>
      </x:c>
      <x:c r="E13" t="str">
        <x:v>NON-COMPLIANT</x:v>
      </x:c>
      <x:c r="F13" t="str">
        <x:v>FMCSA Compliance Summary</x:v>
      </x:c>
      <x:c r="G13" s="113" t="n">
        <x:v>46182</x:v>
      </x:c>
      <x:c r="H13" t="str">
        <x:v>/documents/drivers/DRV-002_FMCSA.pdf</x:v>
      </x:c>
      <x:c r="I13" t="str">
        <x:v>FMCSA</x:v>
      </x:c>
      <x:c r="J13" t="str">
        <x:v>/documents/drivers/DRV-002_FMCSA.pdf</x:v>
      </x:c>
      <x:c r="K13" t="str">
        <x:v>VALID</x:v>
      </x:c>
      <x:c r="L13" t="str">
        <x:v>DRV-002|FMCSA</x:v>
      </x:c>
      <x:c r="M13" t="str">
        <x:v>DRV-002_FMCSA.pdf</x:v>
      </x:c>
      <x:c r="N13" t="str">
        <x:v>/drivers/DRV-002.jpg</x:v>
      </x:c>
      <x:c r="O13" t="str">
        <x:v>/images/documents/DRV-002_FMCSA.jpg</x:v>
      </x:c>
    </x:row>
    <x:row r="14">
      <x:c r="A14" t="str">
        <x:v>DRV-002</x:v>
      </x:c>
      <x:c r="B14" t="str">
        <x:v>Maria Lopez</x:v>
      </x:c>
      <x:c r="C14" t="str">
        <x:v>707-555-0100</x:v>
      </x:c>
      <x:c r="D14" t="str">
        <x:v>770 Demo Street, Chicago, IL</x:v>
      </x:c>
      <x:c r="E14" t="str">
        <x:v>NON-COMPLIANT</x:v>
      </x:c>
      <x:c r="F14" t="str">
        <x:v>W-9 Summary</x:v>
      </x:c>
      <x:c r="G14" s="113" t="n">
        <x:v>46043</x:v>
      </x:c>
      <x:c r="H14" t="str">
        <x:v>/documents/drivers/DRV-002_W9.pdf</x:v>
      </x:c>
      <x:c r="I14" t="str">
        <x:v>W9</x:v>
      </x:c>
      <x:c r="J14" t="str">
        <x:v>/documents/drivers/DRV-002_W9.pdf</x:v>
      </x:c>
      <x:c r="K14" t="str">
        <x:v>EXPIRED</x:v>
      </x:c>
      <x:c r="L14" t="str">
        <x:v>DRV-002|W9</x:v>
      </x:c>
      <x:c r="M14" t="str">
        <x:v>DRV-002_W9.pdf</x:v>
      </x:c>
      <x:c r="N14" t="str">
        <x:v>/drivers/DRV-002.jpg</x:v>
      </x:c>
      <x:c r="O14" t="str">
        <x:v>/images/documents/DRV-002_W9.jpg</x:v>
      </x:c>
    </x:row>
    <x:row r="15">
      <x:c r="A15" t="str">
        <x:v>DRV-002</x:v>
      </x:c>
      <x:c r="B15" t="str">
        <x:v>Maria Lopez</x:v>
      </x:c>
      <x:c r="C15" t="str">
        <x:v>707-555-0100</x:v>
      </x:c>
      <x:c r="D15" t="str">
        <x:v>770 Demo Street, Chicago, IL</x:v>
      </x:c>
      <x:c r="E15" t="str">
        <x:v>NON-COMPLIANT</x:v>
      </x:c>
      <x:c r="F15" t="str">
        <x:v>Bank Information Sheet</x:v>
      </x:c>
      <x:c r="G15" s="113" t="n">
        <x:v>45997</x:v>
      </x:c>
      <x:c r="H15" t="str">
        <x:v>/documents/drivers/DRV-002_BANK_INFO.pdf</x:v>
      </x:c>
      <x:c r="I15" t="str">
        <x:v>BANK_INFO</x:v>
      </x:c>
      <x:c r="J15" t="str">
        <x:v>/documents/drivers/DRV-002_BANK_INFO.pdf</x:v>
      </x:c>
      <x:c r="K15" t="str">
        <x:v>EXPIRED</x:v>
      </x:c>
      <x:c r="L15" t="str">
        <x:v>DRV-002|BANK_INFO</x:v>
      </x:c>
      <x:c r="M15" t="str">
        <x:v>DRV-002_BANK_INFO.pdf</x:v>
      </x:c>
      <x:c r="N15" t="str">
        <x:v>/drivers/DRV-002.jpg</x:v>
      </x:c>
      <x:c r="O15" t="str">
        <x:v>/images/documents/DRV-002_BANK_INFO.jpg</x:v>
      </x:c>
    </x:row>
    <x:row r="16">
      <x:c r="A16" t="str">
        <x:v>DRV-003</x:v>
      </x:c>
      <x:c r="B16" t="str">
        <x:v>Alex Kim</x:v>
      </x:c>
      <x:c r="C16" t="str">
        <x:v>675-555-0100</x:v>
      </x:c>
      <x:c r="D16" t="str">
        <x:v>960 Demo Street, Atlanta, GA</x:v>
      </x:c>
      <x:c r="E16" t="str">
        <x:v>READY</x:v>
      </x:c>
      <x:c r="F16" t="str">
        <x:v>CDL Summary</x:v>
      </x:c>
      <x:c r="G16" s="113" t="n">
        <x:v>46420</x:v>
      </x:c>
      <x:c r="H16" t="str">
        <x:v>/documents/drivers/DRV-003_CDL.pdf</x:v>
      </x:c>
      <x:c r="I16" t="str">
        <x:v>CDL</x:v>
      </x:c>
      <x:c r="J16" t="str">
        <x:v>/documents/drivers/DRV-003_CDL.pdf</x:v>
      </x:c>
      <x:c r="K16" t="str">
        <x:v>VALID</x:v>
      </x:c>
      <x:c r="L16" t="str">
        <x:v>DRV-003|CDL</x:v>
      </x:c>
      <x:c r="M16" t="str">
        <x:v>DRV-003_CDL.pdf</x:v>
      </x:c>
      <x:c r="N16" t="str">
        <x:v>/drivers/DRV-003.jpg</x:v>
      </x:c>
      <x:c r="O16" t="str">
        <x:v>/images/documents/DRV-003_CDL.jpg</x:v>
      </x:c>
    </x:row>
    <x:row r="17">
      <x:c r="A17" t="str">
        <x:v>DRV-003</x:v>
      </x:c>
      <x:c r="B17" t="str">
        <x:v>Alex Kim</x:v>
      </x:c>
      <x:c r="C17" t="str">
        <x:v>675-555-0100</x:v>
      </x:c>
      <x:c r="D17" t="str">
        <x:v>960 Demo Street, Atlanta, GA</x:v>
      </x:c>
      <x:c r="E17" t="str">
        <x:v>READY</x:v>
      </x:c>
      <x:c r="F17" t="str">
        <x:v>Medical Certification Summary</x:v>
      </x:c>
      <x:c r="G17" s="113" t="n">
        <x:v>46659</x:v>
      </x:c>
      <x:c r="H17" t="str">
        <x:v>/documents/drivers/DRV-003_MEDICAL.pdf</x:v>
      </x:c>
      <x:c r="I17" t="str">
        <x:v>MEDICAL_CARD</x:v>
      </x:c>
      <x:c r="J17" t="str">
        <x:v>/documents/drivers/DRV-003_MEDICAL.pdf</x:v>
      </x:c>
      <x:c r="K17" t="str">
        <x:v>VALID</x:v>
      </x:c>
      <x:c r="L17" t="str">
        <x:v>DRV-003|MEDICAL_CARD</x:v>
      </x:c>
      <x:c r="M17" t="str">
        <x:v>DRV-003_MEDICAL.pdf</x:v>
      </x:c>
      <x:c r="N17" t="str">
        <x:v>/drivers/DRV-003.jpg</x:v>
      </x:c>
      <x:c r="O17" t="str">
        <x:v>/images/documents/DRV-003_MEDICAL_CARD.jpg</x:v>
      </x:c>
    </x:row>
    <x:row r="18">
      <x:c r="A18" t="str">
        <x:v>DRV-003</x:v>
      </x:c>
      <x:c r="B18" t="str">
        <x:v>Alex Kim</x:v>
      </x:c>
      <x:c r="C18" t="str">
        <x:v>675-555-0100</x:v>
      </x:c>
      <x:c r="D18" t="str">
        <x:v>960 Demo Street, Atlanta, GA</x:v>
      </x:c>
      <x:c r="E18" t="str">
        <x:v>READY</x:v>
      </x:c>
      <x:c r="F18" t="str">
        <x:v>MVR Summary</x:v>
      </x:c>
      <x:c r="G18" s="113" t="n">
        <x:v>46449</x:v>
      </x:c>
      <x:c r="H18" t="str">
        <x:v>/documents/drivers/DRV-003_MVR.pdf</x:v>
      </x:c>
      <x:c r="I18" t="str">
        <x:v>MVR</x:v>
      </x:c>
      <x:c r="J18" t="str">
        <x:v>/documents/drivers/DRV-003_MVR.pdf</x:v>
      </x:c>
      <x:c r="K18" t="str">
        <x:v>VALID</x:v>
      </x:c>
      <x:c r="L18" t="str">
        <x:v>DRV-003|MVR</x:v>
      </x:c>
      <x:c r="M18" t="str">
        <x:v>DRV-003_MVR.pdf</x:v>
      </x:c>
      <x:c r="N18" t="str">
        <x:v>/drivers/DRV-003.jpg</x:v>
      </x:c>
      <x:c r="O18" t="str">
        <x:v>/images/documents/DRV-003_MVR.jpg</x:v>
      </x:c>
    </x:row>
    <x:row r="19">
      <x:c r="A19" t="str">
        <x:v>DRV-003</x:v>
      </x:c>
      <x:c r="B19" t="str">
        <x:v>Alex Kim</x:v>
      </x:c>
      <x:c r="C19" t="str">
        <x:v>675-555-0100</x:v>
      </x:c>
      <x:c r="D19" t="str">
        <x:v>960 Demo Street, Atlanta, GA</x:v>
      </x:c>
      <x:c r="E19" t="str">
        <x:v>EXPIRING SOON</x:v>
      </x:c>
      <x:c r="F19" t="str">
        <x:v>Employment Eligibility Summary</x:v>
      </x:c>
      <x:c r="G19" s="113" t="n">
        <x:v>46038</x:v>
      </x:c>
      <x:c r="H19" t="str">
        <x:v>/documents/drivers/DRV-003_I9.pdf</x:v>
      </x:c>
      <x:c r="I19" t="str">
        <x:v>I9</x:v>
      </x:c>
      <x:c r="J19" t="str">
        <x:v>/documents/drivers/DRV-003_I9.pdf</x:v>
      </x:c>
      <x:c r="K19" t="str">
        <x:v>EXPIRED</x:v>
      </x:c>
      <x:c r="L19" t="str">
        <x:v>DRV-003|I9</x:v>
      </x:c>
      <x:c r="M19" t="str">
        <x:v>DRV-003_I9.pdf</x:v>
      </x:c>
      <x:c r="N19" t="str">
        <x:v>/drivers/DRV-003.jpg</x:v>
      </x:c>
      <x:c r="O19" t="str">
        <x:v>/images/documents/DRV-003_I9.jpg</x:v>
      </x:c>
    </x:row>
    <x:row r="20">
      <x:c r="A20" t="str">
        <x:v>DRV-003</x:v>
      </x:c>
      <x:c r="B20" t="str">
        <x:v>Alex Kim</x:v>
      </x:c>
      <x:c r="C20" t="str">
        <x:v>675-555-0100</x:v>
      </x:c>
      <x:c r="D20" t="str">
        <x:v>960 Demo Street, Atlanta, GA</x:v>
      </x:c>
      <x:c r="E20" t="str">
        <x:v>EXPIRING SOON</x:v>
      </x:c>
      <x:c r="F20" t="str">
        <x:v>FMCSA Compliance Summary</x:v>
      </x:c>
      <x:c r="G20" s="113" t="n">
        <x:v>46031</x:v>
      </x:c>
      <x:c r="H20" t="str">
        <x:v>/documents/drivers/DRV-003_FMCSA.pdf</x:v>
      </x:c>
      <x:c r="I20" t="str">
        <x:v>FMCSA</x:v>
      </x:c>
      <x:c r="J20" t="str">
        <x:v>/documents/drivers/DRV-003_FMCSA.pdf</x:v>
      </x:c>
      <x:c r="K20" t="str">
        <x:v>EXPIRED</x:v>
      </x:c>
      <x:c r="L20" t="str">
        <x:v>DRV-003|FMCSA</x:v>
      </x:c>
      <x:c r="M20" t="str">
        <x:v>DRV-003_FMCSA.pdf</x:v>
      </x:c>
      <x:c r="N20" t="str">
        <x:v>/drivers/DRV-003.jpg</x:v>
      </x:c>
      <x:c r="O20" t="str">
        <x:v>/images/documents/DRV-003_FMCSA.jpg</x:v>
      </x:c>
    </x:row>
    <x:row r="21">
      <x:c r="A21" t="str">
        <x:v>DRV-003</x:v>
      </x:c>
      <x:c r="B21" t="str">
        <x:v>Alex Kim</x:v>
      </x:c>
      <x:c r="C21" t="str">
        <x:v>675-555-0100</x:v>
      </x:c>
      <x:c r="D21" t="str">
        <x:v>960 Demo Street, Atlanta, GA</x:v>
      </x:c>
      <x:c r="E21" t="str">
        <x:v>EXPIRING SOON</x:v>
      </x:c>
      <x:c r="F21" t="str">
        <x:v>W-9 Summary</x:v>
      </x:c>
      <x:c r="G21" s="113" t="n">
        <x:v>46203</x:v>
      </x:c>
      <x:c r="H21" t="str">
        <x:v>/documents/drivers/DRV-003_W9.pdf</x:v>
      </x:c>
      <x:c r="I21" t="str">
        <x:v>W9</x:v>
      </x:c>
      <x:c r="J21" t="str">
        <x:v>/documents/drivers/DRV-003_W9.pdf</x:v>
      </x:c>
      <x:c r="K21" t="str">
        <x:v>VALID</x:v>
      </x:c>
      <x:c r="L21" t="str">
        <x:v>DRV-003|W9</x:v>
      </x:c>
      <x:c r="M21" t="str">
        <x:v>DRV-003_W9.pdf</x:v>
      </x:c>
      <x:c r="N21" t="str">
        <x:v>/drivers/DRV-003.jpg</x:v>
      </x:c>
      <x:c r="O21" t="str">
        <x:v>/images/documents/DRV-003_W9.jpg</x:v>
      </x:c>
    </x:row>
    <x:row r="22">
      <x:c r="A22" t="str">
        <x:v>DRV-003</x:v>
      </x:c>
      <x:c r="B22" t="str">
        <x:v>Alex Kim</x:v>
      </x:c>
      <x:c r="C22" t="str">
        <x:v>675-555-0100</x:v>
      </x:c>
      <x:c r="D22" t="str">
        <x:v>960 Demo Street, Atlanta, GA</x:v>
      </x:c>
      <x:c r="E22" t="str">
        <x:v>EXPIRING SOON</x:v>
      </x:c>
      <x:c r="F22" t="str">
        <x:v>Bank Information Sheet</x:v>
      </x:c>
      <x:c r="G22" s="113" t="n">
        <x:v>46015</x:v>
      </x:c>
      <x:c r="H22" t="str">
        <x:v>/documents/drivers/DRV-003_BANK_INFO.pdf</x:v>
      </x:c>
      <x:c r="I22" t="str">
        <x:v>BANK_INFO</x:v>
      </x:c>
      <x:c r="J22" t="str">
        <x:v>/documents/drivers/DRV-003_BANK_INFO.pdf</x:v>
      </x:c>
      <x:c r="K22" t="str">
        <x:v>EXPIRED</x:v>
      </x:c>
      <x:c r="L22" t="str">
        <x:v>DRV-003|BANK_INFO</x:v>
      </x:c>
      <x:c r="M22" t="str">
        <x:v>DRV-003_BANK_INFO.pdf</x:v>
      </x:c>
      <x:c r="N22" t="str">
        <x:v>/drivers/DRV-003.jpg</x:v>
      </x:c>
      <x:c r="O22" t="str">
        <x:v>/images/documents/DRV-003_BANK_INFO.jpg</x:v>
      </x:c>
    </x:row>
    <x:row r="23">
      <x:c r="A23" t="str">
        <x:v>DRV-004</x:v>
      </x:c>
      <x:c r="B23" t="str">
        <x:v>Priya Patel</x:v>
      </x:c>
      <x:c r="C23" t="str">
        <x:v>359-555-0100</x:v>
      </x:c>
      <x:c r="D23" t="str">
        <x:v>520 Demo Street, Cleveland, OH</x:v>
      </x:c>
      <x:c r="E23" t="str">
        <x:v>READY</x:v>
      </x:c>
      <x:c r="F23" t="str">
        <x:v>CDL Summary</x:v>
      </x:c>
      <x:c r="G23" s="113" t="n">
        <x:v>46739</x:v>
      </x:c>
      <x:c r="H23" t="str">
        <x:v>/documents/drivers/DRV-004_CDL.pdf</x:v>
      </x:c>
      <x:c r="I23" t="str">
        <x:v>CDL</x:v>
      </x:c>
      <x:c r="J23" t="str">
        <x:v>/documents/drivers/DRV-004_CDL.pdf</x:v>
      </x:c>
      <x:c r="K23" t="str">
        <x:v>VALID</x:v>
      </x:c>
      <x:c r="L23" t="str">
        <x:v>DRV-004|CDL</x:v>
      </x:c>
      <x:c r="M23" t="str">
        <x:v>DRV-004_CDL.pdf</x:v>
      </x:c>
      <x:c r="N23" t="str">
        <x:v>/drivers/DRV-004.jpg</x:v>
      </x:c>
      <x:c r="O23" t="str">
        <x:v>/images/documents/DRV-004_CDL.jpg</x:v>
      </x:c>
    </x:row>
    <x:row r="24">
      <x:c r="A24" t="str">
        <x:v>DRV-004</x:v>
      </x:c>
      <x:c r="B24" t="str">
        <x:v>Priya Patel</x:v>
      </x:c>
      <x:c r="C24" t="str">
        <x:v>359-555-0100</x:v>
      </x:c>
      <x:c r="D24" t="str">
        <x:v>520 Demo Street, Cleveland, OH</x:v>
      </x:c>
      <x:c r="E24" t="str">
        <x:v>READY</x:v>
      </x:c>
      <x:c r="F24" t="str">
        <x:v>Medical Certification Summary</x:v>
      </x:c>
      <x:c r="G24" s="113" t="n">
        <x:v>46486</x:v>
      </x:c>
      <x:c r="H24" t="str">
        <x:v>/documents/drivers/DRV-004_MEDICAL.pdf</x:v>
      </x:c>
      <x:c r="I24" t="str">
        <x:v>MEDICAL_CARD</x:v>
      </x:c>
      <x:c r="J24" t="str">
        <x:v>/documents/drivers/DRV-004_MEDICAL.pdf</x:v>
      </x:c>
      <x:c r="K24" t="str">
        <x:v>VALID</x:v>
      </x:c>
      <x:c r="L24" t="str">
        <x:v>DRV-004|MEDICAL_CARD</x:v>
      </x:c>
      <x:c r="M24" t="str">
        <x:v>DRV-004_MEDICAL.pdf</x:v>
      </x:c>
      <x:c r="N24" t="str">
        <x:v>/drivers/DRV-004.jpg</x:v>
      </x:c>
      <x:c r="O24" t="str">
        <x:v>/images/documents/DRV-004_MEDICAL_CARD.jpg</x:v>
      </x:c>
    </x:row>
    <x:row r="25">
      <x:c r="A25" t="str">
        <x:v>DRV-004</x:v>
      </x:c>
      <x:c r="B25" t="str">
        <x:v>Priya Patel</x:v>
      </x:c>
      <x:c r="C25" t="str">
        <x:v>359-555-0100</x:v>
      </x:c>
      <x:c r="D25" t="str">
        <x:v>520 Demo Street, Cleveland, OH</x:v>
      </x:c>
      <x:c r="E25" t="str">
        <x:v>READY</x:v>
      </x:c>
      <x:c r="F25" t="str">
        <x:v>MVR Summary</x:v>
      </x:c>
      <x:c r="G25" s="113" t="n">
        <x:v>46452</x:v>
      </x:c>
      <x:c r="H25" t="str">
        <x:v>/documents/drivers/DRV-004_MVR.pdf</x:v>
      </x:c>
      <x:c r="I25" t="str">
        <x:v>MVR</x:v>
      </x:c>
      <x:c r="J25" t="str">
        <x:v>/documents/drivers/DRV-004_MVR.pdf</x:v>
      </x:c>
      <x:c r="K25" t="str">
        <x:v>VALID</x:v>
      </x:c>
      <x:c r="L25" t="str">
        <x:v>DRV-004|MVR</x:v>
      </x:c>
      <x:c r="M25" t="str">
        <x:v>DRV-004_MVR.pdf</x:v>
      </x:c>
      <x:c r="N25" t="str">
        <x:v>/drivers/DRV-004.jpg</x:v>
      </x:c>
      <x:c r="O25" t="str">
        <x:v>/images/documents/DRV-004_MVR.jpg</x:v>
      </x:c>
    </x:row>
    <x:row r="26">
      <x:c r="A26" t="str">
        <x:v>DRV-004</x:v>
      </x:c>
      <x:c r="B26" t="str">
        <x:v>Priya Patel</x:v>
      </x:c>
      <x:c r="C26" t="str">
        <x:v>359-555-0100</x:v>
      </x:c>
      <x:c r="D26" t="str">
        <x:v>520 Demo Street, Cleveland, OH</x:v>
      </x:c>
      <x:c r="E26" t="str">
        <x:v>EXPIRING SOON</x:v>
      </x:c>
      <x:c r="F26" t="str">
        <x:v>Employment Eligibility Summary</x:v>
      </x:c>
      <x:c r="G26" s="113" t="n">
        <x:v>45976</x:v>
      </x:c>
      <x:c r="H26" t="str">
        <x:v>/documents/drivers/DRV-004_I9.pdf</x:v>
      </x:c>
      <x:c r="I26" t="str">
        <x:v>I9</x:v>
      </x:c>
      <x:c r="J26" t="str">
        <x:v>/documents/drivers/DRV-004_I9.pdf</x:v>
      </x:c>
      <x:c r="K26" t="str">
        <x:v>EXPIRED</x:v>
      </x:c>
      <x:c r="L26" t="str">
        <x:v>DRV-004|I9</x:v>
      </x:c>
      <x:c r="M26" t="str">
        <x:v>DRV-004_I9.pdf</x:v>
      </x:c>
      <x:c r="N26" t="str">
        <x:v>/drivers/DRV-004.jpg</x:v>
      </x:c>
      <x:c r="O26" t="str">
        <x:v>/images/documents/DRV-004_I9.jpg</x:v>
      </x:c>
    </x:row>
    <x:row r="27">
      <x:c r="A27" t="str">
        <x:v>DRV-004</x:v>
      </x:c>
      <x:c r="B27" t="str">
        <x:v>Priya Patel</x:v>
      </x:c>
      <x:c r="C27" t="str">
        <x:v>359-555-0100</x:v>
      </x:c>
      <x:c r="D27" t="str">
        <x:v>520 Demo Street, Cleveland, OH</x:v>
      </x:c>
      <x:c r="E27" t="str">
        <x:v>EXPIRING SOON</x:v>
      </x:c>
      <x:c r="F27" t="str">
        <x:v>FMCSA Compliance Summary</x:v>
      </x:c>
      <x:c r="G27" s="113" t="n">
        <x:v>46076</x:v>
      </x:c>
      <x:c r="H27" t="str">
        <x:v>/documents/drivers/DRV-004_FMCSA.pdf</x:v>
      </x:c>
      <x:c r="I27" t="str">
        <x:v>FMCSA</x:v>
      </x:c>
      <x:c r="J27" t="str">
        <x:v>/documents/drivers/DRV-004_FMCSA.pdf</x:v>
      </x:c>
      <x:c r="K27" t="str">
        <x:v>EXPIRED</x:v>
      </x:c>
      <x:c r="L27" t="str">
        <x:v>DRV-004|FMCSA</x:v>
      </x:c>
      <x:c r="M27" t="str">
        <x:v>DRV-004_FMCSA.pdf</x:v>
      </x:c>
      <x:c r="N27" t="str">
        <x:v>/drivers/DRV-004.jpg</x:v>
      </x:c>
      <x:c r="O27" t="str">
        <x:v>/images/documents/DRV-004_FMCSA.jpg</x:v>
      </x:c>
    </x:row>
    <x:row r="28">
      <x:c r="A28" t="str">
        <x:v>DRV-004</x:v>
      </x:c>
      <x:c r="B28" t="str">
        <x:v>Priya Patel</x:v>
      </x:c>
      <x:c r="C28" t="str">
        <x:v>359-555-0100</x:v>
      </x:c>
      <x:c r="D28" t="str">
        <x:v>520 Demo Street, Cleveland, OH</x:v>
      </x:c>
      <x:c r="E28" t="str">
        <x:v>EXPIRING SOON</x:v>
      </x:c>
      <x:c r="F28" t="str">
        <x:v>W-9 Summary</x:v>
      </x:c>
      <x:c r="G28" s="113" t="n">
        <x:v>46165</x:v>
      </x:c>
      <x:c r="H28" t="str">
        <x:v>/documents/drivers/DRV-004_W9.pdf</x:v>
      </x:c>
      <x:c r="I28" t="str">
        <x:v>W9</x:v>
      </x:c>
      <x:c r="J28" t="str">
        <x:v>/documents/drivers/DRV-004_W9.pdf</x:v>
      </x:c>
      <x:c r="K28" t="str">
        <x:v>EXPIRING_SOON</x:v>
      </x:c>
      <x:c r="L28" t="str">
        <x:v>DRV-004|W9</x:v>
      </x:c>
      <x:c r="M28" t="str">
        <x:v>DRV-004_W9.pdf</x:v>
      </x:c>
      <x:c r="N28" t="str">
        <x:v>/drivers/DRV-004.jpg</x:v>
      </x:c>
      <x:c r="O28" t="str">
        <x:v>/images/documents/DRV-004_W9.jpg</x:v>
      </x:c>
    </x:row>
    <x:row r="29">
      <x:c r="A29" t="str">
        <x:v>DRV-004</x:v>
      </x:c>
      <x:c r="B29" t="str">
        <x:v>Priya Patel</x:v>
      </x:c>
      <x:c r="C29" t="str">
        <x:v>359-555-0100</x:v>
      </x:c>
      <x:c r="D29" t="str">
        <x:v>520 Demo Street, Cleveland, OH</x:v>
      </x:c>
      <x:c r="E29" t="str">
        <x:v>EXPIRING SOON</x:v>
      </x:c>
      <x:c r="F29" t="str">
        <x:v>Bank Information Sheet</x:v>
      </x:c>
      <x:c r="G29" s="113" t="n">
        <x:v>46021</x:v>
      </x:c>
      <x:c r="H29" t="str">
        <x:v>/documents/drivers/DRV-004_BANK_INFO.pdf</x:v>
      </x:c>
      <x:c r="I29" t="str">
        <x:v>BANK_INFO</x:v>
      </x:c>
      <x:c r="J29" t="str">
        <x:v>/documents/drivers/DRV-004_BANK_INFO.pdf</x:v>
      </x:c>
      <x:c r="K29" t="str">
        <x:v>EXPIRED</x:v>
      </x:c>
      <x:c r="L29" t="str">
        <x:v>DRV-004|BANK_INFO</x:v>
      </x:c>
      <x:c r="M29" t="str">
        <x:v>DRV-004_BANK_INFO.pdf</x:v>
      </x:c>
      <x:c r="N29" t="str">
        <x:v>/drivers/DRV-004.jpg</x:v>
      </x:c>
      <x:c r="O29" t="str">
        <x:v>/images/documents/DRV-004_BANK_INFO.jpg</x:v>
      </x:c>
    </x:row>
    <x:row r="30">
      <x:c r="A30" t="str">
        <x:v>DRV-005</x:v>
      </x:c>
      <x:c r="B30" t="str">
        <x:v>Kenji Tanaka</x:v>
      </x:c>
      <x:c r="C30" t="str">
        <x:v>871-555-0100</x:v>
      </x:c>
      <x:c r="D30" t="str">
        <x:v>150 Demo Street, Columbus, OH</x:v>
      </x:c>
      <x:c r="E30" t="str">
        <x:v>READY</x:v>
      </x:c>
      <x:c r="F30" t="str">
        <x:v>CDL Summary</x:v>
      </x:c>
      <x:c r="G30" s="113" t="n">
        <x:v>46577</x:v>
      </x:c>
      <x:c r="H30" t="str">
        <x:v>/documents/drivers/DRV-005_CDL.pdf</x:v>
      </x:c>
      <x:c r="I30" t="str">
        <x:v>CDL</x:v>
      </x:c>
      <x:c r="J30" t="str">
        <x:v>/documents/drivers/DRV-005_CDL.pdf</x:v>
      </x:c>
      <x:c r="K30" t="str">
        <x:v>VALID</x:v>
      </x:c>
      <x:c r="L30" t="str">
        <x:v>DRV-005|CDL</x:v>
      </x:c>
      <x:c r="M30" t="str">
        <x:v>DRV-005_CDL.pdf</x:v>
      </x:c>
      <x:c r="N30" t="str">
        <x:v>/drivers/DRV-005.jpg</x:v>
      </x:c>
      <x:c r="O30" t="str">
        <x:v>/images/documents/DRV-005_CDL.jpg</x:v>
      </x:c>
    </x:row>
    <x:row r="31">
      <x:c r="A31" t="str">
        <x:v>DRV-005</x:v>
      </x:c>
      <x:c r="B31" t="str">
        <x:v>Kenji Tanaka</x:v>
      </x:c>
      <x:c r="C31" t="str">
        <x:v>871-555-0100</x:v>
      </x:c>
      <x:c r="D31" t="str">
        <x:v>150 Demo Street, Columbus, OH</x:v>
      </x:c>
      <x:c r="E31" t="str">
        <x:v>READY</x:v>
      </x:c>
      <x:c r="F31" t="str">
        <x:v>Medical Certification Summary</x:v>
      </x:c>
      <x:c r="G31" s="113" t="n">
        <x:v>46496</x:v>
      </x:c>
      <x:c r="H31" t="str">
        <x:v>/documents/drivers/DRV-005_MEDICAL.pdf</x:v>
      </x:c>
      <x:c r="I31" t="str">
        <x:v>MEDICAL_CARD</x:v>
      </x:c>
      <x:c r="J31" t="str">
        <x:v>/documents/drivers/DRV-005_MEDICAL.pdf</x:v>
      </x:c>
      <x:c r="K31" t="str">
        <x:v>VALID</x:v>
      </x:c>
      <x:c r="L31" t="str">
        <x:v>DRV-005|MEDICAL_CARD</x:v>
      </x:c>
      <x:c r="M31" t="str">
        <x:v>DRV-005_MEDICAL.pdf</x:v>
      </x:c>
      <x:c r="N31" t="str">
        <x:v>/drivers/DRV-005.jpg</x:v>
      </x:c>
      <x:c r="O31" t="str">
        <x:v>/images/documents/DRV-005_MEDICAL_CARD.jpg</x:v>
      </x:c>
    </x:row>
    <x:row r="32">
      <x:c r="A32" t="str">
        <x:v>DRV-005</x:v>
      </x:c>
      <x:c r="B32" t="str">
        <x:v>Kenji Tanaka</x:v>
      </x:c>
      <x:c r="C32" t="str">
        <x:v>871-555-0100</x:v>
      </x:c>
      <x:c r="D32" t="str">
        <x:v>150 Demo Street, Columbus, OH</x:v>
      </x:c>
      <x:c r="E32" t="str">
        <x:v>READY</x:v>
      </x:c>
      <x:c r="F32" t="str">
        <x:v>MVR Summary</x:v>
      </x:c>
      <x:c r="G32" s="113" t="n">
        <x:v>46478</x:v>
      </x:c>
      <x:c r="H32" t="str">
        <x:v>/documents/drivers/DRV-005_MVR.pdf</x:v>
      </x:c>
      <x:c r="I32" t="str">
        <x:v>MVR</x:v>
      </x:c>
      <x:c r="J32" t="str">
        <x:v>/documents/drivers/DRV-005_MVR.pdf</x:v>
      </x:c>
      <x:c r="K32" t="str">
        <x:v>VALID</x:v>
      </x:c>
      <x:c r="L32" t="str">
        <x:v>DRV-005|MVR</x:v>
      </x:c>
      <x:c r="M32" t="str">
        <x:v>DRV-005_MVR.pdf</x:v>
      </x:c>
      <x:c r="N32" t="str">
        <x:v>/drivers/DRV-005.jpg</x:v>
      </x:c>
      <x:c r="O32" t="str">
        <x:v>/images/documents/DRV-005_MVR.jpg</x:v>
      </x:c>
    </x:row>
    <x:row r="33">
      <x:c r="A33" t="str">
        <x:v>DRV-005</x:v>
      </x:c>
      <x:c r="B33" t="str">
        <x:v>Kenji Tanaka</x:v>
      </x:c>
      <x:c r="C33" t="str">
        <x:v>871-555-0100</x:v>
      </x:c>
      <x:c r="D33" t="str">
        <x:v>150 Demo Street, Columbus, OH</x:v>
      </x:c>
      <x:c r="E33" t="str">
        <x:v>VALID</x:v>
      </x:c>
      <x:c r="F33" t="str">
        <x:v>Employment Eligibility Summary</x:v>
      </x:c>
      <x:c r="G33" s="113" t="n">
        <x:v>46246</x:v>
      </x:c>
      <x:c r="H33" t="str">
        <x:v>/documents/drivers/DRV-005_I9.pdf</x:v>
      </x:c>
      <x:c r="I33" t="str">
        <x:v>I9</x:v>
      </x:c>
      <x:c r="J33" t="str">
        <x:v>/documents/drivers/DRV-005_I9.pdf</x:v>
      </x:c>
      <x:c r="K33" t="str">
        <x:v>VALID</x:v>
      </x:c>
      <x:c r="L33" t="str">
        <x:v>DRV-005|I9</x:v>
      </x:c>
      <x:c r="M33" t="str">
        <x:v>DRV-005_I9.pdf</x:v>
      </x:c>
      <x:c r="N33" t="str">
        <x:v>/drivers/DRV-005.jpg</x:v>
      </x:c>
      <x:c r="O33" t="str">
        <x:v>/images/documents/DRV-005_I9.jpg</x:v>
      </x:c>
    </x:row>
    <x:row r="34">
      <x:c r="A34" t="str">
        <x:v>DRV-005</x:v>
      </x:c>
      <x:c r="B34" t="str">
        <x:v>Kenji Tanaka</x:v>
      </x:c>
      <x:c r="C34" t="str">
        <x:v>871-555-0100</x:v>
      </x:c>
      <x:c r="D34" t="str">
        <x:v>150 Demo Street, Columbus, OH</x:v>
      </x:c>
      <x:c r="E34" t="str">
        <x:v>VALID</x:v>
      </x:c>
      <x:c r="F34" t="str">
        <x:v>FMCSA Compliance Summary</x:v>
      </x:c>
      <x:c r="G34" s="113" t="n">
        <x:v>46193</x:v>
      </x:c>
      <x:c r="H34" t="str">
        <x:v>/documents/drivers/DRV-005_FMCSA.pdf</x:v>
      </x:c>
      <x:c r="I34" t="str">
        <x:v>FMCSA</x:v>
      </x:c>
      <x:c r="J34" t="str">
        <x:v>/documents/drivers/DRV-005_FMCSA.pdf</x:v>
      </x:c>
      <x:c r="K34" t="str">
        <x:v>VALID</x:v>
      </x:c>
      <x:c r="L34" t="str">
        <x:v>DRV-005|FMCSA</x:v>
      </x:c>
      <x:c r="M34" t="str">
        <x:v>DRV-005_FMCSA.pdf</x:v>
      </x:c>
      <x:c r="N34" t="str">
        <x:v>/drivers/DRV-005.jpg</x:v>
      </x:c>
      <x:c r="O34" t="str">
        <x:v>/images/documents/DRV-005_FMCSA.jpg</x:v>
      </x:c>
    </x:row>
    <x:row r="35">
      <x:c r="A35" t="str">
        <x:v>DRV-005</x:v>
      </x:c>
      <x:c r="B35" t="str">
        <x:v>Kenji Tanaka</x:v>
      </x:c>
      <x:c r="C35" t="str">
        <x:v>871-555-0100</x:v>
      </x:c>
      <x:c r="D35" t="str">
        <x:v>150 Demo Street, Columbus, OH</x:v>
      </x:c>
      <x:c r="E35" t="str">
        <x:v>VALID</x:v>
      </x:c>
      <x:c r="F35" t="str">
        <x:v>W-9 Summary</x:v>
      </x:c>
      <x:c r="G35" s="113" t="n">
        <x:v>46091</x:v>
      </x:c>
      <x:c r="H35" t="str">
        <x:v>/documents/drivers/DRV-005_W9.pdf</x:v>
      </x:c>
      <x:c r="I35" t="str">
        <x:v>W9</x:v>
      </x:c>
      <x:c r="J35" t="str">
        <x:v>/documents/drivers/DRV-005_W9.pdf</x:v>
      </x:c>
      <x:c r="K35" t="str">
        <x:v>EXPIRED</x:v>
      </x:c>
      <x:c r="L35" t="str">
        <x:v>DRV-005|W9</x:v>
      </x:c>
      <x:c r="M35" t="str">
        <x:v>DRV-005_W9.pdf</x:v>
      </x:c>
      <x:c r="N35" t="str">
        <x:v>/drivers/DRV-005.jpg</x:v>
      </x:c>
      <x:c r="O35" t="str">
        <x:v>/images/documents/DRV-005_W9.jpg</x:v>
      </x:c>
    </x:row>
    <x:row r="36">
      <x:c r="A36" t="str">
        <x:v>DRV-005</x:v>
      </x:c>
      <x:c r="B36" t="str">
        <x:v>Kenji Tanaka</x:v>
      </x:c>
      <x:c r="C36" t="str">
        <x:v>871-555-0100</x:v>
      </x:c>
      <x:c r="D36" t="str">
        <x:v>150 Demo Street, Columbus, OH</x:v>
      </x:c>
      <x:c r="E36" t="str">
        <x:v>VALID</x:v>
      </x:c>
      <x:c r="F36" t="str">
        <x:v>Bank Information Sheet</x:v>
      </x:c>
      <x:c r="G36" s="113" t="n">
        <x:v>46227</x:v>
      </x:c>
      <x:c r="H36" t="str">
        <x:v>/documents/drivers/DRV-005_BANK_INFO.pdf</x:v>
      </x:c>
      <x:c r="I36" t="str">
        <x:v>BANK_INFO</x:v>
      </x:c>
      <x:c r="J36" t="str">
        <x:v>/documents/drivers/DRV-005_BANK_INFO.pdf</x:v>
      </x:c>
      <x:c r="K36" t="str">
        <x:v>VALID</x:v>
      </x:c>
      <x:c r="L36" t="str">
        <x:v>DRV-005|BANK_INFO</x:v>
      </x:c>
      <x:c r="M36" t="str">
        <x:v>DRV-005_BANK_INFO.pdf</x:v>
      </x:c>
      <x:c r="N36" t="str">
        <x:v>/drivers/DRV-005.jpg</x:v>
      </x:c>
      <x:c r="O36" t="str">
        <x:v>/images/documents/DRV-005_BANK_INFO.jpg</x:v>
      </x:c>
    </x:row>
    <x:row r="37">
      <x:c r="A37" t="str">
        <x:v>DRV-006</x:v>
      </x:c>
      <x:c r="B37" t="str">
        <x:v>Marcus Chen</x:v>
      </x:c>
      <x:c r="C37" t="str">
        <x:v>283-555-0100</x:v>
      </x:c>
      <x:c r="D37" t="str">
        <x:v>810 Demo Street, Dallas, TX</x:v>
      </x:c>
      <x:c r="E37" t="str">
        <x:v>READY</x:v>
      </x:c>
      <x:c r="F37" t="str">
        <x:v>CDL Summary</x:v>
      </x:c>
      <x:c r="G37" s="113" t="n">
        <x:v>46556</x:v>
      </x:c>
      <x:c r="H37" t="str">
        <x:v>/documents/drivers/DRV-006_CDL.pdf</x:v>
      </x:c>
      <x:c r="I37" t="str">
        <x:v>CDL</x:v>
      </x:c>
      <x:c r="J37" t="str">
        <x:v>/documents/drivers/DRV-006_CDL.pdf</x:v>
      </x:c>
      <x:c r="K37" t="str">
        <x:v>VALID</x:v>
      </x:c>
      <x:c r="L37" t="str">
        <x:v>DRV-006|CDL</x:v>
      </x:c>
      <x:c r="M37" t="str">
        <x:v>DRV-006_CDL.pdf</x:v>
      </x:c>
      <x:c r="N37" t="str">
        <x:v>/drivers/DRV-006.jpg</x:v>
      </x:c>
      <x:c r="O37" t="str">
        <x:v>/images/documents/DRV-006_CDL.jpg</x:v>
      </x:c>
    </x:row>
    <x:row r="38">
      <x:c r="A38" t="str">
        <x:v>DRV-006</x:v>
      </x:c>
      <x:c r="B38" t="str">
        <x:v>Marcus Chen</x:v>
      </x:c>
      <x:c r="C38" t="str">
        <x:v>283-555-0100</x:v>
      </x:c>
      <x:c r="D38" t="str">
        <x:v>810 Demo Street, Dallas, TX</x:v>
      </x:c>
      <x:c r="E38" t="str">
        <x:v>READY</x:v>
      </x:c>
      <x:c r="F38" t="str">
        <x:v>Medical Certification Summary</x:v>
      </x:c>
      <x:c r="G38" s="113" t="n">
        <x:v>46394</x:v>
      </x:c>
      <x:c r="H38" t="str">
        <x:v>/documents/drivers/DRV-006_MEDICAL.pdf</x:v>
      </x:c>
      <x:c r="I38" t="str">
        <x:v>MEDICAL_CARD</x:v>
      </x:c>
      <x:c r="J38" t="str">
        <x:v>/documents/drivers/DRV-006_MEDICAL.pdf</x:v>
      </x:c>
      <x:c r="K38" t="str">
        <x:v>VALID</x:v>
      </x:c>
      <x:c r="L38" t="str">
        <x:v>DRV-006|MEDICAL_CARD</x:v>
      </x:c>
      <x:c r="M38" t="str">
        <x:v>DRV-006_MEDICAL.pdf</x:v>
      </x:c>
      <x:c r="N38" t="str">
        <x:v>/drivers/DRV-006.jpg</x:v>
      </x:c>
      <x:c r="O38" t="str">
        <x:v>/images/documents/DRV-006_MEDICAL_CARD.jpg</x:v>
      </x:c>
    </x:row>
    <x:row r="39">
      <x:c r="A39" t="str">
        <x:v>DRV-006</x:v>
      </x:c>
      <x:c r="B39" t="str">
        <x:v>Marcus Chen</x:v>
      </x:c>
      <x:c r="C39" t="str">
        <x:v>283-555-0100</x:v>
      </x:c>
      <x:c r="D39" t="str">
        <x:v>810 Demo Street, Dallas, TX</x:v>
      </x:c>
      <x:c r="E39" t="str">
        <x:v>READY</x:v>
      </x:c>
      <x:c r="F39" t="str">
        <x:v>MVR Summary</x:v>
      </x:c>
      <x:c r="G39" s="113" t="n">
        <x:v>46455</x:v>
      </x:c>
      <x:c r="H39" t="str">
        <x:v>/documents/drivers/DRV-006_MVR.pdf</x:v>
      </x:c>
      <x:c r="I39" t="str">
        <x:v>MVR</x:v>
      </x:c>
      <x:c r="J39" t="str">
        <x:v>/documents/drivers/DRV-006_MVR.pdf</x:v>
      </x:c>
      <x:c r="K39" t="str">
        <x:v>VALID</x:v>
      </x:c>
      <x:c r="L39" t="str">
        <x:v>DRV-006|MVR</x:v>
      </x:c>
      <x:c r="M39" t="str">
        <x:v>DRV-006_MVR.pdf</x:v>
      </x:c>
      <x:c r="N39" t="str">
        <x:v>/drivers/DRV-006.jpg</x:v>
      </x:c>
      <x:c r="O39" t="str">
        <x:v>/images/documents/DRV-006_MVR.jpg</x:v>
      </x:c>
    </x:row>
    <x:row r="40">
      <x:c r="A40" t="str">
        <x:v>DRV-006</x:v>
      </x:c>
      <x:c r="B40" t="str">
        <x:v>Marcus Chen</x:v>
      </x:c>
      <x:c r="C40" t="str">
        <x:v>283-555-0100</x:v>
      </x:c>
      <x:c r="D40" t="str">
        <x:v>810 Demo Street, Dallas, TX</x:v>
      </x:c>
      <x:c r="E40" t="str">
        <x:v>VALID</x:v>
      </x:c>
      <x:c r="F40" t="str">
        <x:v>Employment Eligibility Summary</x:v>
      </x:c>
      <x:c r="G40" s="113" t="n">
        <x:v>46011</x:v>
      </x:c>
      <x:c r="H40" t="str">
        <x:v>/documents/drivers/DRV-006_I9.pdf</x:v>
      </x:c>
      <x:c r="I40" t="str">
        <x:v>I9</x:v>
      </x:c>
      <x:c r="J40" t="str">
        <x:v>/documents/drivers/DRV-006_I9.pdf</x:v>
      </x:c>
      <x:c r="K40" t="str">
        <x:v>EXPIRED</x:v>
      </x:c>
      <x:c r="L40" t="str">
        <x:v>DRV-006|I9</x:v>
      </x:c>
      <x:c r="M40" t="str">
        <x:v>DRV-006_I9.pdf</x:v>
      </x:c>
      <x:c r="N40" t="str">
        <x:v>/drivers/DRV-006.jpg</x:v>
      </x:c>
      <x:c r="O40" t="str">
        <x:v>/images/documents/DRV-006_I9.jpg</x:v>
      </x:c>
    </x:row>
    <x:row r="41">
      <x:c r="A41" t="str">
        <x:v>DRV-006</x:v>
      </x:c>
      <x:c r="B41" t="str">
        <x:v>Marcus Chen</x:v>
      </x:c>
      <x:c r="C41" t="str">
        <x:v>283-555-0100</x:v>
      </x:c>
      <x:c r="D41" t="str">
        <x:v>810 Demo Street, Dallas, TX</x:v>
      </x:c>
      <x:c r="E41" t="str">
        <x:v>VALID</x:v>
      </x:c>
      <x:c r="F41" t="str">
        <x:v>FMCSA Compliance Summary</x:v>
      </x:c>
      <x:c r="G41" s="113" t="n">
        <x:v>46027</x:v>
      </x:c>
      <x:c r="H41" t="str">
        <x:v>/documents/drivers/DRV-006_FMCSA.pdf</x:v>
      </x:c>
      <x:c r="I41" t="str">
        <x:v>FMCSA</x:v>
      </x:c>
      <x:c r="J41" t="str">
        <x:v>/documents/drivers/DRV-006_FMCSA.pdf</x:v>
      </x:c>
      <x:c r="K41" t="str">
        <x:v>EXPIRED</x:v>
      </x:c>
      <x:c r="L41" t="str">
        <x:v>DRV-006|FMCSA</x:v>
      </x:c>
      <x:c r="M41" t="str">
        <x:v>DRV-006_FMCSA.pdf</x:v>
      </x:c>
      <x:c r="N41" t="str">
        <x:v>/drivers/DRV-006.jpg</x:v>
      </x:c>
      <x:c r="O41" t="str">
        <x:v>/images/documents/DRV-006_FMCSA.jpg</x:v>
      </x:c>
    </x:row>
    <x:row r="42">
      <x:c r="A42" t="str">
        <x:v>DRV-006</x:v>
      </x:c>
      <x:c r="B42" t="str">
        <x:v>Marcus Chen</x:v>
      </x:c>
      <x:c r="C42" t="str">
        <x:v>283-555-0100</x:v>
      </x:c>
      <x:c r="D42" t="str">
        <x:v>810 Demo Street, Dallas, TX</x:v>
      </x:c>
      <x:c r="E42" t="str">
        <x:v>VALID</x:v>
      </x:c>
      <x:c r="F42" t="str">
        <x:v>W-9 Summary</x:v>
      </x:c>
      <x:c r="G42" s="113" t="n">
        <x:v>46092</x:v>
      </x:c>
      <x:c r="H42" t="str">
        <x:v>/documents/drivers/DRV-006_W9.pdf</x:v>
      </x:c>
      <x:c r="I42" t="str">
        <x:v>W9</x:v>
      </x:c>
      <x:c r="J42" t="str">
        <x:v>/documents/drivers/DRV-006_W9.pdf</x:v>
      </x:c>
      <x:c r="K42" t="str">
        <x:v>EXPIRED</x:v>
      </x:c>
      <x:c r="L42" t="str">
        <x:v>DRV-006|W9</x:v>
      </x:c>
      <x:c r="M42" t="str">
        <x:v>DRV-006_W9.pdf</x:v>
      </x:c>
      <x:c r="N42" t="str">
        <x:v>/drivers/DRV-006.jpg</x:v>
      </x:c>
      <x:c r="O42" t="str">
        <x:v>/images/documents/DRV-006_W9.jpg</x:v>
      </x:c>
    </x:row>
    <x:row r="43">
      <x:c r="A43" t="str">
        <x:v>DRV-006</x:v>
      </x:c>
      <x:c r="B43" t="str">
        <x:v>Marcus Chen</x:v>
      </x:c>
      <x:c r="C43" t="str">
        <x:v>283-555-0100</x:v>
      </x:c>
      <x:c r="D43" t="str">
        <x:v>810 Demo Street, Dallas, TX</x:v>
      </x:c>
      <x:c r="E43" t="str">
        <x:v>VALID</x:v>
      </x:c>
      <x:c r="F43" t="str">
        <x:v>Bank Information Sheet</x:v>
      </x:c>
      <x:c r="G43" s="113" t="n">
        <x:v>46073</x:v>
      </x:c>
      <x:c r="H43" t="str">
        <x:v>/documents/drivers/DRV-006_BANK_INFO.pdf</x:v>
      </x:c>
      <x:c r="I43" t="str">
        <x:v>BANK_INFO</x:v>
      </x:c>
      <x:c r="J43" t="str">
        <x:v>/documents/drivers/DRV-006_BANK_INFO.pdf</x:v>
      </x:c>
      <x:c r="K43" t="str">
        <x:v>EXPIRED</x:v>
      </x:c>
      <x:c r="L43" t="str">
        <x:v>DRV-006|BANK_INFO</x:v>
      </x:c>
      <x:c r="M43" t="str">
        <x:v>DRV-006_BANK_INFO.pdf</x:v>
      </x:c>
      <x:c r="N43" t="str">
        <x:v>/drivers/DRV-006.jpg</x:v>
      </x:c>
      <x:c r="O43" t="str">
        <x:v>/images/documents/DRV-006_BANK_INFO.jpg</x:v>
      </x:c>
    </x:row>
    <x:row r="44">
      <x:c r="A44" t="str">
        <x:v>DRV-007</x:v>
      </x:c>
      <x:c r="B44" t="str">
        <x:v>Sofia Gomez</x:v>
      </x:c>
      <x:c r="C44" t="str">
        <x:v>896-555-0100</x:v>
      </x:c>
      <x:c r="D44" t="str">
        <x:v>1020 Demo Street, Cleveland, OH</x:v>
      </x:c>
      <x:c r="E44" t="str">
        <x:v>READY</x:v>
      </x:c>
      <x:c r="F44" t="str">
        <x:v>CDL Summary</x:v>
      </x:c>
      <x:c r="G44" s="113" t="n">
        <x:v>46530</x:v>
      </x:c>
      <x:c r="H44" t="str">
        <x:v>/documents/drivers/DRV-007_CDL.pdf</x:v>
      </x:c>
      <x:c r="I44" t="str">
        <x:v>CDL</x:v>
      </x:c>
      <x:c r="J44" t="str">
        <x:v>/documents/drivers/DRV-007_CDL.pdf</x:v>
      </x:c>
      <x:c r="K44" t="str">
        <x:v>VALID</x:v>
      </x:c>
      <x:c r="L44" t="str">
        <x:v>DRV-007|CDL</x:v>
      </x:c>
      <x:c r="M44" t="str">
        <x:v>DRV-007_CDL.pdf</x:v>
      </x:c>
      <x:c r="N44" t="str">
        <x:v>/drivers/DRV-007.jpg</x:v>
      </x:c>
      <x:c r="O44" t="str">
        <x:v>/images/documents/DRV-007_CDL.jpg</x:v>
      </x:c>
    </x:row>
    <x:row r="45">
      <x:c r="A45" t="str">
        <x:v>DRV-007</x:v>
      </x:c>
      <x:c r="B45" t="str">
        <x:v>Sofia Gomez</x:v>
      </x:c>
      <x:c r="C45" t="str">
        <x:v>896-555-0100</x:v>
      </x:c>
      <x:c r="D45" t="str">
        <x:v>1020 Demo Street, Cleveland, OH</x:v>
      </x:c>
      <x:c r="E45" t="str">
        <x:v>READY</x:v>
      </x:c>
      <x:c r="F45" t="str">
        <x:v>Medical Certification Summary</x:v>
      </x:c>
      <x:c r="G45" s="113" t="n">
        <x:v>46469</x:v>
      </x:c>
      <x:c r="H45" t="str">
        <x:v>/documents/drivers/DRV-007_MEDICAL.pdf</x:v>
      </x:c>
      <x:c r="I45" t="str">
        <x:v>MEDICAL_CARD</x:v>
      </x:c>
      <x:c r="J45" t="str">
        <x:v>/documents/drivers/DRV-007_MEDICAL.pdf</x:v>
      </x:c>
      <x:c r="K45" t="str">
        <x:v>VALID</x:v>
      </x:c>
      <x:c r="L45" t="str">
        <x:v>DRV-007|MEDICAL_CARD</x:v>
      </x:c>
      <x:c r="M45" t="str">
        <x:v>DRV-007_MEDICAL.pdf</x:v>
      </x:c>
      <x:c r="N45" t="str">
        <x:v>/drivers/DRV-007.jpg</x:v>
      </x:c>
      <x:c r="O45" t="str">
        <x:v>/images/documents/DRV-007_MEDICAL_CARD.jpg</x:v>
      </x:c>
    </x:row>
    <x:row r="46">
      <x:c r="A46" t="str">
        <x:v>DRV-007</x:v>
      </x:c>
      <x:c r="B46" t="str">
        <x:v>Sofia Gomez</x:v>
      </x:c>
      <x:c r="C46" t="str">
        <x:v>896-555-0100</x:v>
      </x:c>
      <x:c r="D46" t="str">
        <x:v>1020 Demo Street, Cleveland, OH</x:v>
      </x:c>
      <x:c r="E46" t="str">
        <x:v>READY</x:v>
      </x:c>
      <x:c r="F46" t="str">
        <x:v>MVR Summary</x:v>
      </x:c>
      <x:c r="G46" s="113" t="n">
        <x:v>46456</x:v>
      </x:c>
      <x:c r="H46" t="str">
        <x:v>/documents/drivers/DRV-007_MVR.pdf</x:v>
      </x:c>
      <x:c r="I46" t="str">
        <x:v>MVR</x:v>
      </x:c>
      <x:c r="J46" t="str">
        <x:v>/documents/drivers/DRV-007_MVR.pdf</x:v>
      </x:c>
      <x:c r="K46" t="str">
        <x:v>VALID</x:v>
      </x:c>
      <x:c r="L46" t="str">
        <x:v>DRV-007|MVR</x:v>
      </x:c>
      <x:c r="M46" t="str">
        <x:v>DRV-007_MVR.pdf</x:v>
      </x:c>
      <x:c r="N46" t="str">
        <x:v>/drivers/DRV-007.jpg</x:v>
      </x:c>
      <x:c r="O46" t="str">
        <x:v>/images/documents/DRV-007_MVR.jpg</x:v>
      </x:c>
    </x:row>
    <x:row r="47">
      <x:c r="A47" t="str">
        <x:v>DRV-007</x:v>
      </x:c>
      <x:c r="B47" t="str">
        <x:v>Sofia Gomez</x:v>
      </x:c>
      <x:c r="C47" t="str">
        <x:v>896-555-0100</x:v>
      </x:c>
      <x:c r="D47" t="str">
        <x:v>1020 Demo Street, Cleveland, OH</x:v>
      </x:c>
      <x:c r="E47" t="str">
        <x:v>VALID</x:v>
      </x:c>
      <x:c r="F47" t="str">
        <x:v>Employment Eligibility Summary</x:v>
      </x:c>
      <x:c r="G47" s="113" t="n">
        <x:v>46204</x:v>
      </x:c>
      <x:c r="H47" t="str">
        <x:v>/documents/drivers/DRV-007_I9.pdf</x:v>
      </x:c>
      <x:c r="I47" t="str">
        <x:v>I9</x:v>
      </x:c>
      <x:c r="J47" t="str">
        <x:v>/documents/drivers/DRV-007_I9.pdf</x:v>
      </x:c>
      <x:c r="K47" t="str">
        <x:v>VALID</x:v>
      </x:c>
      <x:c r="L47" t="str">
        <x:v>DRV-007|I9</x:v>
      </x:c>
      <x:c r="M47" t="str">
        <x:v>DRV-007_I9.pdf</x:v>
      </x:c>
      <x:c r="N47" t="str">
        <x:v>/drivers/DRV-007.jpg</x:v>
      </x:c>
      <x:c r="O47" t="str">
        <x:v>/images/documents/DRV-007_I9.jpg</x:v>
      </x:c>
    </x:row>
    <x:row r="48">
      <x:c r="A48" t="str">
        <x:v>DRV-007</x:v>
      </x:c>
      <x:c r="B48" t="str">
        <x:v>Sofia Gomez</x:v>
      </x:c>
      <x:c r="C48" t="str">
        <x:v>896-555-0100</x:v>
      </x:c>
      <x:c r="D48" t="str">
        <x:v>1020 Demo Street, Cleveland, OH</x:v>
      </x:c>
      <x:c r="E48" t="str">
        <x:v>VALID</x:v>
      </x:c>
      <x:c r="F48" t="str">
        <x:v>FMCSA Compliance Summary</x:v>
      </x:c>
      <x:c r="G48" s="113" t="n">
        <x:v>46036</x:v>
      </x:c>
      <x:c r="H48" t="str">
        <x:v>/documents/drivers/DRV-007_FMCSA.pdf</x:v>
      </x:c>
      <x:c r="I48" t="str">
        <x:v>FMCSA</x:v>
      </x:c>
      <x:c r="J48" t="str">
        <x:v>/documents/drivers/DRV-007_FMCSA.pdf</x:v>
      </x:c>
      <x:c r="K48" t="str">
        <x:v>EXPIRED</x:v>
      </x:c>
      <x:c r="L48" t="str">
        <x:v>DRV-007|FMCSA</x:v>
      </x:c>
      <x:c r="M48" t="str">
        <x:v>DRV-007_FMCSA.pdf</x:v>
      </x:c>
      <x:c r="N48" t="str">
        <x:v>/drivers/DRV-007.jpg</x:v>
      </x:c>
      <x:c r="O48" t="str">
        <x:v>/images/documents/DRV-007_FMCSA.jpg</x:v>
      </x:c>
    </x:row>
    <x:row r="49">
      <x:c r="A49" t="str">
        <x:v>DRV-007</x:v>
      </x:c>
      <x:c r="B49" t="str">
        <x:v>Sofia Gomez</x:v>
      </x:c>
      <x:c r="C49" t="str">
        <x:v>896-555-0100</x:v>
      </x:c>
      <x:c r="D49" t="str">
        <x:v>1020 Demo Street, Cleveland, OH</x:v>
      </x:c>
      <x:c r="E49" t="str">
        <x:v>VALID</x:v>
      </x:c>
      <x:c r="F49" t="str">
        <x:v>W-9 Summary</x:v>
      </x:c>
      <x:c r="G49" s="113" t="n">
        <x:v>46021</x:v>
      </x:c>
      <x:c r="H49" t="str">
        <x:v>/documents/drivers/DRV-007_W9.pdf</x:v>
      </x:c>
      <x:c r="I49" t="str">
        <x:v>W9</x:v>
      </x:c>
      <x:c r="J49" t="str">
        <x:v>/documents/drivers/DRV-007_W9.pdf</x:v>
      </x:c>
      <x:c r="K49" t="str">
        <x:v>EXPIRED</x:v>
      </x:c>
      <x:c r="L49" t="str">
        <x:v>DRV-007|W9</x:v>
      </x:c>
      <x:c r="M49" t="str">
        <x:v>DRV-007_W9.pdf</x:v>
      </x:c>
      <x:c r="N49" t="str">
        <x:v>/drivers/DRV-007.jpg</x:v>
      </x:c>
      <x:c r="O49" t="str">
        <x:v>/images/documents/DRV-007_W9.jpg</x:v>
      </x:c>
    </x:row>
    <x:row r="50">
      <x:c r="A50" t="str">
        <x:v>DRV-007</x:v>
      </x:c>
      <x:c r="B50" t="str">
        <x:v>Sofia Gomez</x:v>
      </x:c>
      <x:c r="C50" t="str">
        <x:v>896-555-0100</x:v>
      </x:c>
      <x:c r="D50" t="str">
        <x:v>1020 Demo Street, Cleveland, OH</x:v>
      </x:c>
      <x:c r="E50" t="str">
        <x:v>VALID</x:v>
      </x:c>
      <x:c r="F50" t="str">
        <x:v>Bank Information Sheet</x:v>
      </x:c>
      <x:c r="G50" s="113" t="n">
        <x:v>46210</x:v>
      </x:c>
      <x:c r="H50" t="str">
        <x:v>/documents/drivers/DRV-007_BANK_INFO.pdf</x:v>
      </x:c>
      <x:c r="I50" t="str">
        <x:v>BANK_INFO</x:v>
      </x:c>
      <x:c r="J50" t="str">
        <x:v>/documents/drivers/DRV-007_BANK_INFO.pdf</x:v>
      </x:c>
      <x:c r="K50" t="str">
        <x:v>VALID</x:v>
      </x:c>
      <x:c r="L50" t="str">
        <x:v>DRV-007|BANK_INFO</x:v>
      </x:c>
      <x:c r="M50" t="str">
        <x:v>DRV-007_BANK_INFO.pdf</x:v>
      </x:c>
      <x:c r="N50" t="str">
        <x:v>/drivers/DRV-007.jpg</x:v>
      </x:c>
      <x:c r="O50" t="str">
        <x:v>/images/documents/DRV-007_BANK_INFO.jpg</x:v>
      </x:c>
    </x:row>
    <x:row r="51">
      <x:c r="A51" t="str">
        <x:v>DRV-008</x:v>
      </x:c>
      <x:c r="B51" t="str">
        <x:v>Liam Smith</x:v>
      </x:c>
      <x:c r="C51" t="str">
        <x:v>820-555-0100</x:v>
      </x:c>
      <x:c r="D51" t="str">
        <x:v>530 Demo Street, Toledo, OH</x:v>
      </x:c>
      <x:c r="E51" t="str">
        <x:v>READY</x:v>
      </x:c>
      <x:c r="F51" t="str">
        <x:v>CDL Summary</x:v>
      </x:c>
      <x:c r="G51" s="113" t="n">
        <x:v>46620</x:v>
      </x:c>
      <x:c r="H51" t="str">
        <x:v>/documents/drivers/DRV-008_CDL.pdf</x:v>
      </x:c>
      <x:c r="I51" t="str">
        <x:v>CDL</x:v>
      </x:c>
      <x:c r="J51" t="str">
        <x:v>/documents/drivers/DRV-008_CDL.pdf</x:v>
      </x:c>
      <x:c r="K51" t="str">
        <x:v>VALID</x:v>
      </x:c>
      <x:c r="L51" t="str">
        <x:v>DRV-008|CDL</x:v>
      </x:c>
      <x:c r="M51" t="str">
        <x:v>DRV-008_CDL.pdf</x:v>
      </x:c>
      <x:c r="N51" t="str">
        <x:v>/drivers/DRV-008.jpg</x:v>
      </x:c>
      <x:c r="O51" t="str">
        <x:v>/images/documents/DRV-008_CDL.jpg</x:v>
      </x:c>
    </x:row>
    <x:row r="52">
      <x:c r="A52" t="str">
        <x:v>DRV-008</x:v>
      </x:c>
      <x:c r="B52" t="str">
        <x:v>Liam Smith</x:v>
      </x:c>
      <x:c r="C52" t="str">
        <x:v>820-555-0100</x:v>
      </x:c>
      <x:c r="D52" t="str">
        <x:v>530 Demo Street, Toledo, OH</x:v>
      </x:c>
      <x:c r="E52" t="str">
        <x:v>READY</x:v>
      </x:c>
      <x:c r="F52" t="str">
        <x:v>Medical Certification Summary</x:v>
      </x:c>
      <x:c r="G52" s="113" t="n">
        <x:v>46670</x:v>
      </x:c>
      <x:c r="H52" t="str">
        <x:v>/documents/drivers/DRV-008_MEDICAL.pdf</x:v>
      </x:c>
      <x:c r="I52" t="str">
        <x:v>MEDICAL_CARD</x:v>
      </x:c>
      <x:c r="J52" t="str">
        <x:v>/documents/drivers/DRV-008_MEDICAL.pdf</x:v>
      </x:c>
      <x:c r="K52" t="str">
        <x:v>VALID</x:v>
      </x:c>
      <x:c r="L52" t="str">
        <x:v>DRV-008|MEDICAL_CARD</x:v>
      </x:c>
      <x:c r="M52" t="str">
        <x:v>DRV-008_MEDICAL.pdf</x:v>
      </x:c>
      <x:c r="N52" t="str">
        <x:v>/drivers/DRV-008.jpg</x:v>
      </x:c>
      <x:c r="O52" t="str">
        <x:v>/images/documents/DRV-008_MEDICAL_CARD.jpg</x:v>
      </x:c>
    </x:row>
    <x:row r="53">
      <x:c r="A53" t="str">
        <x:v>DRV-008</x:v>
      </x:c>
      <x:c r="B53" t="str">
        <x:v>Liam Smith</x:v>
      </x:c>
      <x:c r="C53" t="str">
        <x:v>820-555-0100</x:v>
      </x:c>
      <x:c r="D53" t="str">
        <x:v>530 Demo Street, Toledo, OH</x:v>
      </x:c>
      <x:c r="E53" t="str">
        <x:v>READY</x:v>
      </x:c>
      <x:c r="F53" t="str">
        <x:v>MVR Summary</x:v>
      </x:c>
      <x:c r="G53" s="113" t="n">
        <x:v>46452</x:v>
      </x:c>
      <x:c r="H53" t="str">
        <x:v>/documents/drivers/DRV-008_MVR.pdf</x:v>
      </x:c>
      <x:c r="I53" t="str">
        <x:v>MVR</x:v>
      </x:c>
      <x:c r="J53" t="str">
        <x:v>/documents/drivers/DRV-008_MVR.pdf</x:v>
      </x:c>
      <x:c r="K53" t="str">
        <x:v>VALID</x:v>
      </x:c>
      <x:c r="L53" t="str">
        <x:v>DRV-008|MVR</x:v>
      </x:c>
      <x:c r="M53" t="str">
        <x:v>DRV-008_MVR.pdf</x:v>
      </x:c>
      <x:c r="N53" t="str">
        <x:v>/drivers/DRV-008.jpg</x:v>
      </x:c>
      <x:c r="O53" t="str">
        <x:v>/images/documents/DRV-008_MVR.jpg</x:v>
      </x:c>
    </x:row>
    <x:row r="54">
      <x:c r="A54" t="str">
        <x:v>DRV-008</x:v>
      </x:c>
      <x:c r="B54" t="str">
        <x:v>Liam Smith</x:v>
      </x:c>
      <x:c r="C54" t="str">
        <x:v>820-555-0100</x:v>
      </x:c>
      <x:c r="D54" t="str">
        <x:v>530 Demo Street, Toledo, OH</x:v>
      </x:c>
      <x:c r="E54" t="str">
        <x:v>VALID</x:v>
      </x:c>
      <x:c r="F54" t="str">
        <x:v>Employment Eligibility Summary</x:v>
      </x:c>
      <x:c r="G54" s="113" t="n">
        <x:v>46033</x:v>
      </x:c>
      <x:c r="H54" t="str">
        <x:v>/documents/drivers/DRV-008_I9.pdf</x:v>
      </x:c>
      <x:c r="I54" t="str">
        <x:v>I9</x:v>
      </x:c>
      <x:c r="J54" t="str">
        <x:v>/documents/drivers/DRV-008_I9.pdf</x:v>
      </x:c>
      <x:c r="K54" t="str">
        <x:v>EXPIRED</x:v>
      </x:c>
      <x:c r="L54" t="str">
        <x:v>DRV-008|I9</x:v>
      </x:c>
      <x:c r="M54" t="str">
        <x:v>DRV-008_I9.pdf</x:v>
      </x:c>
      <x:c r="N54" t="str">
        <x:v>/drivers/DRV-008.jpg</x:v>
      </x:c>
      <x:c r="O54" t="str">
        <x:v>/images/documents/DRV-008_I9.jpg</x:v>
      </x:c>
    </x:row>
    <x:row r="55">
      <x:c r="A55" t="str">
        <x:v>DRV-008</x:v>
      </x:c>
      <x:c r="B55" t="str">
        <x:v>Liam Smith</x:v>
      </x:c>
      <x:c r="C55" t="str">
        <x:v>820-555-0100</x:v>
      </x:c>
      <x:c r="D55" t="str">
        <x:v>530 Demo Street, Toledo, OH</x:v>
      </x:c>
      <x:c r="E55" t="str">
        <x:v>VALID</x:v>
      </x:c>
      <x:c r="F55" t="str">
        <x:v>FMCSA Compliance Summary</x:v>
      </x:c>
      <x:c r="G55" s="113" t="n">
        <x:v>46065</x:v>
      </x:c>
      <x:c r="H55" t="str">
        <x:v>/documents/drivers/DRV-008_FMCSA.pdf</x:v>
      </x:c>
      <x:c r="I55" t="str">
        <x:v>FMCSA</x:v>
      </x:c>
      <x:c r="J55" t="str">
        <x:v>/documents/drivers/DRV-008_FMCSA.pdf</x:v>
      </x:c>
      <x:c r="K55" t="str">
        <x:v>EXPIRED</x:v>
      </x:c>
      <x:c r="L55" t="str">
        <x:v>DRV-008|FMCSA</x:v>
      </x:c>
      <x:c r="M55" t="str">
        <x:v>DRV-008_FMCSA.pdf</x:v>
      </x:c>
      <x:c r="N55" t="str">
        <x:v>/drivers/DRV-008.jpg</x:v>
      </x:c>
      <x:c r="O55" t="str">
        <x:v>/images/documents/DRV-008_FMCSA.jpg</x:v>
      </x:c>
    </x:row>
    <x:row r="56">
      <x:c r="A56" t="str">
        <x:v>DRV-008</x:v>
      </x:c>
      <x:c r="B56" t="str">
        <x:v>Liam Smith</x:v>
      </x:c>
      <x:c r="C56" t="str">
        <x:v>820-555-0100</x:v>
      </x:c>
      <x:c r="D56" t="str">
        <x:v>530 Demo Street, Toledo, OH</x:v>
      </x:c>
      <x:c r="E56" t="str">
        <x:v>VALID</x:v>
      </x:c>
      <x:c r="F56" t="str">
        <x:v>W-9 Summary</x:v>
      </x:c>
      <x:c r="G56" s="113" t="n">
        <x:v>46072</x:v>
      </x:c>
      <x:c r="H56" t="str">
        <x:v>/documents/drivers/DRV-008_W9.pdf</x:v>
      </x:c>
      <x:c r="I56" t="str">
        <x:v>W9</x:v>
      </x:c>
      <x:c r="J56" t="str">
        <x:v>/documents/drivers/DRV-008_W9.pdf</x:v>
      </x:c>
      <x:c r="K56" t="str">
        <x:v>EXPIRED</x:v>
      </x:c>
      <x:c r="L56" t="str">
        <x:v>DRV-008|W9</x:v>
      </x:c>
      <x:c r="M56" t="str">
        <x:v>DRV-008_W9.pdf</x:v>
      </x:c>
      <x:c r="N56" t="str">
        <x:v>/drivers/DRV-008.jpg</x:v>
      </x:c>
      <x:c r="O56" t="str">
        <x:v>/images/documents/DRV-008_W9.jpg</x:v>
      </x:c>
    </x:row>
    <x:row r="57">
      <x:c r="A57" t="str">
        <x:v>DRV-008</x:v>
      </x:c>
      <x:c r="B57" t="str">
        <x:v>Liam Smith</x:v>
      </x:c>
      <x:c r="C57" t="str">
        <x:v>820-555-0100</x:v>
      </x:c>
      <x:c r="D57" t="str">
        <x:v>530 Demo Street, Toledo, OH</x:v>
      </x:c>
      <x:c r="E57" t="str">
        <x:v>VALID</x:v>
      </x:c>
      <x:c r="F57" t="str">
        <x:v>Bank Information Sheet</x:v>
      </x:c>
      <x:c r="G57" s="113" t="n">
        <x:v>46169</x:v>
      </x:c>
      <x:c r="H57" t="str">
        <x:v>/documents/drivers/DRV-008_BANK_INFO.pdf</x:v>
      </x:c>
      <x:c r="I57" t="str">
        <x:v>BANK_INFO</x:v>
      </x:c>
      <x:c r="J57" t="str">
        <x:v>/documents/drivers/DRV-008_BANK_INFO.pdf</x:v>
      </x:c>
      <x:c r="K57" t="str">
        <x:v>EXPIRING_SOON</x:v>
      </x:c>
      <x:c r="L57" t="str">
        <x:v>DRV-008|BANK_INFO</x:v>
      </x:c>
      <x:c r="M57" t="str">
        <x:v>DRV-008_BANK_INFO.pdf</x:v>
      </x:c>
      <x:c r="N57" t="str">
        <x:v>/drivers/DRV-008.jpg</x:v>
      </x:c>
      <x:c r="O57" t="str">
        <x:v>/images/documents/DRV-008_BANK_INFO.jpg</x:v>
      </x:c>
    </x:row>
    <x:row r="58">
      <x:c r="A58" t="str">
        <x:v>DRV-009</x:v>
      </x:c>
      <x:c r="B58" t="str">
        <x:v>Emma Brown</x:v>
      </x:c>
      <x:c r="C58" t="str">
        <x:v>206-555-0103</x:v>
      </x:c>
      <x:c r="D58" t="str">
        <x:v>630 Demo Street, Columbus, OH</x:v>
      </x:c>
      <x:c r="E58" t="str">
        <x:v>READY</x:v>
      </x:c>
      <x:c r="F58" t="str">
        <x:v>CDL Summary</x:v>
      </x:c>
      <x:c r="G58" s="113" t="n">
        <x:v>46424</x:v>
      </x:c>
      <x:c r="H58" t="str">
        <x:v>/documents/drivers/DRV-009_CDL.pdf</x:v>
      </x:c>
      <x:c r="I58" t="str">
        <x:v>CDL</x:v>
      </x:c>
      <x:c r="J58" t="str">
        <x:v>/documents/drivers/DRV-009_CDL.pdf</x:v>
      </x:c>
      <x:c r="K58" t="str">
        <x:v>VALID</x:v>
      </x:c>
      <x:c r="L58" t="str">
        <x:v>DRV-009|CDL</x:v>
      </x:c>
      <x:c r="M58" t="str">
        <x:v>DRV-009_CDL.pdf</x:v>
      </x:c>
      <x:c r="N58" t="str">
        <x:v>/drivers/DRV-009.jpg</x:v>
      </x:c>
      <x:c r="O58" t="str">
        <x:v>/images/documents/DRV-009_CDL.jpg</x:v>
      </x:c>
    </x:row>
    <x:row r="59">
      <x:c r="A59" t="str">
        <x:v>DRV-009</x:v>
      </x:c>
      <x:c r="B59" t="str">
        <x:v>Emma Brown</x:v>
      </x:c>
      <x:c r="C59" t="str">
        <x:v>206-555-0103</x:v>
      </x:c>
      <x:c r="D59" t="str">
        <x:v>630 Demo Street, Columbus, OH</x:v>
      </x:c>
      <x:c r="E59" t="str">
        <x:v>READY</x:v>
      </x:c>
      <x:c r="F59" t="str">
        <x:v>Medical Certification Summary</x:v>
      </x:c>
      <x:c r="G59" s="113" t="n">
        <x:v>46645</x:v>
      </x:c>
      <x:c r="H59" t="str">
        <x:v>/documents/drivers/DRV-009_MEDICAL.pdf</x:v>
      </x:c>
      <x:c r="I59" t="str">
        <x:v>MEDICAL_CARD</x:v>
      </x:c>
      <x:c r="J59" t="str">
        <x:v>/documents/drivers/DRV-009_MEDICAL.pdf</x:v>
      </x:c>
      <x:c r="K59" t="str">
        <x:v>VALID</x:v>
      </x:c>
      <x:c r="L59" t="str">
        <x:v>DRV-009|MEDICAL_CARD</x:v>
      </x:c>
      <x:c r="M59" t="str">
        <x:v>DRV-009_MEDICAL.pdf</x:v>
      </x:c>
      <x:c r="N59" t="str">
        <x:v>/drivers/DRV-009.jpg</x:v>
      </x:c>
      <x:c r="O59" t="str">
        <x:v>/images/documents/DRV-009_MEDICAL_CARD.jpg</x:v>
      </x:c>
    </x:row>
    <x:row r="60">
      <x:c r="A60" t="str">
        <x:v>DRV-009</x:v>
      </x:c>
      <x:c r="B60" t="str">
        <x:v>Emma Brown</x:v>
      </x:c>
      <x:c r="C60" t="str">
        <x:v>206-555-0103</x:v>
      </x:c>
      <x:c r="D60" t="str">
        <x:v>630 Demo Street, Columbus, OH</x:v>
      </x:c>
      <x:c r="E60" t="str">
        <x:v>READY</x:v>
      </x:c>
      <x:c r="F60" t="str">
        <x:v>MVR Summary</x:v>
      </x:c>
      <x:c r="G60" s="113" t="n">
        <x:v>46451</x:v>
      </x:c>
      <x:c r="H60" t="str">
        <x:v>/documents/drivers/DRV-009_MVR.pdf</x:v>
      </x:c>
      <x:c r="I60" t="str">
        <x:v>MVR</x:v>
      </x:c>
      <x:c r="J60" t="str">
        <x:v>/documents/drivers/DRV-009_MVR.pdf</x:v>
      </x:c>
      <x:c r="K60" t="str">
        <x:v>VALID</x:v>
      </x:c>
      <x:c r="L60" t="str">
        <x:v>DRV-009|MVR</x:v>
      </x:c>
      <x:c r="M60" t="str">
        <x:v>DRV-009_MVR.pdf</x:v>
      </x:c>
      <x:c r="N60" t="str">
        <x:v>/drivers/DRV-009.jpg</x:v>
      </x:c>
      <x:c r="O60" t="str">
        <x:v>/images/documents/DRV-009_MVR.jpg</x:v>
      </x:c>
    </x:row>
    <x:row r="61">
      <x:c r="A61" t="str">
        <x:v>DRV-009</x:v>
      </x:c>
      <x:c r="B61" t="str">
        <x:v>Emma Brown</x:v>
      </x:c>
      <x:c r="C61" t="str">
        <x:v>206-555-0103</x:v>
      </x:c>
      <x:c r="D61" t="str">
        <x:v>630 Demo Street, Columbus, OH</x:v>
      </x:c>
      <x:c r="E61" t="str">
        <x:v>VALID</x:v>
      </x:c>
      <x:c r="F61" t="str">
        <x:v>Employment Eligibility Summary</x:v>
      </x:c>
      <x:c r="G61" s="113" t="n">
        <x:v>46165</x:v>
      </x:c>
      <x:c r="H61" t="str">
        <x:v>/documents/drivers/DRV-009_I9.pdf</x:v>
      </x:c>
      <x:c r="I61" t="str">
        <x:v>I9</x:v>
      </x:c>
      <x:c r="J61" t="str">
        <x:v>/documents/drivers/DRV-009_I9.pdf</x:v>
      </x:c>
      <x:c r="K61" t="str">
        <x:v>EXPIRING_SOON</x:v>
      </x:c>
      <x:c r="L61" t="str">
        <x:v>DRV-009|I9</x:v>
      </x:c>
      <x:c r="M61" t="str">
        <x:v>DRV-009_I9.pdf</x:v>
      </x:c>
      <x:c r="N61" t="str">
        <x:v>/drivers/DRV-009.jpg</x:v>
      </x:c>
      <x:c r="O61" t="str">
        <x:v>/images/documents/DRV-009_I9.jpg</x:v>
      </x:c>
    </x:row>
    <x:row r="62">
      <x:c r="A62" t="str">
        <x:v>DRV-009</x:v>
      </x:c>
      <x:c r="B62" t="str">
        <x:v>Emma Brown</x:v>
      </x:c>
      <x:c r="C62" t="str">
        <x:v>206-555-0103</x:v>
      </x:c>
      <x:c r="D62" t="str">
        <x:v>630 Demo Street, Columbus, OH</x:v>
      </x:c>
      <x:c r="E62" t="str">
        <x:v>VALID</x:v>
      </x:c>
      <x:c r="F62" t="str">
        <x:v>FMCSA Compliance Summary</x:v>
      </x:c>
      <x:c r="G62" s="113" t="n">
        <x:v>46244</x:v>
      </x:c>
      <x:c r="H62" t="str">
        <x:v>/documents/drivers/DRV-009_FMCSA.pdf</x:v>
      </x:c>
      <x:c r="I62" t="str">
        <x:v>FMCSA</x:v>
      </x:c>
      <x:c r="J62" t="str">
        <x:v>/documents/drivers/DRV-009_FMCSA.pdf</x:v>
      </x:c>
      <x:c r="K62" t="str">
        <x:v>VALID</x:v>
      </x:c>
      <x:c r="L62" t="str">
        <x:v>DRV-009|FMCSA</x:v>
      </x:c>
      <x:c r="M62" t="str">
        <x:v>DRV-009_FMCSA.pdf</x:v>
      </x:c>
      <x:c r="N62" t="str">
        <x:v>/drivers/DRV-009.jpg</x:v>
      </x:c>
      <x:c r="O62" t="str">
        <x:v>/images/documents/DRV-009_FMCSA.jpg</x:v>
      </x:c>
    </x:row>
    <x:row r="63">
      <x:c r="A63" t="str">
        <x:v>DRV-009</x:v>
      </x:c>
      <x:c r="B63" t="str">
        <x:v>Emma Brown</x:v>
      </x:c>
      <x:c r="C63" t="str">
        <x:v>206-555-0103</x:v>
      </x:c>
      <x:c r="D63" t="str">
        <x:v>630 Demo Street, Columbus, OH</x:v>
      </x:c>
      <x:c r="E63" t="str">
        <x:v>VALID</x:v>
      </x:c>
      <x:c r="F63" t="str">
        <x:v>W-9 Summary</x:v>
      </x:c>
      <x:c r="G63" s="113" t="n">
        <x:v>46060</x:v>
      </x:c>
      <x:c r="H63" t="str">
        <x:v>/documents/drivers/DRV-009_W9.pdf</x:v>
      </x:c>
      <x:c r="I63" t="str">
        <x:v>W9</x:v>
      </x:c>
      <x:c r="J63" t="str">
        <x:v>/documents/drivers/DRV-009_W9.pdf</x:v>
      </x:c>
      <x:c r="K63" t="str">
        <x:v>EXPIRED</x:v>
      </x:c>
      <x:c r="L63" t="str">
        <x:v>DRV-009|W9</x:v>
      </x:c>
      <x:c r="M63" t="str">
        <x:v>DRV-009_W9.pdf</x:v>
      </x:c>
      <x:c r="N63" t="str">
        <x:v>/drivers/DRV-009.jpg</x:v>
      </x:c>
      <x:c r="O63" t="str">
        <x:v>/images/documents/DRV-009_W9.jpg</x:v>
      </x:c>
    </x:row>
    <x:row r="64">
      <x:c r="A64" t="str">
        <x:v>DRV-009</x:v>
      </x:c>
      <x:c r="B64" t="str">
        <x:v>Emma Brown</x:v>
      </x:c>
      <x:c r="C64" t="str">
        <x:v>206-555-0103</x:v>
      </x:c>
      <x:c r="D64" t="str">
        <x:v>630 Demo Street, Columbus, OH</x:v>
      </x:c>
      <x:c r="E64" t="str">
        <x:v>VALID</x:v>
      </x:c>
      <x:c r="F64" t="str">
        <x:v>Bank Information Sheet</x:v>
      </x:c>
      <x:c r="G64" s="113" t="n">
        <x:v>46144</x:v>
      </x:c>
      <x:c r="H64" t="str">
        <x:v>/documents/drivers/DRV-009_BANK_INFO.pdf</x:v>
      </x:c>
      <x:c r="I64" t="str">
        <x:v>BANK_INFO</x:v>
      </x:c>
      <x:c r="J64" t="str">
        <x:v>/documents/drivers/DRV-009_BANK_INFO.pdf</x:v>
      </x:c>
      <x:c r="K64" t="str">
        <x:v>EXPIRED</x:v>
      </x:c>
      <x:c r="L64" t="str">
        <x:v>DRV-009|BANK_INFO</x:v>
      </x:c>
      <x:c r="M64" t="str">
        <x:v>DRV-009_BANK_INFO.pdf</x:v>
      </x:c>
      <x:c r="N64" t="str">
        <x:v>/drivers/DRV-009.jpg</x:v>
      </x:c>
      <x:c r="O64" t="str">
        <x:v>/images/documents/DRV-009_BANK_INFO.jpg</x:v>
      </x:c>
    </x:row>
    <x:row r="65">
      <x:c r="A65" t="str">
        <x:v>DRV-010</x:v>
      </x:c>
      <x:c r="B65" t="str">
        <x:v>Noah Wilson</x:v>
      </x:c>
      <x:c r="C65" t="str">
        <x:v>582-555-0100</x:v>
      </x:c>
      <x:c r="D65" t="str">
        <x:v>130 Demo Street, Chicago, IL</x:v>
      </x:c>
      <x:c r="E65" t="str">
        <x:v>READY</x:v>
      </x:c>
      <x:c r="F65" t="str">
        <x:v>CDL Summary</x:v>
      </x:c>
      <x:c r="G65" s="113" t="n">
        <x:v>46647</x:v>
      </x:c>
      <x:c r="H65" t="str">
        <x:v>/documents/drivers/DRV-010_CDL.pdf</x:v>
      </x:c>
      <x:c r="I65" t="str">
        <x:v>CDL</x:v>
      </x:c>
      <x:c r="J65" t="str">
        <x:v>/documents/drivers/DRV-010_CDL.pdf</x:v>
      </x:c>
      <x:c r="K65" t="str">
        <x:v>VALID</x:v>
      </x:c>
      <x:c r="L65" t="str">
        <x:v>DRV-010|CDL</x:v>
      </x:c>
      <x:c r="M65" t="str">
        <x:v>DRV-010_CDL.pdf</x:v>
      </x:c>
      <x:c r="N65" t="str">
        <x:v>/drivers/DRV-010.jpg</x:v>
      </x:c>
      <x:c r="O65" t="str">
        <x:v>/images/documents/DRV-010_CDL.jpg</x:v>
      </x:c>
    </x:row>
    <x:row r="66">
      <x:c r="A66" t="str">
        <x:v>DRV-010</x:v>
      </x:c>
      <x:c r="B66" t="str">
        <x:v>Noah Wilson</x:v>
      </x:c>
      <x:c r="C66" t="str">
        <x:v>582-555-0100</x:v>
      </x:c>
      <x:c r="D66" t="str">
        <x:v>130 Demo Street, Chicago, IL</x:v>
      </x:c>
      <x:c r="E66" t="str">
        <x:v>READY</x:v>
      </x:c>
      <x:c r="F66" t="str">
        <x:v>Medical Certification Summary</x:v>
      </x:c>
      <x:c r="G66" s="113" t="n">
        <x:v>46752</x:v>
      </x:c>
      <x:c r="H66" t="str">
        <x:v>/documents/drivers/DRV-010_MEDICAL.pdf</x:v>
      </x:c>
      <x:c r="I66" t="str">
        <x:v>MEDICAL_CARD</x:v>
      </x:c>
      <x:c r="J66" t="str">
        <x:v>/documents/drivers/DRV-010_MEDICAL.pdf</x:v>
      </x:c>
      <x:c r="K66" t="str">
        <x:v>VALID</x:v>
      </x:c>
      <x:c r="L66" t="str">
        <x:v>DRV-010|MEDICAL_CARD</x:v>
      </x:c>
      <x:c r="M66" t="str">
        <x:v>DRV-010_MEDICAL.pdf</x:v>
      </x:c>
      <x:c r="N66" t="str">
        <x:v>/drivers/DRV-010.jpg</x:v>
      </x:c>
      <x:c r="O66" t="str">
        <x:v>/images/documents/DRV-010_MEDICAL_CARD.jpg</x:v>
      </x:c>
    </x:row>
    <x:row r="67">
      <x:c r="A67" t="str">
        <x:v>DRV-010</x:v>
      </x:c>
      <x:c r="B67" t="str">
        <x:v>Noah Wilson</x:v>
      </x:c>
      <x:c r="C67" t="str">
        <x:v>582-555-0100</x:v>
      </x:c>
      <x:c r="D67" t="str">
        <x:v>130 Demo Street, Chicago, IL</x:v>
      </x:c>
      <x:c r="E67" t="str">
        <x:v>READY</x:v>
      </x:c>
      <x:c r="F67" t="str">
        <x:v>MVR Summary</x:v>
      </x:c>
      <x:c r="G67" s="113" t="n">
        <x:v>46481</x:v>
      </x:c>
      <x:c r="H67" t="str">
        <x:v>/documents/drivers/DRV-010_MVR.pdf</x:v>
      </x:c>
      <x:c r="I67" t="str">
        <x:v>MVR</x:v>
      </x:c>
      <x:c r="J67" t="str">
        <x:v>/documents/drivers/DRV-010_MVR.pdf</x:v>
      </x:c>
      <x:c r="K67" t="str">
        <x:v>VALID</x:v>
      </x:c>
      <x:c r="L67" t="str">
        <x:v>DRV-010|MVR</x:v>
      </x:c>
      <x:c r="M67" t="str">
        <x:v>DRV-010_MVR.pdf</x:v>
      </x:c>
      <x:c r="N67" t="str">
        <x:v>/drivers/DRV-010.jpg</x:v>
      </x:c>
      <x:c r="O67" t="str">
        <x:v>/images/documents/DRV-010_MVR.jpg</x:v>
      </x:c>
    </x:row>
    <x:row r="68">
      <x:c r="A68" t="str">
        <x:v>DRV-010</x:v>
      </x:c>
      <x:c r="B68" t="str">
        <x:v>Noah Wilson</x:v>
      </x:c>
      <x:c r="C68" t="str">
        <x:v>582-555-0100</x:v>
      </x:c>
      <x:c r="D68" t="str">
        <x:v>130 Demo Street, Chicago, IL</x:v>
      </x:c>
      <x:c r="E68" t="str">
        <x:v>VALID</x:v>
      </x:c>
      <x:c r="F68" t="str">
        <x:v>Employment Eligibility Summary</x:v>
      </x:c>
      <x:c r="G68" s="113" t="n">
        <x:v>46024</x:v>
      </x:c>
      <x:c r="H68" t="str">
        <x:v>/documents/drivers/DRV-010_I9.pdf</x:v>
      </x:c>
      <x:c r="I68" t="str">
        <x:v>I9</x:v>
      </x:c>
      <x:c r="J68" t="str">
        <x:v>/documents/drivers/DRV-010_I9.pdf</x:v>
      </x:c>
      <x:c r="K68" t="str">
        <x:v>EXPIRED</x:v>
      </x:c>
      <x:c r="L68" t="str">
        <x:v>DRV-010|I9</x:v>
      </x:c>
      <x:c r="M68" t="str">
        <x:v>DRV-010_I9.pdf</x:v>
      </x:c>
      <x:c r="N68" t="str">
        <x:v>/drivers/DRV-010.jpg</x:v>
      </x:c>
      <x:c r="O68" t="str">
        <x:v>/images/documents/DRV-010_I9.jpg</x:v>
      </x:c>
    </x:row>
    <x:row r="69">
      <x:c r="A69" t="str">
        <x:v>DRV-010</x:v>
      </x:c>
      <x:c r="B69" t="str">
        <x:v>Noah Wilson</x:v>
      </x:c>
      <x:c r="C69" t="str">
        <x:v>582-555-0100</x:v>
      </x:c>
      <x:c r="D69" t="str">
        <x:v>130 Demo Street, Chicago, IL</x:v>
      </x:c>
      <x:c r="E69" t="str">
        <x:v>VALID</x:v>
      </x:c>
      <x:c r="F69" t="str">
        <x:v>FMCSA Compliance Summary</x:v>
      </x:c>
      <x:c r="G69" s="113" t="n">
        <x:v>45985</x:v>
      </x:c>
      <x:c r="H69" t="str">
        <x:v>/documents/drivers/DRV-010_FMCSA.pdf</x:v>
      </x:c>
      <x:c r="I69" t="str">
        <x:v>FMCSA</x:v>
      </x:c>
      <x:c r="J69" t="str">
        <x:v>/documents/drivers/DRV-010_FMCSA.pdf</x:v>
      </x:c>
      <x:c r="K69" t="str">
        <x:v>EXPIRED</x:v>
      </x:c>
      <x:c r="L69" t="str">
        <x:v>DRV-010|FMCSA</x:v>
      </x:c>
      <x:c r="M69" t="str">
        <x:v>DRV-010_FMCSA.pdf</x:v>
      </x:c>
      <x:c r="N69" t="str">
        <x:v>/drivers/DRV-010.jpg</x:v>
      </x:c>
      <x:c r="O69" t="str">
        <x:v>/images/documents/DRV-010_FMCSA.jpg</x:v>
      </x:c>
    </x:row>
    <x:row r="70">
      <x:c r="A70" t="str">
        <x:v>DRV-010</x:v>
      </x:c>
      <x:c r="B70" t="str">
        <x:v>Noah Wilson</x:v>
      </x:c>
      <x:c r="C70" t="str">
        <x:v>582-555-0100</x:v>
      </x:c>
      <x:c r="D70" t="str">
        <x:v>130 Demo Street, Chicago, IL</x:v>
      </x:c>
      <x:c r="E70" t="str">
        <x:v>VALID</x:v>
      </x:c>
      <x:c r="F70" t="str">
        <x:v>W-9 Summary</x:v>
      </x:c>
      <x:c r="G70" s="113" t="n">
        <x:v>46208</x:v>
      </x:c>
      <x:c r="H70" t="str">
        <x:v>/documents/drivers/DRV-010_W9.pdf</x:v>
      </x:c>
      <x:c r="I70" t="str">
        <x:v>W9</x:v>
      </x:c>
      <x:c r="J70" t="str">
        <x:v>/documents/drivers/DRV-010_W9.pdf</x:v>
      </x:c>
      <x:c r="K70" t="str">
        <x:v>VALID</x:v>
      </x:c>
      <x:c r="L70" t="str">
        <x:v>DRV-010|W9</x:v>
      </x:c>
      <x:c r="M70" t="str">
        <x:v>DRV-010_W9.pdf</x:v>
      </x:c>
      <x:c r="N70" t="str">
        <x:v>/drivers/DRV-010.jpg</x:v>
      </x:c>
      <x:c r="O70" t="str">
        <x:v>/images/documents/DRV-010_W9.jpg</x:v>
      </x:c>
    </x:row>
    <x:row r="71">
      <x:c r="A71" t="str">
        <x:v>DRV-010</x:v>
      </x:c>
      <x:c r="B71" t="str">
        <x:v>Noah Wilson</x:v>
      </x:c>
      <x:c r="C71" t="str">
        <x:v>582-555-0100</x:v>
      </x:c>
      <x:c r="D71" t="str">
        <x:v>130 Demo Street, Chicago, IL</x:v>
      </x:c>
      <x:c r="E71" t="str">
        <x:v>VALID</x:v>
      </x:c>
      <x:c r="F71" t="str">
        <x:v>Bank Information Sheet</x:v>
      </x:c>
      <x:c r="G71" s="113" t="n">
        <x:v>46061</x:v>
      </x:c>
      <x:c r="H71" t="str">
        <x:v>/documents/drivers/DRV-010_BANK_INFO.pdf</x:v>
      </x:c>
      <x:c r="I71" t="str">
        <x:v>BANK_INFO</x:v>
      </x:c>
      <x:c r="J71" t="str">
        <x:v>/documents/drivers/DRV-010_BANK_INFO.pdf</x:v>
      </x:c>
      <x:c r="K71" t="str">
        <x:v>EXPIRED</x:v>
      </x:c>
      <x:c r="L71" t="str">
        <x:v>DRV-010|BANK_INFO</x:v>
      </x:c>
      <x:c r="M71" t="str">
        <x:v>DRV-010_BANK_INFO.pdf</x:v>
      </x:c>
      <x:c r="N71" t="str">
        <x:v>/drivers/DRV-010.jpg</x:v>
      </x:c>
      <x:c r="O71" t="str">
        <x:v>/images/documents/DRV-010_BANK_INFO.jpg</x:v>
      </x:c>
    </x:row>
    <x:row r="72">
      <x:c r="A72" t="str">
        <x:v>DRV-011</x:v>
      </x:c>
      <x:c r="B72" t="str">
        <x:v>Olivia Lee</x:v>
      </x:c>
      <x:c r="C72" t="str">
        <x:v>337-555-0100</x:v>
      </x:c>
      <x:c r="D72" t="str">
        <x:v>900 Demo Street, Atlanta, GA</x:v>
      </x:c>
      <x:c r="E72" t="str">
        <x:v>READY</x:v>
      </x:c>
      <x:c r="F72" t="str">
        <x:v>CDL Summary</x:v>
      </x:c>
      <x:c r="G72" s="113" t="n">
        <x:v>46566</x:v>
      </x:c>
      <x:c r="H72" t="str">
        <x:v>/documents/drivers/DRV-011_CDL.pdf</x:v>
      </x:c>
      <x:c r="I72" t="str">
        <x:v>CDL</x:v>
      </x:c>
      <x:c r="J72" t="str">
        <x:v>/documents/drivers/DRV-011_CDL.pdf</x:v>
      </x:c>
      <x:c r="K72" t="str">
        <x:v>VALID</x:v>
      </x:c>
      <x:c r="L72" t="str">
        <x:v>DRV-011|CDL</x:v>
      </x:c>
      <x:c r="M72" t="str">
        <x:v>DRV-011_CDL.pdf</x:v>
      </x:c>
      <x:c r="N72" t="str">
        <x:v>/drivers/DRV-011.jpg</x:v>
      </x:c>
      <x:c r="O72" t="str">
        <x:v>/images/documents/DRV-011_CDL.jpg</x:v>
      </x:c>
    </x:row>
    <x:row r="73">
      <x:c r="A73" t="str">
        <x:v>DRV-011</x:v>
      </x:c>
      <x:c r="B73" t="str">
        <x:v>Olivia Lee</x:v>
      </x:c>
      <x:c r="C73" t="str">
        <x:v>337-555-0100</x:v>
      </x:c>
      <x:c r="D73" t="str">
        <x:v>900 Demo Street, Atlanta, GA</x:v>
      </x:c>
      <x:c r="E73" t="str">
        <x:v>READY</x:v>
      </x:c>
      <x:c r="F73" t="str">
        <x:v>Medical Certification Summary</x:v>
      </x:c>
      <x:c r="G73" s="113" t="n">
        <x:v>46499</x:v>
      </x:c>
      <x:c r="H73" t="str">
        <x:v>/documents/drivers/DRV-011_MEDICAL.pdf</x:v>
      </x:c>
      <x:c r="I73" t="str">
        <x:v>MEDICAL_CARD</x:v>
      </x:c>
      <x:c r="J73" t="str">
        <x:v>/documents/drivers/DRV-011_MEDICAL.pdf</x:v>
      </x:c>
      <x:c r="K73" t="str">
        <x:v>VALID</x:v>
      </x:c>
      <x:c r="L73" t="str">
        <x:v>DRV-011|MEDICAL_CARD</x:v>
      </x:c>
      <x:c r="M73" t="str">
        <x:v>DRV-011_MEDICAL.pdf</x:v>
      </x:c>
      <x:c r="N73" t="str">
        <x:v>/drivers/DRV-011.jpg</x:v>
      </x:c>
      <x:c r="O73" t="str">
        <x:v>/images/documents/DRV-011_MEDICAL_CARD.jpg</x:v>
      </x:c>
    </x:row>
    <x:row r="74">
      <x:c r="A74" t="str">
        <x:v>DRV-011</x:v>
      </x:c>
      <x:c r="B74" t="str">
        <x:v>Olivia Lee</x:v>
      </x:c>
      <x:c r="C74" t="str">
        <x:v>337-555-0100</x:v>
      </x:c>
      <x:c r="D74" t="str">
        <x:v>900 Demo Street, Atlanta, GA</x:v>
      </x:c>
      <x:c r="E74" t="str">
        <x:v>READY</x:v>
      </x:c>
      <x:c r="F74" t="str">
        <x:v>MVR Summary</x:v>
      </x:c>
      <x:c r="G74" s="113" t="n">
        <x:v>46484</x:v>
      </x:c>
      <x:c r="H74" t="str">
        <x:v>/documents/drivers/DRV-011_MVR.pdf</x:v>
      </x:c>
      <x:c r="I74" t="str">
        <x:v>MVR</x:v>
      </x:c>
      <x:c r="J74" t="str">
        <x:v>/documents/drivers/DRV-011_MVR.pdf</x:v>
      </x:c>
      <x:c r="K74" t="str">
        <x:v>VALID</x:v>
      </x:c>
      <x:c r="L74" t="str">
        <x:v>DRV-011|MVR</x:v>
      </x:c>
      <x:c r="M74" t="str">
        <x:v>DRV-011_MVR.pdf</x:v>
      </x:c>
      <x:c r="N74" t="str">
        <x:v>/drivers/DRV-011.jpg</x:v>
      </x:c>
      <x:c r="O74" t="str">
        <x:v>/images/documents/DRV-011_MVR.jpg</x:v>
      </x:c>
    </x:row>
    <x:row r="75">
      <x:c r="A75" t="str">
        <x:v>DRV-011</x:v>
      </x:c>
      <x:c r="B75" t="str">
        <x:v>Olivia Lee</x:v>
      </x:c>
      <x:c r="C75" t="str">
        <x:v>337-555-0100</x:v>
      </x:c>
      <x:c r="D75" t="str">
        <x:v>900 Demo Street, Atlanta, GA</x:v>
      </x:c>
      <x:c r="E75" t="str">
        <x:v>VALID</x:v>
      </x:c>
      <x:c r="F75" t="str">
        <x:v>Employment Eligibility Summary</x:v>
      </x:c>
      <x:c r="G75" s="113" t="n">
        <x:v>46185</x:v>
      </x:c>
      <x:c r="H75" t="str">
        <x:v>/documents/drivers/DRV-011_I9.pdf</x:v>
      </x:c>
      <x:c r="I75" t="str">
        <x:v>I9</x:v>
      </x:c>
      <x:c r="J75" t="str">
        <x:v>/documents/drivers/DRV-011_I9.pdf</x:v>
      </x:c>
      <x:c r="K75" t="str">
        <x:v>VALID</x:v>
      </x:c>
      <x:c r="L75" t="str">
        <x:v>DRV-011|I9</x:v>
      </x:c>
      <x:c r="M75" t="str">
        <x:v>DRV-011_I9.pdf</x:v>
      </x:c>
      <x:c r="N75" t="str">
        <x:v>/drivers/DRV-011.jpg</x:v>
      </x:c>
      <x:c r="O75" t="str">
        <x:v>/images/documents/DRV-011_I9.jpg</x:v>
      </x:c>
    </x:row>
    <x:row r="76">
      <x:c r="A76" t="str">
        <x:v>DRV-011</x:v>
      </x:c>
      <x:c r="B76" t="str">
        <x:v>Olivia Lee</x:v>
      </x:c>
      <x:c r="C76" t="str">
        <x:v>337-555-0100</x:v>
      </x:c>
      <x:c r="D76" t="str">
        <x:v>900 Demo Street, Atlanta, GA</x:v>
      </x:c>
      <x:c r="E76" t="str">
        <x:v>VALID</x:v>
      </x:c>
      <x:c r="F76" t="str">
        <x:v>FMCSA Compliance Summary</x:v>
      </x:c>
      <x:c r="G76" s="113" t="n">
        <x:v>46033</x:v>
      </x:c>
      <x:c r="H76" t="str">
        <x:v>/documents/drivers/DRV-011_FMCSA.pdf</x:v>
      </x:c>
      <x:c r="I76" t="str">
        <x:v>FMCSA</x:v>
      </x:c>
      <x:c r="J76" t="str">
        <x:v>/documents/drivers/DRV-011_FMCSA.pdf</x:v>
      </x:c>
      <x:c r="K76" t="str">
        <x:v>EXPIRED</x:v>
      </x:c>
      <x:c r="L76" t="str">
        <x:v>DRV-011|FMCSA</x:v>
      </x:c>
      <x:c r="M76" t="str">
        <x:v>DRV-011_FMCSA.pdf</x:v>
      </x:c>
      <x:c r="N76" t="str">
        <x:v>/drivers/DRV-011.jpg</x:v>
      </x:c>
      <x:c r="O76" t="str">
        <x:v>/images/documents/DRV-011_FMCSA.jpg</x:v>
      </x:c>
    </x:row>
    <x:row r="77">
      <x:c r="A77" t="str">
        <x:v>DRV-011</x:v>
      </x:c>
      <x:c r="B77" t="str">
        <x:v>Olivia Lee</x:v>
      </x:c>
      <x:c r="C77" t="str">
        <x:v>337-555-0100</x:v>
      </x:c>
      <x:c r="D77" t="str">
        <x:v>900 Demo Street, Atlanta, GA</x:v>
      </x:c>
      <x:c r="E77" t="str">
        <x:v>VALID</x:v>
      </x:c>
      <x:c r="F77" t="str">
        <x:v>W-9 Summary</x:v>
      </x:c>
      <x:c r="G77" s="113" t="n">
        <x:v>46249</x:v>
      </x:c>
      <x:c r="H77" t="str">
        <x:v>/documents/drivers/DRV-011_W9.pdf</x:v>
      </x:c>
      <x:c r="I77" t="str">
        <x:v>W9</x:v>
      </x:c>
      <x:c r="J77" t="str">
        <x:v>/documents/drivers/DRV-011_W9.pdf</x:v>
      </x:c>
      <x:c r="K77" t="str">
        <x:v>VALID</x:v>
      </x:c>
      <x:c r="L77" t="str">
        <x:v>DRV-011|W9</x:v>
      </x:c>
      <x:c r="M77" t="str">
        <x:v>DRV-011_W9.pdf</x:v>
      </x:c>
      <x:c r="N77" t="str">
        <x:v>/drivers/DRV-011.jpg</x:v>
      </x:c>
      <x:c r="O77" t="str">
        <x:v>/images/documents/DRV-011_W9.jpg</x:v>
      </x:c>
    </x:row>
    <x:row r="78">
      <x:c r="A78" t="str">
        <x:v>DRV-011</x:v>
      </x:c>
      <x:c r="B78" t="str">
        <x:v>Olivia Lee</x:v>
      </x:c>
      <x:c r="C78" t="str">
        <x:v>337-555-0100</x:v>
      </x:c>
      <x:c r="D78" t="str">
        <x:v>900 Demo Street, Atlanta, GA</x:v>
      </x:c>
      <x:c r="E78" t="str">
        <x:v>VALID</x:v>
      </x:c>
      <x:c r="F78" t="str">
        <x:v>Bank Information Sheet</x:v>
      </x:c>
      <x:c r="G78" s="113" t="n">
        <x:v>46025</x:v>
      </x:c>
      <x:c r="H78" t="str">
        <x:v>/documents/drivers/DRV-011_BANK_INFO.pdf</x:v>
      </x:c>
      <x:c r="I78" t="str">
        <x:v>BANK_INFO</x:v>
      </x:c>
      <x:c r="J78" t="str">
        <x:v>/documents/drivers/DRV-011_BANK_INFO.pdf</x:v>
      </x:c>
      <x:c r="K78" t="str">
        <x:v>EXPIRED</x:v>
      </x:c>
      <x:c r="L78" t="str">
        <x:v>DRV-011|BANK_INFO</x:v>
      </x:c>
      <x:c r="M78" t="str">
        <x:v>DRV-011_BANK_INFO.pdf</x:v>
      </x:c>
      <x:c r="N78" t="str">
        <x:v>/drivers/DRV-011.jpg</x:v>
      </x:c>
      <x:c r="O78" t="str">
        <x:v>/images/documents/DRV-011_BANK_INFO.jpg</x:v>
      </x:c>
    </x:row>
    <x:row r="79">
      <x:c r="A79" t="str">
        <x:v>DRV-012</x:v>
      </x:c>
      <x:c r="B79" t="str">
        <x:v>Robert Johnson</x:v>
      </x:c>
      <x:c r="C79" t="str">
        <x:v>618-555-0100</x:v>
      </x:c>
      <x:c r="D79" t="str">
        <x:v>1040 Demo Street, Akron, OH</x:v>
      </x:c>
      <x:c r="E79" t="str">
        <x:v>READY</x:v>
      </x:c>
      <x:c r="F79" t="str">
        <x:v>CDL Summary</x:v>
      </x:c>
      <x:c r="G79" s="113" t="n">
        <x:v>46706</x:v>
      </x:c>
      <x:c r="H79" t="str">
        <x:v>/documents/drivers/DRV-012_CDL.pdf</x:v>
      </x:c>
      <x:c r="I79" t="str">
        <x:v>CDL</x:v>
      </x:c>
      <x:c r="J79" t="str">
        <x:v>/documents/drivers/DRV-012_CDL.pdf</x:v>
      </x:c>
      <x:c r="K79" t="str">
        <x:v>VALID</x:v>
      </x:c>
      <x:c r="L79" t="str">
        <x:v>DRV-012|CDL</x:v>
      </x:c>
      <x:c r="M79" t="str">
        <x:v>DRV-012_CDL.pdf</x:v>
      </x:c>
      <x:c r="N79" t="str">
        <x:v>/drivers/DRV-012.jpg</x:v>
      </x:c>
      <x:c r="O79" t="str">
        <x:v>/images/documents/DRV-012_CDL.jpg</x:v>
      </x:c>
    </x:row>
    <x:row r="80">
      <x:c r="A80" t="str">
        <x:v>DRV-012</x:v>
      </x:c>
      <x:c r="B80" t="str">
        <x:v>Robert Johnson</x:v>
      </x:c>
      <x:c r="C80" t="str">
        <x:v>618-555-0100</x:v>
      </x:c>
      <x:c r="D80" t="str">
        <x:v>1040 Demo Street, Akron, OH</x:v>
      </x:c>
      <x:c r="E80" t="str">
        <x:v>READY</x:v>
      </x:c>
      <x:c r="F80" t="str">
        <x:v>Medical Certification Summary</x:v>
      </x:c>
      <x:c r="G80" s="113" t="n">
        <x:v>46609</x:v>
      </x:c>
      <x:c r="H80" t="str">
        <x:v>/documents/drivers/DRV-012_MEDICAL.pdf</x:v>
      </x:c>
      <x:c r="I80" t="str">
        <x:v>MEDICAL_CARD</x:v>
      </x:c>
      <x:c r="J80" t="str">
        <x:v>/documents/drivers/DRV-012_MEDICAL.pdf</x:v>
      </x:c>
      <x:c r="K80" t="str">
        <x:v>VALID</x:v>
      </x:c>
      <x:c r="L80" t="str">
        <x:v>DRV-012|MEDICAL_CARD</x:v>
      </x:c>
      <x:c r="M80" t="str">
        <x:v>DRV-012_MEDICAL.pdf</x:v>
      </x:c>
      <x:c r="N80" t="str">
        <x:v>/drivers/DRV-012.jpg</x:v>
      </x:c>
      <x:c r="O80" t="str">
        <x:v>/images/documents/DRV-012_MEDICAL_CARD.jpg</x:v>
      </x:c>
    </x:row>
    <x:row r="81">
      <x:c r="A81" t="str">
        <x:v>DRV-012</x:v>
      </x:c>
      <x:c r="B81" t="str">
        <x:v>Robert Johnson</x:v>
      </x:c>
      <x:c r="C81" t="str">
        <x:v>618-555-0100</x:v>
      </x:c>
      <x:c r="D81" t="str">
        <x:v>1040 Demo Street, Akron, OH</x:v>
      </x:c>
      <x:c r="E81" t="str">
        <x:v>READY</x:v>
      </x:c>
      <x:c r="F81" t="str">
        <x:v>MVR Summary</x:v>
      </x:c>
      <x:c r="G81" s="113" t="n">
        <x:v>46519</x:v>
      </x:c>
      <x:c r="H81" t="str">
        <x:v>/documents/drivers/DRV-012_MVR.pdf</x:v>
      </x:c>
      <x:c r="I81" t="str">
        <x:v>MVR</x:v>
      </x:c>
      <x:c r="J81" t="str">
        <x:v>/documents/drivers/DRV-012_MVR.pdf</x:v>
      </x:c>
      <x:c r="K81" t="str">
        <x:v>VALID</x:v>
      </x:c>
      <x:c r="L81" t="str">
        <x:v>DRV-012|MVR</x:v>
      </x:c>
      <x:c r="M81" t="str">
        <x:v>DRV-012_MVR.pdf</x:v>
      </x:c>
      <x:c r="N81" t="str">
        <x:v>/drivers/DRV-012.jpg</x:v>
      </x:c>
      <x:c r="O81" t="str">
        <x:v>/images/documents/DRV-012_MVR.jpg</x:v>
      </x:c>
    </x:row>
    <x:row r="82">
      <x:c r="A82" t="str">
        <x:v>DRV-012</x:v>
      </x:c>
      <x:c r="B82" t="str">
        <x:v>Robert Johnson</x:v>
      </x:c>
      <x:c r="C82" t="str">
        <x:v>618-555-0100</x:v>
      </x:c>
      <x:c r="D82" t="str">
        <x:v>1040 Demo Street, Akron, OH</x:v>
      </x:c>
      <x:c r="E82" t="str">
        <x:v>VALID</x:v>
      </x:c>
      <x:c r="F82" t="str">
        <x:v>Employment Eligibility Summary</x:v>
      </x:c>
      <x:c r="G82" s="113" t="n">
        <x:v>46000</x:v>
      </x:c>
      <x:c r="H82" t="str">
        <x:v>/documents/drivers/DRV-012_I9.pdf</x:v>
      </x:c>
      <x:c r="I82" t="str">
        <x:v>I9</x:v>
      </x:c>
      <x:c r="J82" t="str">
        <x:v>/documents/drivers/DRV-012_I9.pdf</x:v>
      </x:c>
      <x:c r="K82" t="str">
        <x:v>EXPIRED</x:v>
      </x:c>
      <x:c r="L82" t="str">
        <x:v>DRV-012|I9</x:v>
      </x:c>
      <x:c r="M82" t="str">
        <x:v>DRV-012_I9.pdf</x:v>
      </x:c>
      <x:c r="N82" t="str">
        <x:v>/drivers/DRV-012.jpg</x:v>
      </x:c>
      <x:c r="O82" t="str">
        <x:v>/images/documents/DRV-012_I9.jpg</x:v>
      </x:c>
    </x:row>
    <x:row r="83">
      <x:c r="A83" t="str">
        <x:v>DRV-012</x:v>
      </x:c>
      <x:c r="B83" t="str">
        <x:v>Robert Johnson</x:v>
      </x:c>
      <x:c r="C83" t="str">
        <x:v>618-555-0100</x:v>
      </x:c>
      <x:c r="D83" t="str">
        <x:v>1040 Demo Street, Akron, OH</x:v>
      </x:c>
      <x:c r="E83" t="str">
        <x:v>VALID</x:v>
      </x:c>
      <x:c r="F83" t="str">
        <x:v>FMCSA Compliance Summary</x:v>
      </x:c>
      <x:c r="G83" s="113" t="n">
        <x:v>46147</x:v>
      </x:c>
      <x:c r="H83" t="str">
        <x:v>/documents/drivers/DRV-012_FMCSA.pdf</x:v>
      </x:c>
      <x:c r="I83" t="str">
        <x:v>FMCSA</x:v>
      </x:c>
      <x:c r="J83" t="str">
        <x:v>/documents/drivers/DRV-012_FMCSA.pdf</x:v>
      </x:c>
      <x:c r="K83" t="str">
        <x:v>EXPIRED</x:v>
      </x:c>
      <x:c r="L83" t="str">
        <x:v>DRV-012|FMCSA</x:v>
      </x:c>
      <x:c r="M83" t="str">
        <x:v>DRV-012_FMCSA.pdf</x:v>
      </x:c>
      <x:c r="N83" t="str">
        <x:v>/drivers/DRV-012.jpg</x:v>
      </x:c>
      <x:c r="O83" t="str">
        <x:v>/images/documents/DRV-012_FMCSA.jpg</x:v>
      </x:c>
    </x:row>
    <x:row r="84">
      <x:c r="A84" t="str">
        <x:v>DRV-012</x:v>
      </x:c>
      <x:c r="B84" t="str">
        <x:v>Robert Johnson</x:v>
      </x:c>
      <x:c r="C84" t="str">
        <x:v>618-555-0100</x:v>
      </x:c>
      <x:c r="D84" t="str">
        <x:v>1040 Demo Street, Akron, OH</x:v>
      </x:c>
      <x:c r="E84" t="str">
        <x:v>VALID</x:v>
      </x:c>
      <x:c r="F84" t="str">
        <x:v>W-9 Summary</x:v>
      </x:c>
      <x:c r="G84" s="113" t="n">
        <x:v>46018</x:v>
      </x:c>
      <x:c r="H84" t="str">
        <x:v>/documents/drivers/DRV-012_W9.pdf</x:v>
      </x:c>
      <x:c r="I84" t="str">
        <x:v>W9</x:v>
      </x:c>
      <x:c r="J84" t="str">
        <x:v>/documents/drivers/DRV-012_W9.pdf</x:v>
      </x:c>
      <x:c r="K84" t="str">
        <x:v>EXPIRED</x:v>
      </x:c>
      <x:c r="L84" t="str">
        <x:v>DRV-012|W9</x:v>
      </x:c>
      <x:c r="M84" t="str">
        <x:v>DRV-012_W9.pdf</x:v>
      </x:c>
      <x:c r="N84" t="str">
        <x:v>/drivers/DRV-012.jpg</x:v>
      </x:c>
      <x:c r="O84" t="str">
        <x:v>/images/documents/DRV-012_W9.jpg</x:v>
      </x:c>
    </x:row>
    <x:row r="85">
      <x:c r="A85" t="str">
        <x:v>DRV-012</x:v>
      </x:c>
      <x:c r="B85" t="str">
        <x:v>Robert Johnson</x:v>
      </x:c>
      <x:c r="C85" t="str">
        <x:v>618-555-0100</x:v>
      </x:c>
      <x:c r="D85" t="str">
        <x:v>1040 Demo Street, Akron, OH</x:v>
      </x:c>
      <x:c r="E85" t="str">
        <x:v>VALID</x:v>
      </x:c>
      <x:c r="F85" t="str">
        <x:v>Bank Information Sheet</x:v>
      </x:c>
      <x:c r="G85" s="113" t="n">
        <x:v>46069</x:v>
      </x:c>
      <x:c r="H85" t="str">
        <x:v>/documents/drivers/DRV-012_BANK_INFO.pdf</x:v>
      </x:c>
      <x:c r="I85" t="str">
        <x:v>BANK_INFO</x:v>
      </x:c>
      <x:c r="J85" t="str">
        <x:v>/documents/drivers/DRV-012_BANK_INFO.pdf</x:v>
      </x:c>
      <x:c r="K85" t="str">
        <x:v>EXPIRED</x:v>
      </x:c>
      <x:c r="L85" t="str">
        <x:v>DRV-012|BANK_INFO</x:v>
      </x:c>
      <x:c r="M85" t="str">
        <x:v>DRV-012_BANK_INFO.pdf</x:v>
      </x:c>
      <x:c r="N85" t="str">
        <x:v>/drivers/DRV-012.jpg</x:v>
      </x:c>
      <x:c r="O85" t="str">
        <x:v>/images/documents/DRV-012_BANK_INFO.jpg</x:v>
      </x:c>
    </x:row>
  </x:sheetData>
  <x:pageMargins left="0.7" right="0.7" top="0.75" bottom="0.75" header="0.3" footer="0.3"/>
  <x:tableParts count="2">
    <x:tablePart xmlns:r="http://schemas.openxmlformats.org/officeDocument/2006/relationships" r:id="R6a4b9a5688f44efa"/>
    <x:tablePart xmlns:r="http://schemas.openxmlformats.org/officeDocument/2006/relationships" r:id="Reddeb799c8f24a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20" style="24" customWidth="1"/>
    <x:col min="3" max="3" width="22" style="24" customWidth="1"/>
    <x:col min="4" max="4" width="21" style="24" customWidth="1"/>
    <x:col min="5" max="5" width="21" style="24" customWidth="1"/>
    <x:col min="6" max="6" width="28" style="24" customWidth="1"/>
    <x:col min="7" max="7" width="28" style="24" customWidth="1"/>
    <x:col min="8" max="8" width="14" style="24" customWidth="1"/>
  </x:cols>
  <x:sheetData>
    <x:row r="1">
      <x:c r="A1" s="49" t="inlineStr">
        <x:is>
          <x:t xml:space="preserve">Asset ID</x:t>
        </x:is>
      </x:c>
      <x:c r="B1" s="49" t="inlineStr">
        <x:is>
          <x:t xml:space="preserve">Assigned Driver ID</x:t>
        </x:is>
      </x:c>
      <x:c r="C1" s="49" t="inlineStr">
        <x:is>
          <x:t xml:space="preserve">Assigned Driver Name</x:t>
        </x:is>
      </x:c>
      <x:c r="D1" s="49" t="inlineStr">
        <x:is>
          <x:t xml:space="preserve">Last Service Date</x:t>
        </x:is>
      </x:c>
      <x:c r="E1" s="49" t="inlineStr">
        <x:is>
          <x:t xml:space="preserve">Next Service Date</x:t>
        </x:is>
      </x:c>
      <x:c r="F1" s="49" t="inlineStr">
        <x:is>
          <x:t xml:space="preserve">Status Indicator</x:t>
        </x:is>
      </x:c>
      <x:c r="G1" s="49" t="inlineStr">
        <x:is>
          <x:t xml:space="preserve">Service Status</x:t>
        </x:is>
      </x:c>
      <x:c r="H1" s="49" t="inlineStr">
        <x:is>
          <x:t xml:space="preserve">Export Ready</x:t>
        </x:is>
      </x:c>
    </x:row>
    <x:row r="2">
      <x:c r="A2" t="inlineStr">
        <x:is>
          <x:t xml:space="preserve">T-101</x:t>
        </x:is>
      </x:c>
      <x:c r="B2" t="inlineStr">
        <x:is>
          <x:t xml:space="preserve">DRV-012</x:t>
        </x:is>
      </x:c>
      <x:c r="D2" s="63" t="n">
        <x:v>45777</x:v>
      </x:c>
      <x:c r="E2" s="63" t="n">
        <x:v>46119</x:v>
      </x:c>
      <x:c r="F2" t="str">
        <x:f>IF(E2&lt;TODAY(),"EXPIRED",IF(E2&lt;=TODAY()+30,"DUE_SOON","OK"))</x:f>
        <x:v>EXPIRED</x:v>
      </x:c>
      <x:c r="G2" t="str">
        <x:f>IF(E2&lt;TODAY(),"EXPIRED",IF(E2&lt;=TODAY()+30,"DUE_SOON","OK"))</x:f>
        <x:v>EXPIRED</x:v>
      </x:c>
      <x:c r="H2" t="inlineStr">
        <x:is>
          <x:t xml:space="preserve">YES</x:t>
        </x:is>
      </x:c>
    </x:row>
    <x:row r="3">
      <x:c r="A3" t="inlineStr">
        <x:is>
          <x:t xml:space="preserve">T-102</x:t>
        </x:is>
      </x:c>
      <x:c r="B3" t="inlineStr">
        <x:is>
          <x:t xml:space="preserve">DRV-001</x:t>
        </x:is>
      </x:c>
      <x:c r="C3" t="inlineStr">
        <x:is>
          <x:t xml:space="preserve">John Carter</x:t>
        </x:is>
      </x:c>
      <x:c r="D3" s="63" t="n">
        <x:v>46011</x:v>
      </x:c>
      <x:c r="E3" s="63" t="n">
        <x:v>46067</x:v>
      </x:c>
      <x:c r="F3" t="str">
        <x:f>IF(E3&lt;TODAY(),"EXPIRED",IF(E3&lt;=TODAY()+30,"DUE_SOON","OK"))</x:f>
        <x:v>EXPIRED</x:v>
      </x:c>
      <x:c r="G3" t="str">
        <x:f>IF(E3&lt;TODAY(),"EXPIRED",IF(E3&lt;=TODAY()+30,"DUE_SOON","OK"))</x:f>
        <x:v>EXPIRED</x:v>
      </x:c>
      <x:c r="H3" t="inlineStr">
        <x:is>
          <x:t xml:space="preserve">YES</x:t>
        </x:is>
      </x:c>
    </x:row>
    <x:row r="4">
      <x:c r="A4" t="inlineStr">
        <x:is>
          <x:t xml:space="preserve">T-103</x:t>
        </x:is>
      </x:c>
      <x:c r="B4" t="inlineStr">
        <x:is>
          <x:t xml:space="preserve">DRV-006</x:t>
        </x:is>
      </x:c>
      <x:c r="C4" t="inlineStr">
        <x:is>
          <x:t xml:space="preserve">Marcus Chen</x:t>
        </x:is>
      </x:c>
      <x:c r="D4" s="63" t="n">
        <x:v>45781</x:v>
      </x:c>
      <x:c r="E4" s="63" t="n">
        <x:v>46095</x:v>
      </x:c>
      <x:c r="F4" t="str">
        <x:f>IF(E4&lt;TODAY(),"EXPIRED",IF(E4&lt;=TODAY()+30,"DUE_SOON","OK"))</x:f>
        <x:v>EXPIRED</x:v>
      </x:c>
      <x:c r="G4" t="str">
        <x:f>IF(E4&lt;TODAY(),"EXPIRED",IF(E4&lt;=TODAY()+30,"DUE_SOON","OK"))</x:f>
        <x:v>EXPIRED</x:v>
      </x:c>
      <x:c r="H4" t="inlineStr">
        <x:is>
          <x:t xml:space="preserve">YES</x:t>
        </x:is>
      </x:c>
    </x:row>
    <x:row r="5">
      <x:c r="A5" t="inlineStr">
        <x:is>
          <x:t xml:space="preserve">T-104</x:t>
        </x:is>
      </x:c>
      <x:c r="B5" t="inlineStr">
        <x:is>
          <x:t xml:space="preserve">DRV-005</x:t>
        </x:is>
      </x:c>
      <x:c r="C5" t="inlineStr">
        <x:is>
          <x:t xml:space="preserve">Kenji Tanaka</x:t>
        </x:is>
      </x:c>
      <x:c r="D5" s="63" t="n">
        <x:v>45726</x:v>
      </x:c>
      <x:c r="E5" s="63" t="n">
        <x:v>46077</x:v>
      </x:c>
      <x:c r="F5" t="str">
        <x:f>IF(E5&lt;TODAY(),"EXPIRED",IF(E5&lt;=TODAY()+30,"DUE_SOON","OK"))</x:f>
        <x:v>EXPIRED</x:v>
      </x:c>
      <x:c r="G5" t="str">
        <x:f>IF(E5&lt;TODAY(),"EXPIRED",IF(E5&lt;=TODAY()+30,"DUE_SOON","OK"))</x:f>
        <x:v>EXPIRED</x:v>
      </x:c>
      <x:c r="H5" t="inlineStr">
        <x:is>
          <x:t xml:space="preserve">YES</x:t>
        </x:is>
      </x:c>
    </x:row>
    <x:row r="6">
      <x:c r="A6" t="inlineStr">
        <x:is>
          <x:t xml:space="preserve">T-105</x:t>
        </x:is>
      </x:c>
      <x:c r="B6" t="inlineStr">
        <x:is>
          <x:t xml:space="preserve">DRV-010</x:t>
        </x:is>
      </x:c>
      <x:c r="C6" t="inlineStr">
        <x:is>
          <x:t xml:space="preserve">Noah Wilson</x:t>
        </x:is>
      </x:c>
      <x:c r="D6" s="63" t="n">
        <x:v>45747</x:v>
      </x:c>
      <x:c r="E6" s="63" t="n">
        <x:v>46165</x:v>
      </x:c>
      <x:c r="F6" t="str">
        <x:f>IF(E6&lt;TODAY(),"EXPIRED",IF(E6&lt;=TODAY()+30,"DUE_SOON","OK"))</x:f>
        <x:v>DUE_SOON</x:v>
      </x:c>
      <x:c r="G6" t="str">
        <x:f>IF(E6&lt;TODAY(),"EXPIRED",IF(E6&lt;=TODAY()+30,"DUE_SOON","OK"))</x:f>
        <x:v>DUE_SOON</x:v>
      </x:c>
      <x:c r="H6" t="inlineStr">
        <x:is>
          <x:t xml:space="preserve">YES</x:t>
        </x:is>
      </x:c>
    </x:row>
    <x:row r="7">
      <x:c r="A7" t="inlineStr">
        <x:is>
          <x:t xml:space="preserve">T-106</x:t>
        </x:is>
      </x:c>
      <x:c r="B7" t="inlineStr">
        <x:is>
          <x:t xml:space="preserve">DRV-008</x:t>
        </x:is>
      </x:c>
      <x:c r="C7" t="inlineStr">
        <x:is>
          <x:t xml:space="preserve">Liam Smith</x:t>
        </x:is>
      </x:c>
      <x:c r="D7" s="63" t="n">
        <x:v>45662</x:v>
      </x:c>
      <x:c r="E7" s="63" t="n">
        <x:v>46105</x:v>
      </x:c>
      <x:c r="F7" t="str">
        <x:f>IF(E7&lt;TODAY(),"EXPIRED",IF(E7&lt;=TODAY()+30,"DUE_SOON","OK"))</x:f>
        <x:v>EXPIRED</x:v>
      </x:c>
      <x:c r="G7" t="str">
        <x:f>IF(E7&lt;TODAY(),"EXPIRED",IF(E7&lt;=TODAY()+30,"DUE_SOON","OK"))</x:f>
        <x:v>EXPIRED</x:v>
      </x:c>
      <x:c r="H7" t="inlineStr">
        <x:is>
          <x:t xml:space="preserve">YES</x:t>
        </x:is>
      </x:c>
    </x:row>
    <x:row r="8">
      <x:c r="A8" t="inlineStr">
        <x:is>
          <x:t xml:space="preserve">T-107</x:t>
        </x:is>
      </x:c>
      <x:c r="B8" t="inlineStr">
        <x:is>
          <x:t xml:space="preserve">DRV-003</x:t>
        </x:is>
      </x:c>
      <x:c r="C8" t="inlineStr">
        <x:is>
          <x:t xml:space="preserve">Alex Kim</x:t>
        </x:is>
      </x:c>
      <x:c r="D8" s="63" t="n">
        <x:v>45821</x:v>
      </x:c>
      <x:c r="E8" s="63" t="n">
        <x:v>46067</x:v>
      </x:c>
      <x:c r="F8" t="str">
        <x:f>IF(E8&lt;TODAY(),"EXPIRED",IF(E8&lt;=TODAY()+30,"DUE_SOON","OK"))</x:f>
        <x:v>EXPIRED</x:v>
      </x:c>
      <x:c r="G8" t="str">
        <x:f>IF(E8&lt;TODAY(),"EXPIRED",IF(E8&lt;=TODAY()+30,"DUE_SOON","OK"))</x:f>
        <x:v>EXPIRED</x:v>
      </x:c>
      <x:c r="H8" t="inlineStr">
        <x:is>
          <x:t xml:space="preserve">YES</x:t>
        </x:is>
      </x:c>
    </x:row>
    <x:row r="9">
      <x:c r="A9" t="inlineStr">
        <x:is>
          <x:t xml:space="preserve">T-108</x:t>
        </x:is>
      </x:c>
      <x:c r="B9" t="inlineStr">
        <x:is>
          <x:t xml:space="preserve">DRV-004</x:t>
        </x:is>
      </x:c>
      <x:c r="C9" t="inlineStr">
        <x:is>
          <x:t xml:space="preserve">Priya Patel</x:t>
        </x:is>
      </x:c>
      <x:c r="D9" s="63" t="n">
        <x:v>45764</x:v>
      </x:c>
      <x:c r="E9" s="63" t="n">
        <x:v>46127</x:v>
      </x:c>
      <x:c r="F9" t="str">
        <x:f>IF(E9&lt;TODAY(),"EXPIRED",IF(E9&lt;=TODAY()+30,"DUE_SOON","OK"))</x:f>
        <x:v>EXPIRED</x:v>
      </x:c>
      <x:c r="G9" t="str">
        <x:f>IF(E9&lt;TODAY(),"EXPIRED",IF(E9&lt;=TODAY()+30,"DUE_SOON","OK"))</x:f>
        <x:v>EXPIRED</x:v>
      </x:c>
      <x:c r="H9" t="inlineStr">
        <x:is>
          <x:t xml:space="preserve">YES</x:t>
        </x:is>
      </x:c>
    </x:row>
    <x:row r="10">
      <x:c r="A10" t="inlineStr">
        <x:is>
          <x:t xml:space="preserve">T-109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s="63" t="n">
        <x:v>45879</x:v>
      </x:c>
      <x:c r="E10" s="63" t="n">
        <x:v>46062</x:v>
      </x:c>
      <x:c r="F10" t="str">
        <x:f>IF(E10&lt;TODAY(),"EXPIRED",IF(E10&lt;=TODAY()+30,"DUE_SOON","OK"))</x:f>
        <x:v>EXPIRED</x:v>
      </x:c>
      <x:c r="G10" t="str">
        <x:f>IF(E10&lt;TODAY(),"EXPIRED",IF(E10&lt;=TODAY()+30,"DUE_SOON","OK"))</x:f>
        <x:v>EXPIRED</x:v>
      </x:c>
      <x:c r="H10" t="inlineStr">
        <x:is>
          <x:t xml:space="preserve">YES</x:t>
        </x:is>
      </x:c>
    </x:row>
    <x:row r="11">
      <x:c r="A11" t="inlineStr">
        <x:is>
          <x:t xml:space="preserve">T-110</x:t>
        </x:is>
      </x:c>
      <x:c r="B11" t="inlineStr">
        <x:is>
          <x:t xml:space="preserve">DRV-004</x:t>
        </x:is>
      </x:c>
      <x:c r="C11" t="inlineStr">
        <x:is>
          <x:t xml:space="preserve">Priya Patel</x:t>
        </x:is>
      </x:c>
      <x:c r="D11" s="63" t="n">
        <x:v>45997</x:v>
      </x:c>
      <x:c r="E11" s="63" t="n">
        <x:v>46096</x:v>
      </x:c>
      <x:c r="F11" t="str">
        <x:f>IF(E11&lt;TODAY(),"EXPIRED",IF(E11&lt;=TODAY()+30,"DUE_SOON","OK"))</x:f>
        <x:v>EXPIRED</x:v>
      </x:c>
      <x:c r="G11" t="str">
        <x:f>IF(E11&lt;TODAY(),"EXPIRED",IF(E11&lt;=TODAY()+30,"DUE_SOON","OK"))</x:f>
        <x:v>EXPIRED</x:v>
      </x:c>
      <x:c r="H11" t="inlineStr">
        <x:is>
          <x:t xml:space="preserve">YES</x:t>
        </x:is>
      </x:c>
    </x:row>
    <x:row r="12">
      <x:c r="A12" t="inlineStr">
        <x:is>
          <x:t xml:space="preserve">T-111</x:t>
        </x:is>
      </x:c>
      <x:c r="B12" t="inlineStr">
        <x:is>
          <x:t xml:space="preserve">DRV-007</x:t>
        </x:is>
      </x:c>
      <x:c r="C12" t="inlineStr">
        <x:is>
          <x:t xml:space="preserve">Sofia Gomez</x:t>
        </x:is>
      </x:c>
      <x:c r="D12" s="63" t="n">
        <x:v>46012</x:v>
      </x:c>
      <x:c r="E12" s="63" t="n">
        <x:v>46158</x:v>
      </x:c>
      <x:c r="F12" t="str">
        <x:f>IF(E12&lt;TODAY(),"EXPIRED",IF(E12&lt;=TODAY()+30,"DUE_SOON","OK"))</x:f>
        <x:v>DUE_SOON</x:v>
      </x:c>
      <x:c r="G12" t="str">
        <x:f>IF(E12&lt;TODAY(),"EXPIRED",IF(E12&lt;=TODAY()+30,"DUE_SOON","OK"))</x:f>
        <x:v>DUE_SOON</x:v>
      </x:c>
      <x:c r="H12" t="inlineStr">
        <x:is>
          <x:t xml:space="preserve">YES</x:t>
        </x:is>
      </x:c>
    </x:row>
    <x:row r="13">
      <x:c r="A13" t="inlineStr">
        <x:is>
          <x:t xml:space="preserve">T-112</x:t>
        </x:is>
      </x:c>
      <x:c r="B13" t="inlineStr">
        <x:is>
          <x:t xml:space="preserve">DRV-005</x:t>
        </x:is>
      </x:c>
      <x:c r="C13" t="inlineStr">
        <x:is>
          <x:t xml:space="preserve">Kenji Tanaka</x:t>
        </x:is>
      </x:c>
      <x:c r="D13" s="63" t="n">
        <x:v>46021</x:v>
      </x:c>
      <x:c r="E13" s="63" t="n">
        <x:v>46171</x:v>
      </x:c>
      <x:c r="F13" t="str">
        <x:f>IF(E13&lt;TODAY(),"EXPIRED",IF(E13&lt;=TODAY()+30,"DUE_SOON","OK"))</x:f>
        <x:v>DUE_SOON</x:v>
      </x:c>
      <x:c r="G13" t="str">
        <x:f>IF(E13&lt;TODAY(),"EXPIRED",IF(E13&lt;=TODAY()+30,"DUE_SOON","OK"))</x:f>
        <x:v>DUE_SOON</x:v>
      </x:c>
      <x:c r="H13" t="inlineStr">
        <x:is>
          <x:t xml:space="preserve">YES</x:t>
        </x:is>
      </x:c>
    </x:row>
    <x:row r="14">
      <x:c r="A14" t="inlineStr">
        <x:is>
          <x:t xml:space="preserve">T-113</x:t>
        </x:is>
      </x:c>
      <x:c r="B14" t="inlineStr">
        <x:is>
          <x:t xml:space="preserve">DRV-004</x:t>
        </x:is>
      </x:c>
      <x:c r="C14" t="inlineStr">
        <x:is>
          <x:t xml:space="preserve">Priya Patel</x:t>
        </x:is>
      </x:c>
      <x:c r="D14" s="63" t="n">
        <x:v>45907</x:v>
      </x:c>
      <x:c r="E14" s="63" t="n">
        <x:v>46090</x:v>
      </x:c>
      <x:c r="F14" t="str">
        <x:f>IF(E14&lt;TODAY(),"EXPIRED",IF(E14&lt;=TODAY()+30,"DUE_SOON","OK"))</x:f>
        <x:v>EXPIRED</x:v>
      </x:c>
      <x:c r="G14" t="str">
        <x:f>IF(E14&lt;TODAY(),"EXPIRED",IF(E14&lt;=TODAY()+30,"DUE_SOON","OK"))</x:f>
        <x:v>EXPIRED</x:v>
      </x:c>
      <x:c r="H14" t="inlineStr">
        <x:is>
          <x:t xml:space="preserve">YES</x:t>
        </x:is>
      </x:c>
    </x:row>
    <x:row r="15">
      <x:c r="A15" t="inlineStr">
        <x:is>
          <x:t xml:space="preserve">T-114</x:t>
        </x:is>
      </x:c>
      <x:c r="B15" t="inlineStr">
        <x:is>
          <x:t xml:space="preserve">DRV-011</x:t>
        </x:is>
      </x:c>
      <x:c r="C15" t="inlineStr">
        <x:is>
          <x:t xml:space="preserve">Olivia Lee</x:t>
        </x:is>
      </x:c>
      <x:c r="D15" s="63" t="n">
        <x:v>45916</x:v>
      </x:c>
      <x:c r="E15" s="63" t="n">
        <x:v>46171</x:v>
      </x:c>
      <x:c r="F15" t="str">
        <x:f>IF(E15&lt;TODAY(),"EXPIRED",IF(E15&lt;=TODAY()+30,"DUE_SOON","OK"))</x:f>
        <x:v>DUE_SOON</x:v>
      </x:c>
      <x:c r="G15" t="str">
        <x:f>IF(E15&lt;TODAY(),"EXPIRED",IF(E15&lt;=TODAY()+30,"DUE_SOON","OK"))</x:f>
        <x:v>DUE_SOON</x:v>
      </x:c>
      <x:c r="H15" t="inlineStr">
        <x:is>
          <x:t xml:space="preserve">YES</x:t>
        </x:is>
      </x:c>
    </x:row>
    <x:row r="16">
      <x:c r="A16" t="inlineStr">
        <x:is>
          <x:t xml:space="preserve">T-115</x:t>
        </x:is>
      </x:c>
      <x:c r="B16" t="inlineStr">
        <x:is>
          <x:t xml:space="preserve">DRV-012</x:t>
        </x:is>
      </x:c>
      <x:c r="D16" s="63" t="n">
        <x:v>45848</x:v>
      </x:c>
      <x:c r="E16" s="63" t="n">
        <x:v>46100</x:v>
      </x:c>
      <x:c r="F16" t="str">
        <x:f>IF(E16&lt;TODAY(),"EXPIRED",IF(E16&lt;=TODAY()+30,"DUE_SOON","OK"))</x:f>
        <x:v>EXPIRED</x:v>
      </x:c>
      <x:c r="G16" t="str">
        <x:f>IF(E16&lt;TODAY(),"EXPIRED",IF(E16&lt;=TODAY()+30,"DUE_SOON","OK"))</x:f>
        <x:v>EXPIRED</x:v>
      </x:c>
      <x:c r="H16" t="inlineStr">
        <x:is>
          <x:t xml:space="preserve">YES</x:t>
        </x:is>
      </x:c>
    </x:row>
    <x:row r="17">
      <x:c r="A17" t="inlineStr">
        <x:is>
          <x:t xml:space="preserve">T-116</x:t>
        </x:is>
      </x:c>
      <x:c r="B17" t="inlineStr">
        <x:is>
          <x:t xml:space="preserve">DRV-004</x:t>
        </x:is>
      </x:c>
      <x:c r="C17" t="inlineStr">
        <x:is>
          <x:t xml:space="preserve">Priya Patel</x:t>
        </x:is>
      </x:c>
      <x:c r="D17" s="63" t="n">
        <x:v>45681</x:v>
      </x:c>
      <x:c r="E17" s="63" t="n">
        <x:v>46166</x:v>
      </x:c>
      <x:c r="F17" t="str">
        <x:f>IF(E17&lt;TODAY(),"EXPIRED",IF(E17&lt;=TODAY()+30,"DUE_SOON","OK"))</x:f>
        <x:v>DUE_SOON</x:v>
      </x:c>
      <x:c r="G17" t="str">
        <x:f>IF(E17&lt;TODAY(),"EXPIRED",IF(E17&lt;=TODAY()+30,"DUE_SOON","OK"))</x:f>
        <x:v>DUE_SOON</x:v>
      </x:c>
      <x:c r="H17" t="inlineStr">
        <x:is>
          <x:t xml:space="preserve">YES</x:t>
        </x:is>
      </x:c>
    </x:row>
    <x:row r="18">
      <x:c r="A18" t="inlineStr">
        <x:is>
          <x:t xml:space="preserve">T-117</x:t>
        </x:is>
      </x:c>
      <x:c r="B18" t="inlineStr">
        <x:is>
          <x:t xml:space="preserve">DRV-006</x:t>
        </x:is>
      </x:c>
      <x:c r="C18" t="inlineStr">
        <x:is>
          <x:t xml:space="preserve">Marcus Chen</x:t>
        </x:is>
      </x:c>
      <x:c r="D18" s="63" t="n">
        <x:v>45785</x:v>
      </x:c>
      <x:c r="E18" s="63" t="n">
        <x:v>46069</x:v>
      </x:c>
      <x:c r="F18" t="str">
        <x:f>IF(E18&lt;TODAY(),"EXPIRED",IF(E18&lt;=TODAY()+30,"DUE_SOON","OK"))</x:f>
        <x:v>EXPIRED</x:v>
      </x:c>
      <x:c r="G18" t="str">
        <x:f>IF(E18&lt;TODAY(),"EXPIRED",IF(E18&lt;=TODAY()+30,"DUE_SOON","OK"))</x:f>
        <x:v>EXPIRED</x:v>
      </x:c>
      <x:c r="H18" t="inlineStr">
        <x:is>
          <x:t xml:space="preserve">YES</x:t>
        </x:is>
      </x:c>
    </x:row>
    <x:row r="19">
      <x:c r="A19" t="inlineStr">
        <x:is>
          <x:t xml:space="preserve">T-118</x:t>
        </x:is>
      </x:c>
      <x:c r="B19" t="inlineStr">
        <x:is>
          <x:t xml:space="preserve">DRV-011</x:t>
        </x:is>
      </x:c>
      <x:c r="C19" t="inlineStr">
        <x:is>
          <x:t xml:space="preserve">Olivia Lee</x:t>
        </x:is>
      </x:c>
      <x:c r="D19" s="63" t="n">
        <x:v>45916</x:v>
      </x:c>
      <x:c r="E19" s="63" t="n">
        <x:v>46134</x:v>
      </x:c>
      <x:c r="F19" t="str">
        <x:f>IF(E19&lt;TODAY(),"EXPIRED",IF(E19&lt;=TODAY()+30,"DUE_SOON","OK"))</x:f>
        <x:v>EXPIRED</x:v>
      </x:c>
      <x:c r="G19" t="str">
        <x:f>IF(E19&lt;TODAY(),"EXPIRED",IF(E19&lt;=TODAY()+30,"DUE_SOON","OK"))</x:f>
        <x:v>EXPIRED</x:v>
      </x:c>
      <x:c r="H19" t="inlineStr">
        <x:is>
          <x:t xml:space="preserve">YES</x:t>
        </x:is>
      </x:c>
    </x:row>
    <x:row r="20">
      <x:c r="A20" t="inlineStr">
        <x:is>
          <x:t xml:space="preserve">T-119</x:t>
        </x:is>
      </x:c>
      <x:c r="B20" t="inlineStr">
        <x:is>
          <x:t xml:space="preserve">DRV-006</x:t>
        </x:is>
      </x:c>
      <x:c r="C20" t="inlineStr">
        <x:is>
          <x:t xml:space="preserve">Marcus Chen</x:t>
        </x:is>
      </x:c>
      <x:c r="D20" s="63" t="n">
        <x:v>45959</x:v>
      </x:c>
      <x:c r="E20" s="63" t="n">
        <x:v>46129</x:v>
      </x:c>
      <x:c r="F20" t="str">
        <x:f>IF(E20&lt;TODAY(),"EXPIRED",IF(E20&lt;=TODAY()+30,"DUE_SOON","OK"))</x:f>
        <x:v>EXPIRED</x:v>
      </x:c>
      <x:c r="G20" t="str">
        <x:f>IF(E20&lt;TODAY(),"EXPIRED",IF(E20&lt;=TODAY()+30,"DUE_SOON","OK"))</x:f>
        <x:v>EXPIRED</x:v>
      </x:c>
      <x:c r="H20" t="inlineStr">
        <x:is>
          <x:t xml:space="preserve">YES</x:t>
        </x:is>
      </x:c>
    </x:row>
    <x:row r="21">
      <x:c r="A21" t="inlineStr">
        <x:is>
          <x:t xml:space="preserve">T-120</x:t>
        </x:is>
      </x:c>
      <x:c r="B21" t="inlineStr">
        <x:is>
          <x:t xml:space="preserve">DRV-008</x:t>
        </x:is>
      </x:c>
      <x:c r="C21" t="inlineStr">
        <x:is>
          <x:t xml:space="preserve">Liam Smith</x:t>
        </x:is>
      </x:c>
      <x:c r="D21" s="63" t="n">
        <x:v>45986</x:v>
      </x:c>
      <x:c r="E21" s="63" t="n">
        <x:v>46098</x:v>
      </x:c>
      <x:c r="F21" t="str">
        <x:f>IF(E21&lt;TODAY(),"EXPIRED",IF(E21&lt;=TODAY()+30,"DUE_SOON","OK"))</x:f>
        <x:v>EXPIRED</x:v>
      </x:c>
      <x:c r="G21" t="str">
        <x:f>IF(E21&lt;TODAY(),"EXPIRED",IF(E21&lt;=TODAY()+30,"DUE_SOON","OK"))</x:f>
        <x:v>EXPIRED</x:v>
      </x:c>
      <x:c r="H21" t="inlineStr">
        <x:is>
          <x:t xml:space="preserve">YES</x:t>
        </x:is>
      </x:c>
    </x:row>
    <x:row r="22">
      <x:c r="A22" t="inlineStr">
        <x:is>
          <x:t xml:space="preserve">T-121</x:t>
        </x:is>
      </x:c>
      <x:c r="B22" t="inlineStr">
        <x:is>
          <x:t xml:space="preserve">DRV-001</x:t>
        </x:is>
      </x:c>
      <x:c r="C22" t="inlineStr">
        <x:is>
          <x:t xml:space="preserve">John Carter</x:t>
        </x:is>
      </x:c>
      <x:c r="D22" s="63" t="n">
        <x:v>45743</x:v>
      </x:c>
      <x:c r="E22" s="63" t="n">
        <x:v>46064</x:v>
      </x:c>
      <x:c r="F22" t="str">
        <x:f>IF(E22&lt;TODAY(),"EXPIRED",IF(E22&lt;=TODAY()+30,"DUE_SOON","OK"))</x:f>
        <x:v>EXPIRED</x:v>
      </x:c>
      <x:c r="G22" t="str">
        <x:f>IF(E22&lt;TODAY(),"EXPIRED",IF(E22&lt;=TODAY()+30,"DUE_SOON","OK"))</x:f>
        <x:v>EXPIRED</x:v>
      </x:c>
      <x:c r="H22" t="inlineStr">
        <x:is>
          <x:t xml:space="preserve">YES</x:t>
        </x:is>
      </x:c>
    </x:row>
    <x:row r="23">
      <x:c r="A23" t="inlineStr">
        <x:is>
          <x:t xml:space="preserve">T-122</x:t>
        </x:is>
      </x:c>
      <x:c r="B23" t="inlineStr">
        <x:is>
          <x:t xml:space="preserve">DRV-002</x:t>
        </x:is>
      </x:c>
      <x:c r="C23" t="inlineStr">
        <x:is>
          <x:t xml:space="preserve">Maria Lopez</x:t>
        </x:is>
      </x:c>
      <x:c r="D23" s="63" t="n">
        <x:v>45843</x:v>
      </x:c>
      <x:c r="E23" s="63" t="n">
        <x:v>46106</x:v>
      </x:c>
      <x:c r="F23" t="str">
        <x:f>IF(E23&lt;TODAY(),"EXPIRED",IF(E23&lt;=TODAY()+30,"DUE_SOON","OK"))</x:f>
        <x:v>EXPIRED</x:v>
      </x:c>
      <x:c r="G23" t="str">
        <x:f>IF(E23&lt;TODAY(),"EXPIRED",IF(E23&lt;=TODAY()+30,"DUE_SOON","OK"))</x:f>
        <x:v>EXPIRED</x:v>
      </x:c>
      <x:c r="H23" t="inlineStr">
        <x:is>
          <x:t xml:space="preserve">YES</x:t>
        </x:is>
      </x:c>
    </x:row>
    <x:row r="24">
      <x:c r="A24" t="inlineStr">
        <x:is>
          <x:t xml:space="preserve">T-123</x:t>
        </x:is>
      </x:c>
      <x:c r="B24" t="inlineStr">
        <x:is>
          <x:t xml:space="preserve">DRV-003</x:t>
        </x:is>
      </x:c>
      <x:c r="C24" t="inlineStr">
        <x:is>
          <x:t xml:space="preserve">Alex Kim</x:t>
        </x:is>
      </x:c>
      <x:c r="D24" s="63" t="n">
        <x:v>45951</x:v>
      </x:c>
      <x:c r="E24" s="63" t="n">
        <x:v>46100</x:v>
      </x:c>
      <x:c r="F24" t="str">
        <x:f>IF(E24&lt;TODAY(),"EXPIRED",IF(E24&lt;=TODAY()+30,"DUE_SOON","OK"))</x:f>
        <x:v>EXPIRED</x:v>
      </x:c>
      <x:c r="G24" t="str">
        <x:f>IF(E24&lt;TODAY(),"EXPIRED",IF(E24&lt;=TODAY()+30,"DUE_SOON","OK"))</x:f>
        <x:v>EXPIRED</x:v>
      </x:c>
      <x:c r="H24" t="inlineStr">
        <x:is>
          <x:t xml:space="preserve">YES</x:t>
        </x:is>
      </x:c>
    </x:row>
    <x:row r="25">
      <x:c r="A25" t="inlineStr">
        <x:is>
          <x:t xml:space="preserve">T-124</x:t>
        </x:is>
      </x:c>
      <x:c r="B25" t="inlineStr">
        <x:is>
          <x:t xml:space="preserve">DRV-002</x:t>
        </x:is>
      </x:c>
      <x:c r="C25" t="inlineStr">
        <x:is>
          <x:t xml:space="preserve">Maria Lopez</x:t>
        </x:is>
      </x:c>
      <x:c r="D25" s="63" t="n">
        <x:v>45873</x:v>
      </x:c>
      <x:c r="E25" s="63" t="n">
        <x:v>46102</x:v>
      </x:c>
      <x:c r="F25" t="str">
        <x:f>IF(E25&lt;TODAY(),"EXPIRED",IF(E25&lt;=TODAY()+30,"DUE_SOON","OK"))</x:f>
        <x:v>EXPIRED</x:v>
      </x:c>
      <x:c r="G25" t="str">
        <x:f>IF(E25&lt;TODAY(),"EXPIRED",IF(E25&lt;=TODAY()+30,"DUE_SOON","OK"))</x:f>
        <x:v>EXPIRED</x:v>
      </x:c>
      <x:c r="H25" t="inlineStr">
        <x:is>
          <x:t xml:space="preserve">YES</x:t>
        </x:is>
      </x:c>
    </x:row>
    <x:row r="26">
      <x:c r="A26" t="inlineStr">
        <x:is>
          <x:t xml:space="preserve">T-125</x:t>
        </x:is>
      </x:c>
      <x:c r="B26" t="inlineStr">
        <x:is>
          <x:t xml:space="preserve">DRV-002</x:t>
        </x:is>
      </x:c>
      <x:c r="C26" t="inlineStr">
        <x:is>
          <x:t xml:space="preserve">Maria Lopez</x:t>
        </x:is>
      </x:c>
      <x:c r="D26" s="63" t="n">
        <x:v>45773</x:v>
      </x:c>
      <x:c r="E26" s="63" t="n">
        <x:v>46084</x:v>
      </x:c>
      <x:c r="F26" t="str">
        <x:f>IF(E26&lt;TODAY(),"EXPIRED",IF(E26&lt;=TODAY()+30,"DUE_SOON","OK"))</x:f>
        <x:v>EXPIRED</x:v>
      </x:c>
      <x:c r="G26" t="str">
        <x:f>IF(E26&lt;TODAY(),"EXPIRED",IF(E26&lt;=TODAY()+30,"DUE_SOON","OK"))</x:f>
        <x:v>EXPIRED</x:v>
      </x:c>
      <x:c r="H26" t="inlineStr">
        <x:is>
          <x:t xml:space="preserve">YES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7687a466077a4fda"/>
    <x:tablePart xmlns:r="http://schemas.openxmlformats.org/officeDocument/2006/relationships" r:id="Rd7dcd5b86e834a1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11" style="24" customWidth="1"/>
    <x:col min="3" max="3" width="14" style="24" customWidth="1"/>
    <x:col min="4" max="4" width="10" style="24" customWidth="1"/>
    <x:col min="5" max="5" width="10" style="24" customWidth="1"/>
    <x:col min="6" max="6" width="14" style="24" customWidth="1"/>
    <x:col min="7" max="7" width="19" style="24" customWidth="1"/>
    <x:col min="8" max="8" width="13" style="24" customWidth="1"/>
    <x:col min="9" max="9" width="27" style="24" customWidth="1"/>
    <x:col min="10" max="10" width="22" style="24" customWidth="1"/>
    <x:col min="11" max="11" width="21" style="24" customWidth="1"/>
    <x:col min="12" max="12" width="24" style="24" customWidth="1"/>
    <x:col min="13" max="13" width="23" style="24" customWidth="1"/>
    <x:col min="14" max="14" width="28" style="24" customWidth="1"/>
    <x:col min="15" max="15" width="28" style="24" customWidth="1"/>
    <x:col min="16" max="16" width="26" style="24" customWidth="1"/>
    <x:col min="17" max="17" width="28" style="24" customWidth="1"/>
    <x:col min="18" max="18" width="28" style="24" customWidth="1"/>
    <x:col min="19" max="19" width="23" style="24" customWidth="1"/>
    <x:col min="20" max="20" width="17" style="24" customWidth="1"/>
    <x:col min="21" max="21" width="15" style="24" customWidth="1"/>
    <x:col min="22" max="22" width="18" style="24" customWidth="1"/>
    <x:col min="23" max="23" width="16" style="24" customWidth="1"/>
    <x:col min="24" max="24" width="20" style="24" customWidth="1"/>
    <x:col min="25" max="25" width="30" style="24" customWidth="1"/>
    <x:col min="26" max="26" width="30" style="24" customWidth="1"/>
    <x:col min="27" max="27" width="30" style="24" customWidth="1"/>
    <x:col min="28" max="28" width="30" style="24" customWidth="1"/>
    <x:col min="29" max="29" width="30" style="24" customWidth="1"/>
    <x:col min="30" max="30" width="18" style="24" customWidth="1"/>
    <x:col min="31" max="31" width="20" style="24" customWidth="1"/>
    <x:col min="32" max="32" width="22" style="24" customWidth="1"/>
    <x:col min="33" max="33" width="20" style="24" customWidth="1"/>
    <x:col min="34" max="34" width="18" style="24" customWidth="1"/>
    <x:col min="35" max="35" width="20" style="24" customWidth="1"/>
    <x:col min="36" max="36" width="16" style="24" customWidth="1"/>
    <x:col min="37" max="37" width="22" style="24" customWidth="1"/>
    <x:col min="38" max="38" width="28" style="24" customWidth="1"/>
    <x:col min="39" max="39" width="16" style="24" customWidth="1"/>
    <x:col min="40" max="40" width="12" style="24" customWidth="1"/>
    <x:col min="41" max="41" width="18" style="24" customWidth="1"/>
    <x:col min="42" max="42" width="22" style="24" customWidth="1"/>
    <x:col min="43" max="43" width="28" style="24" customWidth="1"/>
    <x:col min="44" max="44" width="16" style="24" customWidth="1"/>
    <x:col min="45" max="45" width="12" style="24" customWidth="1"/>
    <x:col min="46" max="46" width="18" style="24" customWidth="1"/>
    <x:col min="47" max="47" width="18" style="24" customWidth="1"/>
    <x:col min="48" max="48" width="14" style="24" customWidth="1"/>
    <x:col min="49" max="49" width="12" style="24" customWidth="1"/>
    <x:col min="50" max="50" width="12" style="24" customWidth="1"/>
    <x:col min="51" max="51" width="14" style="24" customWidth="1"/>
    <x:col min="52" max="52" width="20" style="24" customWidth="1"/>
    <x:col min="53" max="53" width="16" style="24" customWidth="1"/>
    <x:col min="54" max="54" width="14" style="24" customWidth="1"/>
    <x:col min="55" max="55" width="20" style="24" customWidth="1"/>
    <x:col min="56" max="56" width="14" style="24" customWidth="1"/>
    <x:col min="57" max="57" width="18" style="24" customWidth="1"/>
    <x:col min="58" max="58" width="20" style="24" customWidth="1"/>
    <x:col min="59" max="59" width="20" style="24" customWidth="1"/>
    <x:col min="60" max="60" width="22" style="24" customWidth="1"/>
    <x:col min="61" max="61" width="16" style="24" customWidth="1"/>
    <x:col min="62" max="62" width="18" style="24" customWidth="1"/>
    <x:col min="63" max="63" width="18" style="24" customWidth="1"/>
    <x:col min="64" max="64" width="14" style="24" customWidth="1"/>
    <x:col min="65" max="65" width="16" style="24" customWidth="1"/>
    <x:col min="66" max="66" width="14" style="24" customWidth="1"/>
    <x:col min="67" max="67" width="14" style="24" customWidth="1"/>
    <x:col min="68" max="68" width="16" style="24" customWidth="1"/>
    <x:col min="69" max="69" width="18" style="24" customWidth="1"/>
    <x:col min="70" max="70" width="20" style="24" customWidth="1"/>
    <x:col min="71" max="71" width="18" style="24" customWidth="1"/>
  </x:cols>
  <x:sheetData>
    <x:row r="1">
      <x:c r="A1" s="49" t="inlineStr">
        <x:is>
          <x:t xml:space="preserve">Load ID</x:t>
        </x:is>
      </x:c>
      <x:c r="B1" s="49" t="inlineStr">
        <x:is>
          <x:t xml:space="preserve">Driver ID</x:t>
        </x:is>
      </x:c>
      <x:c r="C1" s="49" t="inlineStr">
        <x:is>
          <x:t xml:space="preserve">Driver Name</x:t>
        </x:is>
      </x:c>
      <x:c r="D1" s="49" t="inlineStr">
        <x:is>
          <x:t xml:space="preserve">Asset ID</x:t>
        </x:is>
      </x:c>
      <x:c r="E1" s="49" t="inlineStr">
        <x:is>
          <x:t xml:space="preserve">Revenue</x:t>
        </x:is>
      </x:c>
      <x:c r="F1" s="49" t="inlineStr">
        <x:is>
          <x:t xml:space="preserve">Backhaul Pay</x:t>
        </x:is>
      </x:c>
      <x:c r="G1" s="49" t="inlineStr">
        <x:is>
          <x:t xml:space="preserve">Driver Signature?</x:t>
        </x:is>
      </x:c>
      <x:c r="H1" s="49" t="inlineStr">
        <x:is>
          <x:t xml:space="preserve">Load Status</x:t>
        </x:is>
      </x:c>
      <x:c r="I1" s="49" t="inlineStr">
        <x:is>
          <x:t xml:space="preserve">Reason for Pending Status</x:t>
        </x:is>
      </x:c>
      <x:c r="J1" s="49" t="inlineStr">
        <x:is>
          <x:t xml:space="preserve">Seal Number (Pickup)</x:t>
        </x:is>
      </x:c>
      <x:c r="K1" s="49" t="inlineStr">
        <x:is>
          <x:t xml:space="preserve">Seal Photo (Pickup)</x:t>
        </x:is>
      </x:c>
      <x:c r="L1" s="49" t="inlineStr">
        <x:is>
          <x:t xml:space="preserve">Seal Number (Delivery)</x:t>
        </x:is>
      </x:c>
      <x:c r="M1" s="49" t="inlineStr">
        <x:is>
          <x:t xml:space="preserve">Seal Photo (Delivery)</x:t>
        </x:is>
      </x:c>
      <x:c r="N1" s="49" t="inlineStr">
        <x:is>
          <x:t xml:space="preserve">Seal Status</x:t>
        </x:is>
      </x:c>
      <x:c r="O1" s="49" t="inlineStr">
        <x:is>
          <x:t xml:space="preserve">Exception Flag</x:t>
        </x:is>
      </x:c>
      <x:c r="P1" s="49" t="inlineStr">
        <x:is>
          <x:t xml:space="preserve">Override Reason</x:t>
        </x:is>
      </x:c>
      <x:c r="Q1" s="49" t="inlineStr">
        <x:is>
          <x:t xml:space="preserve">Audit Log</x:t>
        </x:is>
      </x:c>
      <x:c r="R1" s="49" t="inlineStr">
        <x:is>
          <x:t xml:space="preserve">Compliance Lock</x:t>
        </x:is>
      </x:c>
      <x:c r="S1" s="49" t="inlineStr">
        <x:is>
          <x:t xml:space="preserve">Seal Issue Type</x:t>
        </x:is>
      </x:c>
      <x:c r="T1" s="49" t="inlineStr">
        <x:is>
          <x:t xml:space="preserve">Photo Required?</x:t>
        </x:is>
      </x:c>
      <x:c r="U1" s="49" t="inlineStr">
        <x:is>
          <x:t xml:space="preserve">Review Status</x:t>
        </x:is>
      </x:c>
      <x:c r="V1" s="49" t="inlineStr">
        <x:is>
          <x:t xml:space="preserve">Legacy Driver ID</x:t>
        </x:is>
      </x:c>
      <x:c r="W1" s="49" t="inlineStr">
        <x:is>
          <x:t xml:space="preserve">Revenue Status</x:t>
        </x:is>
      </x:c>
      <x:c r="X1" s="49" t="inlineStr">
        <x:is>
          <x:t xml:space="preserve">Export Load Status</x:t>
        </x:is>
      </x:c>
      <x:c r="Y1" s="49" t="inlineStr">
        <x:is>
          <x:t xml:space="preserve">Rate Confirmation URL</x:t>
        </x:is>
      </x:c>
      <x:c r="Z1" s="49" t="inlineStr">
        <x:is>
          <x:t xml:space="preserve">BOL URL</x:t>
        </x:is>
      </x:c>
      <x:c r="AA1" s="49" t="inlineStr">
        <x:is>
          <x:t xml:space="preserve">Pickup Seal Photo URL</x:t>
        </x:is>
      </x:c>
      <x:c r="AB1" s="49" t="inlineStr">
        <x:is>
          <x:t xml:space="preserve">Delivery Seal Photo URL</x:t>
        </x:is>
      </x:c>
      <x:c r="AC1" s="49" t="inlineStr">
        <x:is>
          <x:t xml:space="preserve">Driver Photo URL</x:t>
        </x:is>
      </x:c>
      <x:c r="AD1" s="49" t="inlineStr">
        <x:is>
          <x:t xml:space="preserve">POD Image URL</x:t>
        </x:is>
      </x:c>
      <x:c r="AE1" s="49" t="inlineStr">
        <x:is>
          <x:t xml:space="preserve">Pickup Image URL</x:t>
        </x:is>
      </x:c>
      <x:c r="AF1" s="49" t="inlineStr">
        <x:is>
          <x:t xml:space="preserve">Delivery Image URL</x:t>
        </x:is>
      </x:c>
      <x:c r="AG1" s="49" t="inlineStr">
        <x:is>
          <x:t xml:space="preserve">Lumper Image URL</x:t>
        </x:is>
      </x:c>
      <x:c r="AH1" s="49" t="inlineStr">
        <x:is>
          <x:t xml:space="preserve">Dispatcher Name</x:t>
        </x:is>
      </x:c>
      <x:c r="AI1" s="49" t="inlineStr">
        <x:is>
          <x:t xml:space="preserve">Broker Name</x:t>
        </x:is>
      </x:c>
      <x:c r="AJ1" s="49" t="inlineStr">
        <x:is>
          <x:t xml:space="preserve">Broker MC Number</x:t>
        </x:is>
      </x:c>
      <x:c r="AK1" s="49" t="inlineStr">
        <x:is>
          <x:t xml:space="preserve">Shipper Name</x:t>
        </x:is>
      </x:c>
      <x:c r="AL1" s="49" t="inlineStr">
        <x:is>
          <x:t xml:space="preserve">Pickup Address</x:t>
        </x:is>
      </x:c>
      <x:c r="AM1" s="49" t="inlineStr">
        <x:is>
          <x:t xml:space="preserve">Pickup City</x:t>
        </x:is>
      </x:c>
      <x:c r="AN1" s="49" t="inlineStr">
        <x:is>
          <x:t xml:space="preserve">Pickup State</x:t>
        </x:is>
      </x:c>
      <x:c r="AO1" s="49" t="inlineStr">
        <x:is>
          <x:t xml:space="preserve">Pickup Appointment</x:t>
        </x:is>
      </x:c>
      <x:c r="AP1" s="49" t="inlineStr">
        <x:is>
          <x:t xml:space="preserve">Consignee Name</x:t>
        </x:is>
      </x:c>
      <x:c r="AQ1" s="49" t="inlineStr">
        <x:is>
          <x:t xml:space="preserve">Delivery Address</x:t>
        </x:is>
      </x:c>
      <x:c r="AR1" s="49" t="inlineStr">
        <x:is>
          <x:t xml:space="preserve">Delivery City</x:t>
        </x:is>
      </x:c>
      <x:c r="AS1" s="49" t="inlineStr">
        <x:is>
          <x:t xml:space="preserve">Delivery State</x:t>
        </x:is>
      </x:c>
      <x:c r="AT1" s="49" t="inlineStr">
        <x:is>
          <x:t xml:space="preserve">Delivery Appointment</x:t>
        </x:is>
      </x:c>
      <x:c r="AU1" s="49" t="inlineStr">
        <x:is>
          <x:t xml:space="preserve">Commodity</x:t>
        </x:is>
      </x:c>
      <x:c r="AV1" s="49" t="inlineStr">
        <x:is>
          <x:t xml:space="preserve">Weight (lbs)</x:t>
        </x:is>
      </x:c>
      <x:c r="AW1" s="49" t="inlineStr">
        <x:is>
          <x:t xml:space="preserve">Pallet Count</x:t>
        </x:is>
      </x:c>
      <x:c r="AX1" s="49" t="inlineStr">
        <x:is>
          <x:t xml:space="preserve">Piece Count</x:t>
        </x:is>
      </x:c>
      <x:c r="AY1" s="49" t="inlineStr">
        <x:is>
          <x:t xml:space="preserve">Trailer Number</x:t>
        </x:is>
      </x:c>
      <x:c r="AZ1" s="49" t="inlineStr">
        <x:is>
          <x:t xml:space="preserve">Rate Confirmation Number</x:t>
        </x:is>
      </x:c>
      <x:c r="BA1" s="49" t="inlineStr">
        <x:is>
          <x:t xml:space="preserve">BOL Number</x:t>
        </x:is>
      </x:c>
      <x:c r="BB1" s="49" t="inlineStr">
        <x:is>
          <x:t xml:space="preserve">POD Received?</x:t>
        </x:is>
      </x:c>
      <x:c r="BC1" s="49" t="inlineStr">
        <x:is>
          <x:t xml:space="preserve">POD Received Timestamp</x:t>
        </x:is>
      </x:c>
      <x:c r="BD1" s="49" t="inlineStr">
        <x:is>
          <x:t xml:space="preserve">Lumper Amount</x:t>
        </x:is>
      </x:c>
      <x:c r="BE1" s="49" t="inlineStr">
        <x:is>
          <x:t xml:space="preserve">RFID Tag ID</x:t>
        </x:is>
      </x:c>
      <x:c r="BF1" s="49" t="inlineStr">
        <x:is>
          <x:t xml:space="preserve">RFID Pickup Read Time</x:t>
        </x:is>
      </x:c>
      <x:c r="BG1" s="49" t="inlineStr">
        <x:is>
          <x:t xml:space="preserve">RFID Delivery Read Time</x:t>
        </x:is>
      </x:c>
      <x:c r="BH1" s="49" t="inlineStr">
        <x:is>
          <x:t xml:space="preserve">RFID Reader Location</x:t>
        </x:is>
      </x:c>
      <x:c r="BI1" s="49" t="inlineStr">
        <x:is>
          <x:t xml:space="preserve">RFID Scan Status</x:t>
        </x:is>
      </x:c>
      <x:c r="BJ1" s="49" t="inlineStr">
        <x:is>
          <x:t xml:space="preserve">RFID Exception</x:t>
        </x:is>
      </x:c>
      <x:c r="BK1" s="49" t="inlineStr">
        <x:is>
          <x:t xml:space="preserve">Insurance Claim ID</x:t>
        </x:is>
      </x:c>
      <x:c r="BL1" s="49" t="inlineStr">
        <x:is>
          <x:t xml:space="preserve">Claim Status</x:t>
        </x:is>
      </x:c>
      <x:c r="BM1" s="49" t="inlineStr">
        <x:is>
          <x:t xml:space="preserve">Claim Type</x:t>
        </x:is>
      </x:c>
      <x:c r="BN1" s="49" t="inlineStr">
        <x:is>
          <x:t xml:space="preserve">Date of Loss</x:t>
        </x:is>
      </x:c>
      <x:c r="BO1" s="49" t="inlineStr">
        <x:is>
          <x:t xml:space="preserve">Claim Amount</x:t>
        </x:is>
      </x:c>
      <x:c r="BP1" s="49" t="inlineStr">
        <x:is>
          <x:t xml:space="preserve">Deductible Amount</x:t>
        </x:is>
      </x:c>
      <x:c r="BQ1" s="49" t="inlineStr">
        <x:is>
          <x:t xml:space="preserve">Adjuster Name</x:t>
        </x:is>
      </x:c>
      <x:c r="BR1" s="49" t="inlineStr">
        <x:is>
          <x:t xml:space="preserve">Insurer Name</x:t>
        </x:is>
      </x:c>
      <x:c r="BS1" s="49" t="inlineStr">
        <x:is>
          <x:t xml:space="preserve">Policy Number</x:t>
        </x:is>
      </x:c>
      <x:c r="BT1" t="inlineStr">
        <x:is>
          <x:t xml:space="preserve">Origin</x:t>
        </x:is>
      </x:c>
      <x:c r="BU1" t="inlineStr">
        <x:is>
          <x:t xml:space="preserve">Destination</x:t>
        </x:is>
      </x:c>
      <x:c r="BV1" t="inlineStr">
        <x:is>
          <x:t xml:space="preserve">Pickup Date</x:t>
        </x:is>
      </x:c>
      <x:c r="BW1" t="inlineStr">
        <x:is>
          <x:t xml:space="preserve">Delivery Date</x:t>
        </x:is>
      </x:c>
      <x:c r="BX1" t="inlineStr">
        <x:is>
          <x:t xml:space="preserve">Pickup Time Window</x:t>
        </x:is>
      </x:c>
      <x:c r="BY1" t="inlineStr">
        <x:is>
          <x:t xml:space="preserve">Delivery Time Window</x:t>
        </x:is>
      </x:c>
      <x:c r="BZ1" t="inlineStr">
        <x:is>
          <x:t xml:space="preserve">Total Pay</x:t>
        </x:is>
      </x:c>
      <x:c r="CA1" t="inlineStr">
        <x:is>
          <x:t xml:space="preserve">Linehaul Rate</x:t>
        </x:is>
      </x:c>
      <x:c r="CB1" t="inlineStr">
        <x:is>
          <x:t xml:space="preserve">Fuel Surcharge</x:t>
        </x:is>
      </x:c>
      <x:c r="CC1" t="inlineStr">
        <x:is>
          <x:t xml:space="preserve">Detention Pay</x:t>
        </x:is>
      </x:c>
      <x:c r="CD1" t="inlineStr">
        <x:is>
          <x:t xml:space="preserve">Accessorial Pay</x:t>
        </x:is>
      </x:c>
      <x:c r="CE1" t="inlineStr">
        <x:is>
          <x:t xml:space="preserve">Miles</x:t>
        </x:is>
      </x:c>
      <x:c r="CF1" t="inlineStr">
        <x:is>
          <x:t xml:space="preserve">Broker Load Number</x:t>
        </x:is>
      </x:c>
      <x:c r="CG1" t="inlineStr">
        <x:is>
          <x:t xml:space="preserve">Customer PO Number</x:t>
        </x:is>
      </x:c>
      <x:c r="CH1" t="inlineStr">
        <x:is>
          <x:t xml:space="preserve">POD Status</x:t>
        </x:is>
      </x:c>
      <x:c r="CI1" t="inlineStr">
        <x:is>
          <x:t xml:space="preserve">POD URL</x:t>
        </x:is>
      </x:c>
      <x:c r="CJ1" t="inlineStr">
        <x:is>
          <x:t xml:space="preserve">POD Signed By</x:t>
        </x:is>
      </x:c>
      <x:c r="CK1" t="inlineStr">
        <x:is>
          <x:t xml:space="preserve">BOL Status</x:t>
        </x:is>
      </x:c>
      <x:c r="CL1" t="inlineStr">
        <x:is>
          <x:t xml:space="preserve">BOL Generated Date</x:t>
        </x:is>
      </x:c>
      <x:c r="CM1" t="inlineStr">
        <x:is>
          <x:t xml:space="preserve">Rate Confirmation Status</x:t>
        </x:is>
      </x:c>
      <x:c r="CN1" t="inlineStr">
        <x:is>
          <x:t xml:space="preserve">Rate Confirmation Date</x:t>
        </x:is>
      </x:c>
      <x:c r="CO1" t="inlineStr">
        <x:is>
          <x:t xml:space="preserve">RFID Trailer Tag ID</x:t>
        </x:is>
      </x:c>
      <x:c r="CP1" t="inlineStr">
        <x:is>
          <x:t xml:space="preserve">RFID Cargo Tag ID</x:t>
        </x:is>
      </x:c>
      <x:c r="CQ1" t="inlineStr">
        <x:is>
          <x:t xml:space="preserve">RFID Last Scan Time</x:t>
        </x:is>
      </x:c>
      <x:c r="CR1" t="inlineStr">
        <x:is>
          <x:t xml:space="preserve">RFID Last Scan Location</x:t>
        </x:is>
      </x:c>
      <x:c r="CS1" t="inlineStr">
        <x:is>
          <x:t xml:space="preserve">Insurance Required?</x:t>
        </x:is>
      </x:c>
      <x:c r="CT1" t="inlineStr">
        <x:is>
          <x:t xml:space="preserve">Claim Notes</x:t>
        </x:is>
      </x:c>
      <x:c r="CU1" t="inlineStr">
        <x:is>
          <x:t xml:space="preserve">Claim Reserve Amount</x:t>
        </x:is>
      </x:c>
      <x:c r="CV1" t="inlineStr">
        <x:is>
          <x:t xml:space="preserve">Estimated Claim Exposure</x:t>
        </x:is>
      </x:c>
      <x:c r="CW1" t="inlineStr">
        <x:is>
          <x:t xml:space="preserve">Insurance Coverage Type</x:t>
        </x:is>
      </x:c>
      <x:c r="CX1" t="inlineStr">
        <x:is>
          <x:t xml:space="preserve">Incident Report Linked?</x:t>
        </x:is>
      </x:c>
      <x:c r="CY1" t="inlineStr">
        <x:is>
          <x:t xml:space="preserve">Proof Bundle Complete?</x:t>
        </x:is>
      </x:c>
      <x:c r="CZ1" t="inlineStr">
        <x:is>
          <x:t xml:space="preserve">Total Revenue</x:t>
        </x:is>
      </x:c>
      <x:c r="DA1" t="inlineStr">
        <x:is>
          <x:t xml:space="preserve">Driver Pay</x:t>
        </x:is>
      </x:c>
      <x:c r="DB1" t="inlineStr">
        <x:is>
          <x:t xml:space="preserve">Settlement Hold?</x:t>
        </x:is>
      </x:c>
      <x:c r="DC1" t="inlineStr">
        <x:is>
          <x:t xml:space="preserve">Settlement Hold Reason</x:t>
        </x:is>
      </x:c>
      <x:c r="DD1" t="inlineStr">
        <x:is>
          <x:t xml:space="preserve">Proof Status</x:t>
        </x:is>
      </x:c>
      <x:c r="DE1" t="inlineStr">
        <x:is>
          <x:t xml:space="preserve">Origin State</x:t>
        </x:is>
      </x:c>
      <x:c r="DF1" t="inlineStr">
        <x:is>
          <x:t xml:space="preserve">Destination State</x:t>
        </x:is>
      </x:c>
    </x:row>
    <x:row r="2">
      <x:c r="A2" t="inlineStr">
        <x:is>
          <x:t xml:space="preserve">L-501</x:t>
        </x:is>
      </x:c>
      <x:c r="B2" t="inlineStr">
        <x:is>
          <x:t xml:space="preserve">DRV-001</x:t>
        </x:is>
      </x:c>
      <x:c r="C2" t="inlineStr">
        <x:is>
          <x:t xml:space="preserve">John Carter</x:t>
        </x:is>
      </x:c>
      <x:c r="D2" t="inlineStr">
        <x:is>
          <x:t xml:space="preserve">T-102</x:t>
        </x:is>
      </x:c>
      <x:c r="E2" s="64" t="n">
        <x:v>2000</x:v>
      </x:c>
      <x:c r="F2" s="64" t="n">
        <x:v>65</x:v>
      </x:c>
      <x:c r="G2" t="inlineStr">
        <x:is>
          <x:t xml:space="preserve">NO</x:t>
        </x:is>
      </x:c>
      <x:c r="H2" t="inlineStr">
        <x:is>
          <x:t xml:space="preserve">DELIVERED</x:t>
        </x:is>
      </x:c>
      <x:c r="J2" t="inlineStr">
        <x:is>
          <x:t xml:space="preserve">SEAL-83921</x:t>
        </x:is>
      </x:c>
      <x:c r="K2" t="inlineStr">
        <x:is>
          <x:t xml:space="preserve">pickup_photo_01.jpg</x:t>
        </x:is>
      </x:c>
      <x:c r="L2" t="inlineStr">
        <x:is>
          <x:t xml:space="preserve">SEAL-83920</x:t>
        </x:is>
      </x:c>
      <x:c r="M2" t="inlineStr">
        <x:is>
          <x:t xml:space="preserve">delivery_photo_01.jpg</x:t>
        </x:is>
      </x:c>
      <x:c r="N2" t="str">
        <x:f>IF(L2="","PENDING",IF(L2&lt;&gt;J2,"MISMATCH","VERIFIED"))</x:f>
        <x:v>MISMATCH</x:v>
      </x:c>
      <x:c r="O2" t="str">
        <x:f>IF(N2="MISMATCH","SEAL_MISMATCH",IF(OR(K2="",M2=""),"PHOTO_MISSING",""))</x:f>
        <x:v>SEAL_MISMATCH</x:v>
      </x:c>
      <x:c r="Q2" t="str">
        <x:f>IF(O2="","",CONCAT("Pickup:",J2," | Delivery:",L2," | Override:",IF(P2="","NONE",P2)))</x:f>
        <x:v>Pickup:SEAL-83921 | Delivery:SEAL-83920 | Override:NONE</x:v>
      </x:c>
      <x:c r="R2" t="str">
        <x:f>IF(O2="","CLEAR",IF(P2="","LOCKED","OVERRIDDEN"))</x:f>
        <x:v>LOCKED</x:v>
      </x:c>
      <x:c r="S2" t="inlineStr">
        <x:is>
          <x:t xml:space="preserve">SEAL_MISMATCH</x:t>
        </x:is>
      </x:c>
      <x:c r="T2" t="inlineStr">
        <x:is>
          <x:t xml:space="preserve">YES</x:t>
        </x:is>
      </x:c>
      <x:c r="U2" t="inlineStr">
        <x:is>
          <x:t xml:space="preserve">OPEN</x:t>
        </x:is>
      </x:c>
      <x:c r="V2" t="inlineStr">
        <x:is>
          <x:t xml:space="preserve">Driver 1</x:t>
        </x:is>
      </x:c>
      <x:c r="W2" t="inlineStr">
        <x:is>
          <x:t xml:space="preserve">READY</x:t>
        </x:is>
      </x:c>
      <x:c r="X2" t="inlineStr">
        <x:is>
          <x:t xml:space="preserve">DELIVERED</x:t>
        </x:is>
      </x:c>
      <x:c r="Y2" t="inlineStr">
        <x:is>
          <x:t xml:space="preserve">/documents/loads/L-501_RC.pdf</x:t>
        </x:is>
      </x:c>
      <x:c r="Z2" t="inlineStr">
        <x:is>
          <x:t xml:space="preserve">/documents/loads/L-501_BOL.pdf</x:t>
        </x:is>
      </x:c>
      <x:c r="AA2" t="inlineStr">
        <x:is>
          <x:t xml:space="preserve">/documents/loads/L-501_PICKUP_SEAL.jpg</x:t>
        </x:is>
      </x:c>
      <x:c r="AB2" t="inlineStr">
        <x:is>
          <x:t xml:space="preserve">/documents/loads/L-501_DELIVERY_SEAL.jpg</x:t>
        </x:is>
      </x:c>
      <x:c r="AC2" t="inlineStr">
        <x:is>
          <x:t xml:space="preserve">/drivers/DRV-001.jpg</x:t>
        </x:is>
      </x:c>
      <x:c r="AD2" t="inlineStr">
        <x:is>
          <x:t xml:space="preserve">/images/pod/L-501_POD.jpg</x:t>
        </x:is>
      </x:c>
      <x:c r="AE2" t="inlineStr">
        <x:is>
          <x:t xml:space="preserve">/images/pickup/L-501_PICKUP.jpg</x:t>
        </x:is>
      </x:c>
      <x:c r="AF2" t="inlineStr">
        <x:is>
          <x:t xml:space="preserve">/images/delivery/L-501_DELIVERY.jpg</x:t>
        </x:is>
      </x:c>
      <x:c r="AG2" t="inlineStr">
        <x:is>
          <x:t xml:space="preserve">/images/lumper/L-501_LUMPER.jpg</x:t>
        </x:is>
      </x:c>
      <x:c r="AH2" t="inlineStr">
        <x:is>
          <x:t xml:space="preserve">Tina Brooks</x:t>
        </x:is>
      </x:c>
      <x:c r="AI2" t="inlineStr">
        <x:is>
          <x:t xml:space="preserve">BlueLine Logistics</x:t>
        </x:is>
      </x:c>
      <x:c r="AJ2" t="inlineStr">
        <x:is>
          <x:t xml:space="preserve">MC-782104</x:t>
        </x:is>
      </x:c>
      <x:c r="AK2" t="inlineStr">
        <x:is>
          <x:t xml:space="preserve">Peachtree Foods</x:t>
        </x:is>
      </x:c>
      <x:c r="AL2" t="inlineStr">
        <x:is>
          <x:t xml:space="preserve">1450 Industrial Pkwy</x:t>
        </x:is>
      </x:c>
      <x:c r="AM2" t="inlineStr">
        <x:is>
          <x:t xml:space="preserve">Atlanta</x:t>
        </x:is>
      </x:c>
      <x:c r="AN2" t="inlineStr">
        <x:is>
          <x:t xml:space="preserve">GA</x:t>
        </x:is>
      </x:c>
      <x:c r="AO2" s="57" t="n">
        <x:v>45839.41666666666</x:v>
      </x:c>
      <x:c r="AP2" t="inlineStr">
        <x:is>
          <x:t xml:space="preserve">Desert Valley Grocers</x:t>
        </x:is>
      </x:c>
      <x:c r="AQ2" t="inlineStr">
        <x:is>
          <x:t xml:space="preserve">504 Mesa Park</x:t>
        </x:is>
      </x:c>
      <x:c r="AR2" t="inlineStr">
        <x:is>
          <x:t xml:space="preserve">Phoenix</x:t>
        </x:is>
      </x:c>
      <x:c r="AS2" t="inlineStr">
        <x:is>
          <x:t xml:space="preserve">AZ</x:t>
        </x:is>
      </x:c>
      <x:c r="AT2" s="57" t="n">
        <x:v>45842.75</x:v>
      </x:c>
      <x:c r="AU2" t="inlineStr">
        <x:is>
          <x:t xml:space="preserve">Frozen foods</x:t>
        </x:is>
      </x:c>
      <x:c r="AV2" s="68" t="n">
        <x:v>26024</x:v>
      </x:c>
      <x:c r="AW2" s="68" t="n">
        <x:v>19</x:v>
      </x:c>
      <x:c r="AX2" s="68" t="n">
        <x:v>456</x:v>
      </x:c>
      <x:c r="AY2" t="inlineStr">
        <x:is>
          <x:t xml:space="preserve">TRL-2854</x:t>
        </x:is>
      </x:c>
      <x:c r="AZ2" t="inlineStr">
        <x:is>
          <x:t xml:space="preserve">RC-501-204</x:t>
        </x:is>
      </x:c>
      <x:c r="BA2" t="inlineStr">
        <x:is>
          <x:t xml:space="preserve">BOL-501-9935</x:t>
        </x:is>
      </x:c>
      <x:c r="BB2" t="inlineStr">
        <x:is>
          <x:t xml:space="preserve">YES</x:t>
        </x:is>
      </x:c>
      <x:c r="BC2" s="57" t="n">
        <x:v>45842.79166666666</x:v>
      </x:c>
      <x:c r="BD2" s="64" t="n">
        <x:v>315</x:v>
      </x:c>
      <x:c r="BE2" t="inlineStr">
        <x:is>
          <x:t xml:space="preserve">RFID-501-65302</x:t>
        </x:is>
      </x:c>
      <x:c r="BF2" s="57" t="n">
        <x:v>45839.42152777778</x:v>
      </x:c>
      <x:c r="BG2" s="57" t="n">
        <x:v>45842.75763888889</x:v>
      </x:c>
      <x:c r="BH2" t="inlineStr">
        <x:is>
          <x:t xml:space="preserve">Atlanta Yard Gate 1</x:t>
        </x:is>
      </x:c>
      <x:c r="BI2" t="inlineStr">
        <x:is>
          <x:t xml:space="preserve">VERIFIED</x:t>
        </x:is>
      </x:c>
      <x:c r="BJ2" t="inlineStr">
        <x:is>
          <x:t xml:space="preserve"/>
        </x:is>
      </x:c>
      <x:c r="BK2" t="inlineStr">
        <x:is>
          <x:t xml:space="preserve"/>
        </x:is>
      </x:c>
      <x:c r="BL2" t="inlineStr">
        <x:is>
          <x:t xml:space="preserve">NO_CLAIM</x:t>
        </x:is>
      </x:c>
      <x:c r="BM2" t="inlineStr">
        <x:is>
          <x:t xml:space="preserve"/>
        </x:is>
      </x:c>
      <x:c r="BN2" s="55" t="n"/>
      <x:c r="BO2" s="64" t="n">
        <x:v>0</x:v>
      </x:c>
      <x:c r="BP2" s="64" t="n">
        <x:v>500</x:v>
      </x:c>
      <x:c r="BQ2" t="inlineStr">
        <x:is>
          <x:t xml:space="preserve"/>
        </x:is>
      </x:c>
      <x:c r="BR2" t="inlineStr">
        <x:is>
          <x:t xml:space="preserve">Progressive Commercial</x:t>
        </x:is>
      </x:c>
      <x:c r="BS2" t="inlineStr">
        <x:is>
          <x:t xml:space="preserve">POL-660002</x:t>
        </x:is>
      </x:c>
      <x:c r="BT2" t="inlineStr">
        <x:is>
          <x:t xml:space="preserve">Acme Distribution - Cleveland, OH</x:t>
        </x:is>
      </x:c>
      <x:c r="BU2" t="inlineStr">
        <x:is>
          <x:t xml:space="preserve">Metro Fulfillment - Dallas, TX</x:t>
        </x:is>
      </x:c>
      <x:c r="BV2" s="55" t="n">
        <x:v>46204</x:v>
      </x:c>
      <x:c r="BW2" s="55" t="n">
        <x:v>46205</x:v>
      </x:c>
      <x:c r="BX2" t="inlineStr">
        <x:is>
          <x:t xml:space="preserve">10:00-13:00</x:t>
        </x:is>
      </x:c>
      <x:c r="BY2" t="inlineStr">
        <x:is>
          <x:t xml:space="preserve">09:00-13:00</x:t>
        </x:is>
      </x:c>
      <x:c r="BZ2" s="64" t="n">
        <x:v>2065</x:v>
      </x:c>
      <x:c r="CA2" s="64" t="n">
        <x:v>1640</x:v>
      </x:c>
      <x:c r="CB2" s="64" t="n">
        <x:v>240</x:v>
      </x:c>
      <x:c r="CC2" s="64" t="n">
        <x:v>0</x:v>
      </x:c>
      <x:c r="CD2" s="64" t="n">
        <x:v>120</x:v>
      </x:c>
      <x:c r="CE2" t="n">
        <x:v>240</x:v>
      </x:c>
      <x:c r="CF2" t="inlineStr">
        <x:is>
          <x:t xml:space="preserve">BLN-100500</x:t>
        </x:is>
      </x:c>
      <x:c r="CG2" t="inlineStr">
        <x:is>
          <x:t xml:space="preserve">PO-84000</x:t>
        </x:is>
      </x:c>
      <x:c r="CH2" t="inlineStr">
        <x:is>
          <x:t xml:space="preserve">RECEIVED</x:t>
        </x:is>
      </x:c>
      <x:c r="CI2" t="inlineStr">
        <x:is>
          <x:t xml:space="preserve">/images/pod/L-501_POD.jpg</x:t>
        </x:is>
      </x:c>
      <x:c r="CJ2" t="inlineStr">
        <x:is>
          <x:t xml:space="preserve">Warehouse Clerk</x:t>
        </x:is>
      </x:c>
      <x:c r="CK2" t="inlineStr">
        <x:is>
          <x:t xml:space="preserve">UPLOADED</x:t>
        </x:is>
      </x:c>
      <x:c r="CL2" s="55" t="n">
        <x:v>46204</x:v>
      </x:c>
      <x:c r="CM2" t="inlineStr">
        <x:is>
          <x:t xml:space="preserve">UPLOADED</x:t>
        </x:is>
      </x:c>
      <x:c r="CN2" s="55" t="n">
        <x:v>46203</x:v>
      </x:c>
      <x:c r="CO2" t="inlineStr">
        <x:is>
          <x:t xml:space="preserve">TRAIL-2002</x:t>
        </x:is>
      </x:c>
      <x:c r="CP2" t="inlineStr">
        <x:is>
          <x:t xml:space="preserve">CARGO-5002</x:t>
        </x:is>
      </x:c>
      <x:c r="CQ2" s="57" t="n">
        <x:v>46205.42708333334</x:v>
      </x:c>
      <x:c r="CR2" t="inlineStr">
        <x:is>
          <x:t xml:space="preserve">Dock Door 3</x:t>
        </x:is>
      </x:c>
      <x:c r="CS2" t="inlineStr">
        <x:is>
          <x:t xml:space="preserve">NO</x:t>
        </x:is>
      </x:c>
      <x:c r="CT2" t="inlineStr">
        <x:is>
          <x:t xml:space="preserve">No active claim</x:t>
        </x:is>
      </x:c>
      <x:c r="CU2" s="64" t="n">
        <x:v>0</x:v>
      </x:c>
      <x:c r="CV2" s="64" t="n">
        <x:v>0</x:v>
      </x:c>
      <x:c r="CW2" t="inlineStr">
        <x:is>
          <x:t xml:space="preserve">Motor Truck Cargo</x:t>
        </x:is>
      </x:c>
      <x:c r="CX2" t="inlineStr">
        <x:is>
          <x:t xml:space="preserve">NO</x:t>
        </x:is>
      </x:c>
      <x:c r="CY2" t="inlineStr">
        <x:is>
          <x:t xml:space="preserve">YES</x:t>
        </x:is>
      </x:c>
      <x:c r="CZ2" s="64" t="n">
        <x:v>2065</x:v>
      </x:c>
      <x:c r="DA2" s="64" t="n">
        <x:v>560</x:v>
      </x:c>
      <x:c r="DB2" t="inlineStr">
        <x:is>
          <x:t xml:space="preserve">NO</x:t>
        </x:is>
      </x:c>
      <x:c r="DC2" t="inlineStr">
        <x:is>
          <x:t xml:space="preserve"/>
        </x:is>
      </x:c>
      <x:c r="DD2" t="inlineStr">
        <x:is>
          <x:t xml:space="preserve">COMPLETE</x:t>
        </x:is>
      </x:c>
      <x:c r="DE2" t="inlineStr">
        <x:is>
          <x:t xml:space="preserve">GA</x:t>
        </x:is>
      </x:c>
      <x:c r="DF2" t="inlineStr">
        <x:is>
          <x:t xml:space="preserve">AZ</x:t>
        </x:is>
      </x:c>
    </x:row>
    <x:row r="3">
      <x:c r="A3" t="inlineStr">
        <x:is>
          <x:t xml:space="preserve">L-502</x:t>
        </x:is>
      </x:c>
      <x:c r="B3" t="inlineStr">
        <x:is>
          <x:t xml:space="preserve">DRV-002</x:t>
        </x:is>
      </x:c>
      <x:c r="C3" t="inlineStr">
        <x:is>
          <x:t xml:space="preserve">Maria Lopez</x:t>
        </x:is>
      </x:c>
      <x:c r="D3" t="inlineStr">
        <x:is>
          <x:t xml:space="preserve">T-101</x:t>
        </x:is>
      </x:c>
      <x:c r="E3" s="64" t="n">
        <x:v>1800</x:v>
      </x:c>
      <x:c r="F3" s="64" t="n">
        <x:v>95</x:v>
      </x:c>
      <x:c r="G3" t="inlineStr">
        <x:is>
          <x:t xml:space="preserve">NO</x:t>
        </x:is>
      </x:c>
      <x:c r="H3" t="inlineStr">
        <x:is>
          <x:t xml:space="preserve">IN_TRANSIT</x:t>
        </x:is>
      </x:c>
      <x:c r="J3" t="inlineStr">
        <x:is>
          <x:t xml:space="preserve">SEAL-55219</x:t>
        </x:is>
      </x:c>
      <x:c r="K3" t="inlineStr">
        <x:is>
          <x:t xml:space="preserve">pickup_photo_02.jpg</x:t>
        </x:is>
      </x:c>
      <x:c r="L3" t="inlineStr">
        <x:is>
          <x:t xml:space="preserve">SEAL-55219</x:t>
        </x:is>
      </x:c>
      <x:c r="M3" t="inlineStr">
        <x:is>
          <x:t xml:space="preserve">delivery_photo_02.jpg</x:t>
        </x:is>
      </x:c>
      <x:c r="N3" t="str">
        <x:f>IF(L3="","PENDING",IF(L3&lt;&gt;J3,"MISMATCH","VERIFIED"))</x:f>
        <x:v>VERIFIED</x:v>
      </x:c>
      <x:c r="O3" t="str">
        <x:f>IF(N3="MISMATCH","SEAL_MISMATCH",IF(OR(K3="",M3=""),"PHOTO_MISSING",""))</x:f>
      </x:c>
      <x:c r="Q3" t="str">
        <x:f>IF(O3="","",CONCAT("Pickup:",J3," | Delivery:",L3," | Override:",IF(P3="","NONE",P3)))</x:f>
      </x:c>
      <x:c r="R3" t="str">
        <x:f>IF(O3="","CLEAR",IF(P3="","LOCKED","OVERRIDDEN"))</x:f>
        <x:v>CLEAR</x:v>
      </x:c>
      <x:c r="S3" t="inlineStr">
        <x:is>
          <x:t xml:space="preserve">VERIFIED</x:t>
        </x:is>
      </x:c>
      <x:c r="T3" t="inlineStr">
        <x:is>
          <x:t xml:space="preserve">NO</x:t>
        </x:is>
      </x:c>
      <x:c r="U3" t="inlineStr">
        <x:is>
          <x:t xml:space="preserve">CLOSED</x:t>
        </x:is>
      </x:c>
      <x:c r="V3" t="inlineStr">
        <x:is>
          <x:t xml:space="preserve">Driver 2</x:t>
        </x:is>
      </x:c>
      <x:c r="W3" t="inlineStr">
        <x:is>
          <x:t xml:space="preserve">PENDING</x:t>
        </x:is>
      </x:c>
      <x:c r="X3" t="inlineStr">
        <x:is>
          <x:t xml:space="preserve">IN_TRANSIT</x:t>
        </x:is>
      </x:c>
      <x:c r="Y3" t="inlineStr">
        <x:is>
          <x:t xml:space="preserve">/documents/loads/L-502_RC.pdf</x:t>
        </x:is>
      </x:c>
      <x:c r="Z3" t="inlineStr">
        <x:is>
          <x:t xml:space="preserve">/documents/loads/L-502_BOL.pdf</x:t>
        </x:is>
      </x:c>
      <x:c r="AA3" t="inlineStr">
        <x:is>
          <x:t xml:space="preserve">/documents/loads/L-502_PICKUP_SEAL.jpg</x:t>
        </x:is>
      </x:c>
      <x:c r="AB3" t="inlineStr">
        <x:is>
          <x:t xml:space="preserve">/documents/loads/L-502_DELIVERY_SEAL.jpg</x:t>
        </x:is>
      </x:c>
      <x:c r="AC3" t="inlineStr">
        <x:is>
          <x:t xml:space="preserve">/drivers/DRV-002.jpg</x:t>
        </x:is>
      </x:c>
      <x:c r="AD3" t="inlineStr">
        <x:is>
          <x:t xml:space="preserve">/images/pod/L-502_POD.jpg</x:t>
        </x:is>
      </x:c>
      <x:c r="AE3" t="inlineStr">
        <x:is>
          <x:t xml:space="preserve">/images/pickup/L-502_PICKUP.jpg</x:t>
        </x:is>
      </x:c>
      <x:c r="AF3" t="inlineStr">
        <x:is>
          <x:t xml:space="preserve">/images/delivery/L-502_DELIVERY.jpg</x:t>
        </x:is>
      </x:c>
      <x:c r="AG3" t="inlineStr">
        <x:is>
          <x:t xml:space="preserve">/images/lumper/L-502_LUMPER.jpg</x:t>
        </x:is>
      </x:c>
      <x:c r="AH3" t="inlineStr">
        <x:is>
          <x:t xml:space="preserve">Jamal Reeves</x:t>
        </x:is>
      </x:c>
      <x:c r="AI3" t="inlineStr">
        <x:is>
          <x:t xml:space="preserve">Summit Freight</x:t>
        </x:is>
      </x:c>
      <x:c r="AJ3" t="inlineStr">
        <x:is>
          <x:t xml:space="preserve">MC-641255</x:t>
        </x:is>
      </x:c>
      <x:c r="AK3" t="inlineStr">
        <x:is>
          <x:t xml:space="preserve">Lakeside Plastics</x:t>
        </x:is>
      </x:c>
      <x:c r="AL3" t="inlineStr">
        <x:is>
          <x:t xml:space="preserve">880 Harbor Dr</x:t>
        </x:is>
      </x:c>
      <x:c r="AM3" t="inlineStr">
        <x:is>
          <x:t xml:space="preserve">Cleveland</x:t>
        </x:is>
      </x:c>
      <x:c r="AN3" t="inlineStr">
        <x:is>
          <x:t xml:space="preserve">OH</x:t>
        </x:is>
      </x:c>
      <x:c r="AO3" s="57" t="n">
        <x:v>45841.5</x:v>
      </x:c>
      <x:c r="AP3" t="inlineStr">
        <x:is>
          <x:t xml:space="preserve">Great Lakes Foods</x:t>
        </x:is>
      </x:c>
      <x:c r="AQ3" t="inlineStr">
        <x:is>
          <x:t xml:space="preserve">109 Shoreline Dr</x:t>
        </x:is>
      </x:c>
      <x:c r="AR3" t="inlineStr">
        <x:is>
          <x:t xml:space="preserve">Detroit</x:t>
        </x:is>
      </x:c>
      <x:c r="AS3" t="inlineStr">
        <x:is>
          <x:t xml:space="preserve">MI</x:t>
        </x:is>
      </x:c>
      <x:c r="AT3" s="57" t="n">
        <x:v>45845.08333333334</x:v>
      </x:c>
      <x:c r="AU3" t="inlineStr">
        <x:is>
          <x:t xml:space="preserve">Dry groceries</x:t>
        </x:is>
      </x:c>
      <x:c r="AV3" s="68" t="n">
        <x:v>40981</x:v>
      </x:c>
      <x:c r="AW3" s="68" t="n">
        <x:v>25</x:v>
      </x:c>
      <x:c r="AX3" s="68" t="n">
        <x:v>675</x:v>
      </x:c>
      <x:c r="AY3" t="inlineStr">
        <x:is>
          <x:t xml:space="preserve">TRL-2559</x:t>
        </x:is>
      </x:c>
      <x:c r="AZ3" t="inlineStr">
        <x:is>
          <x:t xml:space="preserve">RC-502-703</x:t>
        </x:is>
      </x:c>
      <x:c r="BA3" t="inlineStr">
        <x:is>
          <x:t xml:space="preserve">BOL-502-5557</x:t>
        </x:is>
      </x:c>
      <x:c r="BB3" t="inlineStr">
        <x:is>
          <x:t xml:space="preserve">PENDING</x:t>
        </x:is>
      </x:c>
      <x:c r="BC3" s="57" t="n">
        <x:v>46207.45833333334</x:v>
      </x:c>
      <x:c r="BD3" s="64" t="n">
        <x:v>0</x:v>
      </x:c>
      <x:c r="BE3" t="inlineStr">
        <x:is>
          <x:t xml:space="preserve">RFID-502-30926</x:t>
        </x:is>
      </x:c>
      <x:c r="BF3" s="57" t="n">
        <x:v>45841.52222222222</x:v>
      </x:c>
      <x:c r="BG3" s="57" t="n">
        <x:v>46207.41666666666</x:v>
      </x:c>
      <x:c r="BH3" t="inlineStr">
        <x:is>
          <x:t xml:space="preserve">Cleveland Yard Gate 3</x:t>
        </x:is>
      </x:c>
      <x:c r="BI3" t="inlineStr">
        <x:is>
          <x:t xml:space="preserve">PENDING_DELIVERY</x:t>
        </x:is>
      </x:c>
      <x:c r="BJ3" t="inlineStr">
        <x:is>
          <x:t xml:space="preserve"/>
        </x:is>
      </x:c>
      <x:c r="BK3" t="inlineStr">
        <x:is>
          <x:t xml:space="preserve"/>
        </x:is>
      </x:c>
      <x:c r="BL3" t="inlineStr">
        <x:is>
          <x:t xml:space="preserve">NO_CLAIM</x:t>
        </x:is>
      </x:c>
      <x:c r="BM3" t="inlineStr">
        <x:is>
          <x:t xml:space="preserve"/>
        </x:is>
      </x:c>
      <x:c r="BN3" s="55" t="n"/>
      <x:c r="BO3" s="64" t="n">
        <x:v>0</x:v>
      </x:c>
      <x:c r="BP3" s="64" t="n">
        <x:v>500</x:v>
      </x:c>
      <x:c r="BQ3" t="inlineStr">
        <x:is>
          <x:t xml:space="preserve"/>
        </x:is>
      </x:c>
      <x:c r="BR3" t="inlineStr">
        <x:is>
          <x:t xml:space="preserve">Great West Casualty</x:t>
        </x:is>
      </x:c>
      <x:c r="BS3" t="inlineStr">
        <x:is>
          <x:t xml:space="preserve">POL-660003</x:t>
        </x:is>
      </x:c>
      <x:c r="BT3" t="inlineStr">
        <x:is>
          <x:t xml:space="preserve">Midwest Foods - Chicago, IL</x:t>
        </x:is>
      </x:c>
      <x:c r="BU3" t="inlineStr">
        <x:is>
          <x:t xml:space="preserve">South Hub DC - Memphis, TN</x:t>
        </x:is>
      </x:c>
      <x:c r="BV3" s="55" t="n">
        <x:v>46206</x:v>
      </x:c>
      <x:c r="BW3" s="55" t="n">
        <x:v>46207</x:v>
      </x:c>
      <x:c r="BX3" t="inlineStr">
        <x:is>
          <x:t xml:space="preserve">08:00-11:00</x:t>
        </x:is>
      </x:c>
      <x:c r="BY3" t="inlineStr">
        <x:is>
          <x:t xml:space="preserve">10:00-14:00</x:t>
        </x:is>
      </x:c>
      <x:c r="BZ3" s="64" t="n">
        <x:v>1895</x:v>
      </x:c>
      <x:c r="CA3" s="64" t="n">
        <x:v>1476</x:v>
      </x:c>
      <x:c r="CB3" s="64" t="n">
        <x:v>216</x:v>
      </x:c>
      <x:c r="CC3" s="64" t="n">
        <x:v>50</x:v>
      </x:c>
      <x:c r="CD3" s="64" t="n">
        <x:v>58</x:v>
      </x:c>
      <x:c r="CE3" t="n">
        <x:v>297</x:v>
      </x:c>
      <x:c r="CF3" t="inlineStr">
        <x:is>
          <x:t xml:space="preserve">BLN-100501</x:t>
        </x:is>
      </x:c>
      <x:c r="CG3" t="inlineStr">
        <x:is>
          <x:t xml:space="preserve">PO-84001</x:t>
        </x:is>
      </x:c>
      <x:c r="CH3" t="inlineStr">
        <x:is>
          <x:t xml:space="preserve">PENDING</x:t>
        </x:is>
      </x:c>
      <x:c r="CI3" t="inlineStr">
        <x:is>
          <x:t xml:space="preserve">/images/pod/L-502_POD.jpg</x:t>
        </x:is>
      </x:c>
      <x:c r="CJ3" t="inlineStr">
        <x:is>
          <x:t xml:space="preserve">Receiver</x:t>
        </x:is>
      </x:c>
      <x:c r="CK3" t="inlineStr">
        <x:is>
          <x:t xml:space="preserve">UPLOADED</x:t>
        </x:is>
      </x:c>
      <x:c r="CL3" s="55" t="n">
        <x:v>46206</x:v>
      </x:c>
      <x:c r="CM3" t="inlineStr">
        <x:is>
          <x:t xml:space="preserve">UPLOADED</x:t>
        </x:is>
      </x:c>
      <x:c r="CN3" s="55" t="n">
        <x:v>46205</x:v>
      </x:c>
      <x:c r="CO3" t="inlineStr">
        <x:is>
          <x:t xml:space="preserve">TRAIL-2003</x:t>
        </x:is>
      </x:c>
      <x:c r="CP3" t="inlineStr">
        <x:is>
          <x:t xml:space="preserve">CARGO-5003</x:t>
        </x:is>
      </x:c>
      <x:c r="CQ3" s="57" t="n">
        <x:v>46207.42708333334</x:v>
      </x:c>
      <x:c r="CR3" t="inlineStr">
        <x:is>
          <x:t xml:space="preserve">Yard Gate A</x:t>
        </x:is>
      </x:c>
      <x:c r="CS3" t="inlineStr">
        <x:is>
          <x:t xml:space="preserve">NO</x:t>
        </x:is>
      </x:c>
      <x:c r="CT3" t="inlineStr">
        <x:is>
          <x:t xml:space="preserve">No active claim</x:t>
        </x:is>
      </x:c>
      <x:c r="CU3" s="64" t="n">
        <x:v>0</x:v>
      </x:c>
      <x:c r="CV3" s="64" t="n">
        <x:v>0</x:v>
      </x:c>
      <x:c r="CW3" t="inlineStr">
        <x:is>
          <x:t xml:space="preserve">Auto Liability</x:t>
        </x:is>
      </x:c>
      <x:c r="CX3" t="inlineStr">
        <x:is>
          <x:t xml:space="preserve">NO</x:t>
        </x:is>
      </x:c>
      <x:c r="CY3" t="inlineStr">
        <x:is>
          <x:t xml:space="preserve">YES</x:t>
        </x:is>
      </x:c>
      <x:c r="CZ3" s="64" t="n">
        <x:v>1895</x:v>
      </x:c>
      <x:c r="DA3" s="64" t="n">
        <x:v>504</x:v>
      </x:c>
      <x:c r="DB3" t="inlineStr">
        <x:is>
          <x:t xml:space="preserve">NO</x:t>
        </x:is>
      </x:c>
      <x:c r="DC3" t="inlineStr">
        <x:is>
          <x:t xml:space="preserve"/>
        </x:is>
      </x:c>
      <x:c r="DD3" t="inlineStr">
        <x:is>
          <x:t xml:space="preserve">COMPLETE</x:t>
        </x:is>
      </x:c>
      <x:c r="DE3" t="inlineStr">
        <x:is>
          <x:t xml:space="preserve">OH</x:t>
        </x:is>
      </x:c>
      <x:c r="DF3" t="inlineStr">
        <x:is>
          <x:t xml:space="preserve">MI</x:t>
        </x:is>
      </x:c>
    </x:row>
    <x:row r="4">
      <x:c r="A4" t="inlineStr">
        <x:is>
          <x:t xml:space="preserve">L-503</x:t>
        </x:is>
      </x:c>
      <x:c r="B4" t="inlineStr">
        <x:is>
          <x:t xml:space="preserve">DRV-003</x:t>
        </x:is>
      </x:c>
      <x:c r="C4" t="inlineStr">
        <x:is>
          <x:t xml:space="preserve">Alex Kim</x:t>
        </x:is>
      </x:c>
      <x:c r="D4" t="inlineStr">
        <x:is>
          <x:t xml:space="preserve">T-107</x:t>
        </x:is>
      </x:c>
      <x:c r="E4" s="64" t="n">
        <x:v>2100</x:v>
      </x:c>
      <x:c r="F4" s="64" t="n">
        <x:v>45</x:v>
      </x:c>
      <x:c r="G4" t="inlineStr">
        <x:is>
          <x:t xml:space="preserve">NO</x:t>
        </x:is>
      </x:c>
      <x:c r="H4" t="inlineStr">
        <x:is>
          <x:t xml:space="preserve">DELIVERED</x:t>
        </x:is>
      </x:c>
      <x:c r="J4" t="inlineStr">
        <x:is>
          <x:t xml:space="preserve">SEAL-77102</x:t>
        </x:is>
      </x:c>
      <x:c r="K4" t="inlineStr">
        <x:is>
          <x:t xml:space="preserve">pickup_photo_03.jpg</x:t>
        </x:is>
      </x:c>
      <x:c r="N4" t="str">
        <x:f>IF(L4="","PENDING",IF(L4&lt;&gt;J4,"MISMATCH","VERIFIED"))</x:f>
        <x:v>PENDING</x:v>
      </x:c>
      <x:c r="O4" t="str">
        <x:f>IF(N4="MISMATCH","SEAL_MISMATCH",IF(OR(K4="",M4=""),"PHOTO_MISSING",""))</x:f>
        <x:v>PHOTO_MISSING</x:v>
      </x:c>
      <x:c r="Q4" t="str">
        <x:f>IF(O4="","",CONCAT("Pickup:",J4," | Delivery:",L4," | Override:",IF(P4="","NONE",P4)))</x:f>
        <x:v>Pickup:SEAL-77102 | Delivery: | Override:NONE</x:v>
      </x:c>
      <x:c r="R4" t="str">
        <x:f>IF(O4="","CLEAR",IF(P4="","LOCKED","OVERRIDDEN"))</x:f>
        <x:v>LOCKED</x:v>
      </x:c>
      <x:c r="S4" t="inlineStr">
        <x:is>
          <x:t xml:space="preserve">MISSING_DELIVERY_SEAL</x:t>
        </x:is>
      </x:c>
      <x:c r="T4" t="inlineStr">
        <x:is>
          <x:t xml:space="preserve">YES</x:t>
        </x:is>
      </x:c>
      <x:c r="U4" t="inlineStr">
        <x:is>
          <x:t xml:space="preserve">OPEN</x:t>
        </x:is>
      </x:c>
      <x:c r="V4" t="inlineStr">
        <x:is>
          <x:t xml:space="preserve">Driver 3</x:t>
        </x:is>
      </x:c>
      <x:c r="W4" t="inlineStr">
        <x:is>
          <x:t xml:space="preserve">READY</x:t>
        </x:is>
      </x:c>
      <x:c r="X4" t="inlineStr">
        <x:is>
          <x:t xml:space="preserve">DELIVERED</x:t>
        </x:is>
      </x:c>
      <x:c r="Y4" t="inlineStr">
        <x:is>
          <x:t xml:space="preserve">/documents/loads/L-503_RC.pdf</x:t>
        </x:is>
      </x:c>
      <x:c r="Z4" t="inlineStr">
        <x:is>
          <x:t xml:space="preserve">/documents/loads/L-503_BOL.pdf</x:t>
        </x:is>
      </x:c>
      <x:c r="AA4" t="inlineStr">
        <x:is>
          <x:t xml:space="preserve">/documents/loads/L-503_PICKUP_SEAL.jpg</x:t>
        </x:is>
      </x:c>
      <x:c r="AB4" t="inlineStr">
        <x:is>
          <x:t xml:space="preserve">/documents/loads/L-503_DELIVERY_SEAL.jpg</x:t>
        </x:is>
      </x:c>
      <x:c r="AC4" t="inlineStr">
        <x:is>
          <x:t xml:space="preserve">/drivers/DRV-003.jpg</x:t>
        </x:is>
      </x:c>
      <x:c r="AD4" t="inlineStr">
        <x:is>
          <x:t xml:space="preserve">/images/pod/L-503_POD.jpg</x:t>
        </x:is>
      </x:c>
      <x:c r="AE4" t="inlineStr">
        <x:is>
          <x:t xml:space="preserve">/images/pickup/L-503_PICKUP.jpg</x:t>
        </x:is>
      </x:c>
      <x:c r="AF4" t="inlineStr">
        <x:is>
          <x:t xml:space="preserve">/images/delivery/L-503_DELIVERY.jpg</x:t>
        </x:is>
      </x:c>
      <x:c r="AG4" t="inlineStr">
        <x:is>
          <x:t xml:space="preserve">/images/lumper/L-503_LUMPER.jpg</x:t>
        </x:is>
      </x:c>
      <x:c r="AH4" t="inlineStr">
        <x:is>
          <x:t xml:space="preserve">Morgan Patel</x:t>
        </x:is>
      </x:c>
      <x:c r="AI4" t="inlineStr">
        <x:is>
          <x:t xml:space="preserve">IronRoute Transport</x:t>
        </x:is>
      </x:c>
      <x:c r="AJ4" t="inlineStr">
        <x:is>
          <x:t xml:space="preserve">MC-518903</x:t>
        </x:is>
      </x:c>
      <x:c r="AK4" t="inlineStr">
        <x:is>
          <x:t xml:space="preserve">Midwest Paper Co.</x:t>
        </x:is>
      </x:c>
      <x:c r="AL4" t="inlineStr">
        <x:is>
          <x:t xml:space="preserve">2210 Mill Rd</x:t>
        </x:is>
      </x:c>
      <x:c r="AM4" t="inlineStr">
        <x:is>
          <x:t xml:space="preserve">Columbus</x:t>
        </x:is>
      </x:c>
      <x:c r="AN4" t="inlineStr">
        <x:is>
          <x:t xml:space="preserve">OH</x:t>
        </x:is>
      </x:c>
      <x:c r="AO4" s="57" t="n">
        <x:v>45843.625</x:v>
      </x:c>
      <x:c r="AP4" t="inlineStr">
        <x:is>
          <x:t xml:space="preserve">Capital Retail Hub</x:t>
        </x:is>
      </x:c>
      <x:c r="AQ4" t="inlineStr">
        <x:is>
          <x:t xml:space="preserve">755 Market Loop</x:t>
        </x:is>
      </x:c>
      <x:c r="AR4" t="inlineStr">
        <x:is>
          <x:t xml:space="preserve">Indianapolis</x:t>
        </x:is>
      </x:c>
      <x:c r="AS4" t="inlineStr">
        <x:is>
          <x:t xml:space="preserve">IN</x:t>
        </x:is>
      </x:c>
      <x:c r="AT4" s="57" t="n">
        <x:v>45845.04166666666</x:v>
      </x:c>
      <x:c r="AU4" t="inlineStr">
        <x:is>
          <x:t xml:space="preserve">Plastic resins</x:t>
        </x:is>
      </x:c>
      <x:c r="AV4" s="68" t="n">
        <x:v>21169</x:v>
      </x:c>
      <x:c r="AW4" s="68" t="n">
        <x:v>23</x:v>
      </x:c>
      <x:c r="AX4" s="68" t="n">
        <x:v>1081</x:v>
      </x:c>
      <x:c r="AY4" t="inlineStr">
        <x:is>
          <x:t xml:space="preserve">TRL-2452</x:t>
        </x:is>
      </x:c>
      <x:c r="AZ4" t="inlineStr">
        <x:is>
          <x:t xml:space="preserve">RC-503-718</x:t>
        </x:is>
      </x:c>
      <x:c r="BA4" t="inlineStr">
        <x:is>
          <x:t xml:space="preserve">BOL-503-5333</x:t>
        </x:is>
      </x:c>
      <x:c r="BB4" t="inlineStr">
        <x:is>
          <x:t xml:space="preserve">YES</x:t>
        </x:is>
      </x:c>
      <x:c r="BC4" s="57" t="n">
        <x:v>45845.08333333334</x:v>
      </x:c>
      <x:c r="BD4" s="64" t="n">
        <x:v>240</x:v>
      </x:c>
      <x:c r="BE4" t="inlineStr">
        <x:is>
          <x:t xml:space="preserve">RFID-503-80284</x:t>
        </x:is>
      </x:c>
      <x:c r="BF4" s="57" t="n">
        <x:v>45843.63333333333</x:v>
      </x:c>
      <x:c r="BG4" s="57" t="n">
        <x:v>45845.08958333333</x:v>
      </x:c>
      <x:c r="BH4" t="inlineStr">
        <x:is>
          <x:t xml:space="preserve">Columbus Yard Gate 4</x:t>
        </x:is>
      </x:c>
      <x:c r="BI4" t="inlineStr">
        <x:is>
          <x:t xml:space="preserve">VERIFIED</x:t>
        </x:is>
      </x:c>
      <x:c r="BJ4" t="inlineStr">
        <x:is>
          <x:t xml:space="preserve">MISREAD_AT_GATE</x:t>
        </x:is>
      </x:c>
      <x:c r="BK4" t="inlineStr">
        <x:is>
          <x:t xml:space="preserve">CLM-2026004</x:t>
        </x:is>
      </x:c>
      <x:c r="BL4" t="inlineStr">
        <x:is>
          <x:t xml:space="preserve">FILED</x:t>
        </x:is>
      </x:c>
      <x:c r="BM4" t="inlineStr">
        <x:is>
          <x:t xml:space="preserve">Seal Tampering</x:t>
        </x:is>
      </x:c>
      <x:c r="BN4" s="55" t="n">
        <x:v>46209</x:v>
      </x:c>
      <x:c r="BO4" s="64" t="n">
        <x:v>2500</x:v>
      </x:c>
      <x:c r="BP4" s="64" t="n">
        <x:v>500</x:v>
      </x:c>
      <x:c r="BQ4" t="inlineStr">
        <x:is>
          <x:t xml:space="preserve">Jordan Patel</x:t>
        </x:is>
      </x:c>
      <x:c r="BR4" t="inlineStr">
        <x:is>
          <x:t xml:space="preserve">Travelers</x:t>
        </x:is>
      </x:c>
      <x:c r="BS4" t="inlineStr">
        <x:is>
          <x:t xml:space="preserve">POL-660004</x:t>
        </x:is>
      </x:c>
      <x:c r="BT4" t="inlineStr">
        <x:is>
          <x:t xml:space="preserve">BlueLine Retail - Indianapolis, IN</x:t>
        </x:is>
      </x:c>
      <x:c r="BU4" t="inlineStr">
        <x:is>
          <x:t xml:space="preserve">Lakeside Grocery - Atlanta, GA</x:t>
        </x:is>
      </x:c>
      <x:c r="BV4" s="55" t="n">
        <x:v>46208</x:v>
      </x:c>
      <x:c r="BW4" s="55" t="n">
        <x:v>46209</x:v>
      </x:c>
      <x:c r="BX4" t="inlineStr">
        <x:is>
          <x:t xml:space="preserve">09:00-12:00</x:t>
        </x:is>
      </x:c>
      <x:c r="BY4" t="inlineStr">
        <x:is>
          <x:t xml:space="preserve">11:00-15:00</x:t>
        </x:is>
      </x:c>
      <x:c r="BZ4" s="64" t="n">
        <x:v>2145</x:v>
      </x:c>
      <x:c r="CA4" s="64" t="n">
        <x:v>1722</x:v>
      </x:c>
      <x:c r="CB4" s="64" t="n">
        <x:v>252</x:v>
      </x:c>
      <x:c r="CC4" s="64" t="n">
        <x:v>75</x:v>
      </x:c>
      <x:c r="CD4" s="64" t="n">
        <x:v>51</x:v>
      </x:c>
      <x:c r="CE4" t="n">
        <x:v>354</x:v>
      </x:c>
      <x:c r="CF4" t="inlineStr">
        <x:is>
          <x:t xml:space="preserve">BLN-100502</x:t>
        </x:is>
      </x:c>
      <x:c r="CG4" t="inlineStr">
        <x:is>
          <x:t xml:space="preserve">PO-84002</x:t>
        </x:is>
      </x:c>
      <x:c r="CH4" t="inlineStr">
        <x:is>
          <x:t xml:space="preserve">RECEIVED</x:t>
        </x:is>
      </x:c>
      <x:c r="CI4" t="inlineStr">
        <x:is>
          <x:t xml:space="preserve">/images/pod/L-503_POD.jpg</x:t>
        </x:is>
      </x:c>
      <x:c r="CJ4" t="inlineStr">
        <x:is>
          <x:t xml:space="preserve">Dock Supervisor</x:t>
        </x:is>
      </x:c>
      <x:c r="CK4" t="inlineStr">
        <x:is>
          <x:t xml:space="preserve">MISSING</x:t>
        </x:is>
      </x:c>
      <x:c r="CL4" s="55" t="n">
        <x:v>46208</x:v>
      </x:c>
      <x:c r="CM4" t="inlineStr">
        <x:is>
          <x:t xml:space="preserve">UPLOADED</x:t>
        </x:is>
      </x:c>
      <x:c r="CN4" s="55" t="n">
        <x:v>46207</x:v>
      </x:c>
      <x:c r="CO4" t="inlineStr">
        <x:is>
          <x:t xml:space="preserve">TRAIL-2004</x:t>
        </x:is>
      </x:c>
      <x:c r="CP4" t="inlineStr">
        <x:is>
          <x:t xml:space="preserve">CARGO-5004</x:t>
        </x:is>
      </x:c>
      <x:c r="CQ4" s="57" t="n">
        <x:v>46209.42708333334</x:v>
      </x:c>
      <x:c r="CR4" t="inlineStr">
        <x:is>
          <x:t xml:space="preserve">Warehouse South</x:t>
        </x:is>
      </x:c>
      <x:c r="CS4" t="inlineStr">
        <x:is>
          <x:t xml:space="preserve">YES</x:t>
        </x:is>
      </x:c>
      <x:c r="CT4" t="inlineStr">
        <x:is>
          <x:t xml:space="preserve">No active claim</x:t>
        </x:is>
      </x:c>
      <x:c r="CU4" s="64" t="n">
        <x:v>2125</x:v>
      </x:c>
      <x:c r="CV4" s="64" t="n">
        <x:v>2500</x:v>
      </x:c>
      <x:c r="CW4" t="inlineStr">
        <x:is>
          <x:t xml:space="preserve">General Liability</x:t>
        </x:is>
      </x:c>
      <x:c r="CX4" t="inlineStr">
        <x:is>
          <x:t xml:space="preserve">YES</x:t>
        </x:is>
      </x:c>
      <x:c r="CY4" t="inlineStr">
        <x:is>
          <x:t xml:space="preserve">NO</x:t>
        </x:is>
      </x:c>
      <x:c r="CZ4" s="64" t="n">
        <x:v>2145</x:v>
      </x:c>
      <x:c r="DA4" s="64" t="n">
        <x:v>588</x:v>
      </x:c>
      <x:c r="DB4" t="inlineStr">
        <x:is>
          <x:t xml:space="preserve">YES</x:t>
        </x:is>
      </x:c>
      <x:c r="DC4" t="inlineStr">
        <x:is>
          <x:t xml:space="preserve">Missing proof bundle</x:t>
        </x:is>
      </x:c>
      <x:c r="DD4" t="inlineStr">
        <x:is>
          <x:t xml:space="preserve">INCOMPLETE</x:t>
        </x:is>
      </x:c>
      <x:c r="DE4" t="inlineStr">
        <x:is>
          <x:t xml:space="preserve">OH</x:t>
        </x:is>
      </x:c>
      <x:c r="DF4" t="inlineStr">
        <x:is>
          <x:t xml:space="preserve">IN</x:t>
        </x:is>
      </x:c>
    </x:row>
    <x:row r="5">
      <x:c r="A5" t="inlineStr">
        <x:is>
          <x:t xml:space="preserve">L-504</x:t>
        </x:is>
      </x:c>
      <x:c r="B5" t="inlineStr">
        <x:is>
          <x:t xml:space="preserve">DRV-004</x:t>
        </x:is>
      </x:c>
      <x:c r="C5" t="inlineStr">
        <x:is>
          <x:t xml:space="preserve">Priya Patel</x:t>
        </x:is>
      </x:c>
      <x:c r="D5" t="inlineStr">
        <x:is>
          <x:t xml:space="preserve">T-108</x:t>
        </x:is>
      </x:c>
      <x:c r="E5" s="64" t="n">
        <x:v>1950</x:v>
      </x:c>
      <x:c r="F5" s="64" t="n">
        <x:v>88</x:v>
      </x:c>
      <x:c r="G5" t="inlineStr">
        <x:is>
          <x:t xml:space="preserve">YES</x:t>
        </x:is>
      </x:c>
      <x:c r="H5" t="inlineStr">
        <x:is>
          <x:t xml:space="preserve">PENDING</x:t>
        </x:is>
      </x:c>
      <x:c r="I5" t="inlineStr">
        <x:is>
          <x:t xml:space="preserve">Awaiting POD</x:t>
        </x:is>
      </x:c>
      <x:c r="J5" t="inlineStr">
        <x:is>
          <x:t xml:space="preserve">SEAL-61044</x:t>
        </x:is>
      </x:c>
      <x:c r="K5" t="inlineStr">
        <x:is>
          <x:t xml:space="preserve">pickup_photo_04.jpg</x:t>
        </x:is>
      </x:c>
      <x:c r="L5" t="inlineStr">
        <x:is>
          <x:t xml:space="preserve">SEAL-61043</x:t>
        </x:is>
      </x:c>
      <x:c r="M5" t="inlineStr">
        <x:is>
          <x:t xml:space="preserve">delivery_photo_04.jpg</x:t>
        </x:is>
      </x:c>
      <x:c r="N5" t="str">
        <x:f>IF(L5="","PENDING",IF(L5&lt;&gt;J5,"MISMATCH","VERIFIED"))</x:f>
        <x:v>MISMATCH</x:v>
      </x:c>
      <x:c r="O5" t="str">
        <x:f>IF(N5="MISMATCH","SEAL_MISMATCH",IF(OR(K5="",M5=""),"PHOTO_MISSING",""))</x:f>
        <x:v>SEAL_MISMATCH</x:v>
      </x:c>
      <x:c r="P5" t="inlineStr">
        <x:is>
          <x:t xml:space="preserve">Dock supervisor approved</x:t>
        </x:is>
      </x:c>
      <x:c r="Q5" t="str">
        <x:f>IF(O5="","",CONCAT("Pickup:",J5," | Delivery:",L5," | Override:",IF(P5="","NONE",P5)))</x:f>
        <x:v>Pickup:SEAL-61044 | Delivery:SEAL-61043 | Override:Dock supervisor approved</x:v>
      </x:c>
      <x:c r="R5" t="str">
        <x:f>IF(O5="","CLEAR",IF(P5="","LOCKED","OVERRIDDEN"))</x:f>
        <x:v>OVERRIDDEN</x:v>
      </x:c>
      <x:c r="S5" t="inlineStr">
        <x:is>
          <x:t xml:space="preserve">SEAL_MISMATCH</x:t>
        </x:is>
      </x:c>
      <x:c r="T5" t="inlineStr">
        <x:is>
          <x:t xml:space="preserve">YES</x:t>
        </x:is>
      </x:c>
      <x:c r="U5" t="inlineStr">
        <x:is>
          <x:t xml:space="preserve">OPEN</x:t>
        </x:is>
      </x:c>
      <x:c r="V5" t="inlineStr">
        <x:is>
          <x:t xml:space="preserve">Driver 4</x:t>
        </x:is>
      </x:c>
      <x:c r="W5" t="inlineStr">
        <x:is>
          <x:t xml:space="preserve">PENDING</x:t>
        </x:is>
      </x:c>
      <x:c r="X5" t="inlineStr">
        <x:is>
          <x:t xml:space="preserve">PENDING</x:t>
        </x:is>
      </x:c>
      <x:c r="Y5" t="inlineStr">
        <x:is>
          <x:t xml:space="preserve">/documents/loads/L-504_RC.pdf</x:t>
        </x:is>
      </x:c>
      <x:c r="Z5" t="inlineStr">
        <x:is>
          <x:t xml:space="preserve">/documents/loads/L-504_BOL.pdf</x:t>
        </x:is>
      </x:c>
      <x:c r="AA5" t="inlineStr">
        <x:is>
          <x:t xml:space="preserve">/documents/loads/L-504_PICKUP_SEAL.jpg</x:t>
        </x:is>
      </x:c>
      <x:c r="AB5" t="inlineStr">
        <x:is>
          <x:t xml:space="preserve">/documents/loads/L-504_DELIVERY_SEAL.jpg</x:t>
        </x:is>
      </x:c>
      <x:c r="AC5" t="inlineStr">
        <x:is>
          <x:t xml:space="preserve">/drivers/DRV-004.jpg</x:t>
        </x:is>
      </x:c>
      <x:c r="AD5" t="inlineStr">
        <x:is>
          <x:t xml:space="preserve">/images/pod/L-504_POD.jpg</x:t>
        </x:is>
      </x:c>
      <x:c r="AE5" t="inlineStr">
        <x:is>
          <x:t xml:space="preserve">/images/pickup/L-504_PICKUP.jpg</x:t>
        </x:is>
      </x:c>
      <x:c r="AF5" t="inlineStr">
        <x:is>
          <x:t xml:space="preserve">/images/delivery/L-504_DELIVERY.jpg</x:t>
        </x:is>
      </x:c>
      <x:c r="AG5" t="inlineStr">
        <x:is>
          <x:t xml:space="preserve">/images/lumper/L-504_LUMPER.jpg</x:t>
        </x:is>
      </x:c>
      <x:c r="AH5" t="inlineStr">
        <x:is>
          <x:t xml:space="preserve">Avery Collins</x:t>
        </x:is>
      </x:c>
      <x:c r="AI5" t="inlineStr">
        <x:is>
          <x:t xml:space="preserve">NorthStar 3PL</x:t>
        </x:is>
      </x:c>
      <x:c r="AJ5" t="inlineStr">
        <x:is>
          <x:t xml:space="preserve">MC-774221</x:t>
        </x:is>
      </x:c>
      <x:c r="AK5" t="inlineStr">
        <x:is>
          <x:t xml:space="preserve">Sunbelt Beverages</x:t>
        </x:is>
      </x:c>
      <x:c r="AL5" t="inlineStr">
        <x:is>
          <x:t xml:space="preserve">9900 Commerce Blvd</x:t>
        </x:is>
      </x:c>
      <x:c r="AM5" t="inlineStr">
        <x:is>
          <x:t xml:space="preserve">Charlotte</x:t>
        </x:is>
      </x:c>
      <x:c r="AN5" t="inlineStr">
        <x:is>
          <x:t xml:space="preserve">NC</x:t>
        </x:is>
      </x:c>
      <x:c r="AO5" s="57" t="n">
        <x:v>45845.70833333334</x:v>
      </x:c>
      <x:c r="AP5" t="inlineStr">
        <x:is>
          <x:t xml:space="preserve">Bayport Imports</x:t>
        </x:is>
      </x:c>
      <x:c r="AQ5" t="inlineStr">
        <x:is>
          <x:t xml:space="preserve">330 Dockside Ln</x:t>
        </x:is>
      </x:c>
      <x:c r="AR5" t="inlineStr">
        <x:is>
          <x:t xml:space="preserve">Savannah</x:t>
        </x:is>
      </x:c>
      <x:c r="AS5" t="inlineStr">
        <x:is>
          <x:t xml:space="preserve">GA</x:t>
        </x:is>
      </x:c>
      <x:c r="AT5" s="57" t="n">
        <x:v>45848.91666666666</x:v>
      </x:c>
      <x:c r="AU5" t="inlineStr">
        <x:is>
          <x:t xml:space="preserve">Building materials</x:t>
        </x:is>
      </x:c>
      <x:c r="AV5" s="68" t="n">
        <x:v>19501</x:v>
      </x:c>
      <x:c r="AW5" s="68" t="n">
        <x:v>19</x:v>
      </x:c>
      <x:c r="AX5" s="68" t="n">
        <x:v>836</x:v>
      </x:c>
      <x:c r="AY5" t="inlineStr">
        <x:is>
          <x:t xml:space="preserve">TRL-2396</x:t>
        </x:is>
      </x:c>
      <x:c r="AZ5" t="inlineStr">
        <x:is>
          <x:t xml:space="preserve">RC-504-181</x:t>
        </x:is>
      </x:c>
      <x:c r="BA5" t="inlineStr">
        <x:is>
          <x:t xml:space="preserve">BOL-504-4814</x:t>
        </x:is>
      </x:c>
      <x:c r="BB5" t="inlineStr">
        <x:is>
          <x:t xml:space="preserve">NO</x:t>
        </x:is>
      </x:c>
      <x:c r="BC5" s="57" t="n">
        <x:v>46211.45833333334</x:v>
      </x:c>
      <x:c r="BD5" s="64" t="n">
        <x:v>0</x:v>
      </x:c>
      <x:c r="BE5" t="inlineStr">
        <x:is>
          <x:t xml:space="preserve">RFID-504-59823</x:t>
        </x:is>
      </x:c>
      <x:c r="BF5" s="57" t="n">
        <x:v>45845.72361111111</x:v>
      </x:c>
      <x:c r="BG5" s="57" t="n">
        <x:v>46211.41666666666</x:v>
      </x:c>
      <x:c r="BH5" t="inlineStr">
        <x:is>
          <x:t xml:space="preserve">Charlotte Yard Gate 4</x:t>
        </x:is>
      </x:c>
      <x:c r="BI5" t="inlineStr">
        <x:is>
          <x:t xml:space="preserve">VERIFIED</x:t>
        </x:is>
      </x:c>
      <x:c r="BJ5" t="inlineStr">
        <x:is>
          <x:t xml:space="preserve">MISREAD</x:t>
        </x:is>
      </x:c>
      <x:c r="BK5" t="inlineStr">
        <x:is>
          <x:t xml:space="preserve">CLM-504-4432</x:t>
        </x:is>
      </x:c>
      <x:c r="BL5" t="inlineStr">
        <x:is>
          <x:t xml:space="preserve">SETTLED</x:t>
        </x:is>
      </x:c>
      <x:c r="BM5" t="inlineStr">
        <x:is>
          <x:t xml:space="preserve">Shortage</x:t>
        </x:is>
      </x:c>
      <x:c r="BN5" s="55" t="n">
        <x:v>45845</x:v>
      </x:c>
      <x:c r="BO5" s="64" t="n">
        <x:v>9110.389999999999</x:v>
      </x:c>
      <x:c r="BP5" s="64" t="n">
        <x:v>1500</x:v>
      </x:c>
      <x:c r="BQ5" t="inlineStr">
        <x:is>
          <x:t xml:space="preserve">Kelly Moore</x:t>
        </x:is>
      </x:c>
      <x:c r="BR5" t="inlineStr">
        <x:is>
          <x:t xml:space="preserve">Travelers Inland Marine</x:t>
        </x:is>
      </x:c>
      <x:c r="BS5" t="inlineStr">
        <x:is>
          <x:t xml:space="preserve">POL-660086</x:t>
        </x:is>
      </x:c>
      <x:c r="BT5" t="inlineStr">
        <x:is>
          <x:t xml:space="preserve">NorthStar Paper - Dallas, TX</x:t>
        </x:is>
      </x:c>
      <x:c r="BU5" t="inlineStr">
        <x:is>
          <x:t xml:space="preserve">Cleveland Receiver - St. Louis, MO</x:t>
        </x:is>
      </x:c>
      <x:c r="BV5" s="55" t="n">
        <x:v>46210</x:v>
      </x:c>
      <x:c r="BW5" s="55" t="n">
        <x:v>46211</x:v>
      </x:c>
      <x:c r="BX5" t="inlineStr">
        <x:is>
          <x:t xml:space="preserve">10:00-13:00</x:t>
        </x:is>
      </x:c>
      <x:c r="BY5" t="inlineStr">
        <x:is>
          <x:t xml:space="preserve">09:00-13:00</x:t>
        </x:is>
      </x:c>
      <x:c r="BZ5" s="64" t="n">
        <x:v>2038</x:v>
      </x:c>
      <x:c r="CA5" s="64" t="n">
        <x:v>1599</x:v>
      </x:c>
      <x:c r="CB5" s="64" t="n">
        <x:v>234</x:v>
      </x:c>
      <x:c r="CC5" s="64" t="n">
        <x:v>0</x:v>
      </x:c>
      <x:c r="CD5" s="64" t="n">
        <x:v>117</x:v>
      </x:c>
      <x:c r="CE5" t="n">
        <x:v>411</x:v>
      </x:c>
      <x:c r="CF5" t="inlineStr">
        <x:is>
          <x:t xml:space="preserve">BLN-100503</x:t>
        </x:is>
      </x:c>
      <x:c r="CG5" t="inlineStr">
        <x:is>
          <x:t xml:space="preserve">PO-84003</x:t>
        </x:is>
      </x:c>
      <x:c r="CH5" t="inlineStr">
        <x:is>
          <x:t xml:space="preserve">RECEIVED</x:t>
        </x:is>
      </x:c>
      <x:c r="CI5" t="inlineStr">
        <x:is>
          <x:t xml:space="preserve">/images/pod/L-504_POD.jpg</x:t>
        </x:is>
      </x:c>
      <x:c r="CJ5" t="inlineStr">
        <x:is>
          <x:t xml:space="preserve">Inventory Lead</x:t>
        </x:is>
      </x:c>
      <x:c r="CK5" t="inlineStr">
        <x:is>
          <x:t xml:space="preserve">UPLOADED</x:t>
        </x:is>
      </x:c>
      <x:c r="CL5" s="55" t="n">
        <x:v>46210</x:v>
      </x:c>
      <x:c r="CM5" t="inlineStr">
        <x:is>
          <x:t xml:space="preserve">UPLOADED</x:t>
        </x:is>
      </x:c>
      <x:c r="CN5" s="55" t="n">
        <x:v>46209</x:v>
      </x:c>
      <x:c r="CO5" t="inlineStr">
        <x:is>
          <x:t xml:space="preserve">TRAIL-2005</x:t>
        </x:is>
      </x:c>
      <x:c r="CP5" t="inlineStr">
        <x:is>
          <x:t xml:space="preserve">CARGO-5005</x:t>
        </x:is>
      </x:c>
      <x:c r="CQ5" s="57" t="n">
        <x:v>46211.42708333334</x:v>
      </x:c>
      <x:c r="CR5" t="inlineStr">
        <x:is>
          <x:t xml:space="preserve">Crossdock Bay 2</x:t>
        </x:is>
      </x:c>
      <x:c r="CS5" t="inlineStr">
        <x:is>
          <x:t xml:space="preserve">YES</x:t>
        </x:is>
      </x:c>
      <x:c r="CT5" t="inlineStr">
        <x:is>
          <x:t xml:space="preserve">Shortage under review</x:t>
        </x:is>
      </x:c>
      <x:c r="CU5" s="64" t="n">
        <x:v>7743.831499999999</x:v>
      </x:c>
      <x:c r="CV5" s="64" t="n">
        <x:v>7610.389999999999</x:v>
      </x:c>
      <x:c r="CW5" t="inlineStr">
        <x:is>
          <x:t xml:space="preserve">Motor Truck Cargo</x:t>
        </x:is>
      </x:c>
      <x:c r="CX5" t="inlineStr">
        <x:is>
          <x:t xml:space="preserve">YES</x:t>
        </x:is>
      </x:c>
      <x:c r="CY5" t="inlineStr">
        <x:is>
          <x:t xml:space="preserve">YES</x:t>
        </x:is>
      </x:c>
      <x:c r="CZ5" s="64" t="n">
        <x:v>2038</x:v>
      </x:c>
      <x:c r="DA5" s="64" t="n">
        <x:v>546</x:v>
      </x:c>
      <x:c r="DB5" t="inlineStr">
        <x:is>
          <x:t xml:space="preserve">NO</x:t>
        </x:is>
      </x:c>
      <x:c r="DC5" t="inlineStr">
        <x:is>
          <x:t xml:space="preserve"/>
        </x:is>
      </x:c>
      <x:c r="DD5" t="inlineStr">
        <x:is>
          <x:t xml:space="preserve">COMPLETE</x:t>
        </x:is>
      </x:c>
      <x:c r="DE5" t="inlineStr">
        <x:is>
          <x:t xml:space="preserve">NC</x:t>
        </x:is>
      </x:c>
      <x:c r="DF5" t="inlineStr">
        <x:is>
          <x:t xml:space="preserve">GA</x:t>
        </x:is>
      </x:c>
    </x:row>
    <x:row r="6">
      <x:c r="A6" t="inlineStr">
        <x:is>
          <x:t xml:space="preserve">L-505</x:t>
        </x:is>
      </x:c>
      <x:c r="B6" t="inlineStr">
        <x:is>
          <x:t xml:space="preserve">DRV-005</x:t>
        </x:is>
      </x:c>
      <x:c r="C6" t="inlineStr">
        <x:is>
          <x:t xml:space="preserve">Kenji Tanaka</x:t>
        </x:is>
      </x:c>
      <x:c r="D6" t="inlineStr">
        <x:is>
          <x:t xml:space="preserve">T-104</x:t>
        </x:is>
      </x:c>
      <x:c r="E6" s="64" t="n">
        <x:v>2200</x:v>
      </x:c>
      <x:c r="F6" s="64" t="n">
        <x:v>45</x:v>
      </x:c>
      <x:c r="G6" t="inlineStr">
        <x:is>
          <x:t xml:space="preserve">NO</x:t>
        </x:is>
      </x:c>
      <x:c r="H6" t="inlineStr">
        <x:is>
          <x:t xml:space="preserve">DELIVERED</x:t>
        </x:is>
      </x:c>
      <x:c r="J6" t="inlineStr">
        <x:is>
          <x:t xml:space="preserve">SEAL-44018</x:t>
        </x:is>
      </x:c>
      <x:c r="K6" t="inlineStr">
        <x:is>
          <x:t xml:space="preserve">pickup_photo_05.jpg</x:t>
        </x:is>
      </x:c>
      <x:c r="L6" t="inlineStr">
        <x:is>
          <x:t xml:space="preserve">SEAL-44018</x:t>
        </x:is>
      </x:c>
      <x:c r="M6" t="inlineStr">
        <x:is>
          <x:t xml:space="preserve">delivery_photo_05.jpg</x:t>
        </x:is>
      </x:c>
      <x:c r="N6" t="str">
        <x:f>IF(L6="","PENDING",IF(L6&lt;&gt;J6,"MISMATCH","VERIFIED"))</x:f>
        <x:v>VERIFIED</x:v>
      </x:c>
      <x:c r="O6" t="str">
        <x:f>IF(N6="MISMATCH","SEAL_MISMATCH",IF(OR(K6="",M6=""),"PHOTO_MISSING",""))</x:f>
      </x:c>
      <x:c r="Q6" t="str">
        <x:f>IF(O6="","",CONCAT("Pickup:",J6," | Delivery:",L6," | Override:",IF(P6="","NONE",P6)))</x:f>
      </x:c>
      <x:c r="R6" t="str">
        <x:f>IF(O6="","CLEAR",IF(P6="","LOCKED","OVERRIDDEN"))</x:f>
        <x:v>CLEAR</x:v>
      </x:c>
      <x:c r="S6" t="inlineStr">
        <x:is>
          <x:t xml:space="preserve">VERIFIED</x:t>
        </x:is>
      </x:c>
      <x:c r="T6" t="inlineStr">
        <x:is>
          <x:t xml:space="preserve">NO</x:t>
        </x:is>
      </x:c>
      <x:c r="U6" t="inlineStr">
        <x:is>
          <x:t xml:space="preserve">CLOSED</x:t>
        </x:is>
      </x:c>
      <x:c r="V6" t="inlineStr">
        <x:is>
          <x:t xml:space="preserve">Driver 5</x:t>
        </x:is>
      </x:c>
      <x:c r="W6" t="inlineStr">
        <x:is>
          <x:t xml:space="preserve">READY</x:t>
        </x:is>
      </x:c>
      <x:c r="X6" t="inlineStr">
        <x:is>
          <x:t xml:space="preserve">DELIVERED</x:t>
        </x:is>
      </x:c>
      <x:c r="Y6" t="inlineStr">
        <x:is>
          <x:t xml:space="preserve">/documents/loads/L-505_RC.pdf</x:t>
        </x:is>
      </x:c>
      <x:c r="Z6" t="inlineStr">
        <x:is>
          <x:t xml:space="preserve">/documents/loads/L-505_BOL.pdf</x:t>
        </x:is>
      </x:c>
      <x:c r="AA6" t="inlineStr">
        <x:is>
          <x:t xml:space="preserve">/documents/loads/L-505_PICKUP_SEAL.jpg</x:t>
        </x:is>
      </x:c>
      <x:c r="AB6" t="inlineStr">
        <x:is>
          <x:t xml:space="preserve">/documents/loads/L-505_DELIVERY_SEAL.jpg</x:t>
        </x:is>
      </x:c>
      <x:c r="AC6" t="inlineStr">
        <x:is>
          <x:t xml:space="preserve">/drivers/DRV-005.jpg</x:t>
        </x:is>
      </x:c>
      <x:c r="AD6" t="inlineStr">
        <x:is>
          <x:t xml:space="preserve">/images/pod/L-505_POD.jpg</x:t>
        </x:is>
      </x:c>
      <x:c r="AE6" t="inlineStr">
        <x:is>
          <x:t xml:space="preserve">/images/pickup/L-505_PICKUP.jpg</x:t>
        </x:is>
      </x:c>
      <x:c r="AF6" t="inlineStr">
        <x:is>
          <x:t xml:space="preserve">/images/delivery/L-505_DELIVERY.jpg</x:t>
        </x:is>
      </x:c>
      <x:c r="AG6" t="inlineStr">
        <x:is>
          <x:t xml:space="preserve">/images/lumper/L-505_LUMPER.jpg</x:t>
        </x:is>
      </x:c>
      <x:c r="AH6" t="inlineStr">
        <x:is>
          <x:t xml:space="preserve">Nina Harris</x:t>
        </x:is>
      </x:c>
      <x:c r="AI6" t="inlineStr">
        <x:is>
          <x:t xml:space="preserve">Pioneer Brokerage</x:t>
        </x:is>
      </x:c>
      <x:c r="AJ6" t="inlineStr">
        <x:is>
          <x:t xml:space="preserve">MC-699114</x:t>
        </x:is>
      </x:c>
      <x:c r="AK6" t="inlineStr">
        <x:is>
          <x:t xml:space="preserve">Frontier Retail DC</x:t>
        </x:is>
      </x:c>
      <x:c r="AL6" t="inlineStr">
        <x:is>
          <x:t xml:space="preserve">5600 Warehouse Way</x:t>
        </x:is>
      </x:c>
      <x:c r="AM6" t="inlineStr">
        <x:is>
          <x:t xml:space="preserve">Dallas</x:t>
        </x:is>
      </x:c>
      <x:c r="AN6" t="inlineStr">
        <x:is>
          <x:t xml:space="preserve">TX</x:t>
        </x:is>
      </x:c>
      <x:c r="AO6" s="57" t="n">
        <x:v>45847.58333333334</x:v>
      </x:c>
      <x:c r="AP6" t="inlineStr">
        <x:is>
          <x:t xml:space="preserve">Metro Supply Chain</x:t>
        </x:is>
      </x:c>
      <x:c r="AQ6" t="inlineStr">
        <x:is>
          <x:t xml:space="preserve">120 Junction Rd</x:t>
        </x:is>
      </x:c>
      <x:c r="AR6" t="inlineStr">
        <x:is>
          <x:t xml:space="preserve">Chicago</x:t>
        </x:is>
      </x:c>
      <x:c r="AS6" t="inlineStr">
        <x:is>
          <x:t xml:space="preserve">IL</x:t>
        </x:is>
      </x:c>
      <x:c r="AT6" s="57" t="n">
        <x:v>45850</x:v>
      </x:c>
      <x:c r="AU6" t="inlineStr">
        <x:is>
          <x:t xml:space="preserve">Paper products</x:t>
        </x:is>
      </x:c>
      <x:c r="AV6" s="68" t="n">
        <x:v>26845</x:v>
      </x:c>
      <x:c r="AW6" s="68" t="n">
        <x:v>19</x:v>
      </x:c>
      <x:c r="AX6" s="68" t="n">
        <x:v>779</x:v>
      </x:c>
      <x:c r="AY6" t="inlineStr">
        <x:is>
          <x:t xml:space="preserve">TRL-2432</x:t>
        </x:is>
      </x:c>
      <x:c r="AZ6" t="inlineStr">
        <x:is>
          <x:t xml:space="preserve">RC-505-963</x:t>
        </x:is>
      </x:c>
      <x:c r="BA6" t="inlineStr">
        <x:is>
          <x:t xml:space="preserve">BOL-505-1916</x:t>
        </x:is>
      </x:c>
      <x:c r="BB6" t="inlineStr">
        <x:is>
          <x:t xml:space="preserve">YES</x:t>
        </x:is>
      </x:c>
      <x:c r="BC6" s="57" t="n">
        <x:v>45850.08333333334</x:v>
      </x:c>
      <x:c r="BD6" s="64" t="n">
        <x:v>0</x:v>
      </x:c>
      <x:c r="BE6" t="inlineStr">
        <x:is>
          <x:t xml:space="preserve">RFID-505-51347</x:t>
        </x:is>
      </x:c>
      <x:c r="BF6" s="57" t="n">
        <x:v>45847.60416666666</x:v>
      </x:c>
      <x:c r="BG6" s="57" t="n">
        <x:v>45850.01875</x:v>
      </x:c>
      <x:c r="BH6" t="inlineStr">
        <x:is>
          <x:t xml:space="preserve">Dallas Yard Gate 1</x:t>
        </x:is>
      </x:c>
      <x:c r="BI6" t="inlineStr">
        <x:is>
          <x:t xml:space="preserve">VERIFIED</x:t>
        </x:is>
      </x:c>
      <x:c r="BJ6" t="inlineStr">
        <x:is>
          <x:t xml:space="preserve"/>
        </x:is>
      </x:c>
      <x:c r="BK6" t="inlineStr">
        <x:is>
          <x:t xml:space="preserve">CLM-2026006</x:t>
        </x:is>
      </x:c>
      <x:c r="BL6" t="inlineStr">
        <x:is>
          <x:t xml:space="preserve">RESOLVED</x:t>
        </x:is>
      </x:c>
      <x:c r="BM6" t="inlineStr">
        <x:is>
          <x:t xml:space="preserve">Shortage</x:t>
        </x:is>
      </x:c>
      <x:c r="BN6" s="55" t="n">
        <x:v>46213</x:v>
      </x:c>
      <x:c r="BO6" s="64" t="n">
        <x:v>750</x:v>
      </x:c>
      <x:c r="BP6" s="64" t="n">
        <x:v>500</x:v>
      </x:c>
      <x:c r="BQ6" t="inlineStr">
        <x:is>
          <x:t xml:space="preserve">Alex Rivera</x:t>
        </x:is>
      </x:c>
      <x:c r="BR6" t="inlineStr">
        <x:is>
          <x:t xml:space="preserve">Zurich</x:t>
        </x:is>
      </x:c>
      <x:c r="BS6" t="inlineStr">
        <x:is>
          <x:t xml:space="preserve">POL-660006</x:t>
        </x:is>
      </x:c>
      <x:c r="BT6" t="inlineStr">
        <x:is>
          <x:t xml:space="preserve">Rapid Parts - Memphis, TN</x:t>
        </x:is>
      </x:c>
      <x:c r="BU6" t="inlineStr">
        <x:is>
          <x:t xml:space="preserve">Delta Retail DC - Nashville, TN</x:t>
        </x:is>
      </x:c>
      <x:c r="BV6" s="55" t="n">
        <x:v>46212</x:v>
      </x:c>
      <x:c r="BW6" s="55" t="n">
        <x:v>46213</x:v>
      </x:c>
      <x:c r="BX6" t="inlineStr">
        <x:is>
          <x:t xml:space="preserve">08:00-11:00</x:t>
        </x:is>
      </x:c>
      <x:c r="BY6" t="inlineStr">
        <x:is>
          <x:t xml:space="preserve">10:00-14:00</x:t>
        </x:is>
      </x:c>
      <x:c r="BZ6" s="64" t="n">
        <x:v>2245</x:v>
      </x:c>
      <x:c r="CA6" s="64" t="n">
        <x:v>1804</x:v>
      </x:c>
      <x:c r="CB6" s="64" t="n">
        <x:v>264</x:v>
      </x:c>
      <x:c r="CC6" s="64" t="n">
        <x:v>25</x:v>
      </x:c>
      <x:c r="CD6" s="64" t="n">
        <x:v>107</x:v>
      </x:c>
      <x:c r="CE6" t="n">
        <x:v>468</x:v>
      </x:c>
      <x:c r="CF6" t="inlineStr">
        <x:is>
          <x:t xml:space="preserve">BLN-100504</x:t>
        </x:is>
      </x:c>
      <x:c r="CG6" t="inlineStr">
        <x:is>
          <x:t xml:space="preserve">PO-84004</x:t>
        </x:is>
      </x:c>
      <x:c r="CH6" t="inlineStr">
        <x:is>
          <x:t xml:space="preserve">PENDING</x:t>
        </x:is>
      </x:c>
      <x:c r="CI6" t="inlineStr">
        <x:is>
          <x:t xml:space="preserve">/images/pod/L-505_POD.jpg</x:t>
        </x:is>
      </x:c>
      <x:c r="CJ6" t="inlineStr">
        <x:is>
          <x:t xml:space="preserve">Warehouse Clerk</x:t>
        </x:is>
      </x:c>
      <x:c r="CK6" t="inlineStr">
        <x:is>
          <x:t xml:space="preserve">UPLOADED</x:t>
        </x:is>
      </x:c>
      <x:c r="CL6" s="55" t="n">
        <x:v>46212</x:v>
      </x:c>
      <x:c r="CM6" t="inlineStr">
        <x:is>
          <x:t xml:space="preserve">UPLOADED</x:t>
        </x:is>
      </x:c>
      <x:c r="CN6" s="55" t="n">
        <x:v>46211</x:v>
      </x:c>
      <x:c r="CO6" t="inlineStr">
        <x:is>
          <x:t xml:space="preserve">TRAIL-2006</x:t>
        </x:is>
      </x:c>
      <x:c r="CP6" t="inlineStr">
        <x:is>
          <x:t xml:space="preserve">CARGO-5006</x:t>
        </x:is>
      </x:c>
      <x:c r="CQ6" s="57" t="n">
        <x:v>46213.42708333334</x:v>
      </x:c>
      <x:c r="CR6" t="inlineStr">
        <x:is>
          <x:t xml:space="preserve">Receiver Gate 1</x:t>
        </x:is>
      </x:c>
      <x:c r="CS6" t="inlineStr">
        <x:is>
          <x:t xml:space="preserve">YES</x:t>
        </x:is>
      </x:c>
      <x:c r="CT6" t="inlineStr">
        <x:is>
          <x:t xml:space="preserve">Cargo shift photos attached</x:t>
        </x:is>
      </x:c>
      <x:c r="CU6" s="64" t="n">
        <x:v>637.5</x:v>
      </x:c>
      <x:c r="CV6" s="64" t="n">
        <x:v>750</x:v>
      </x:c>
      <x:c r="CW6" t="inlineStr">
        <x:is>
          <x:t xml:space="preserve">Auto Liability</x:t>
        </x:is>
      </x:c>
      <x:c r="CX6" t="inlineStr">
        <x:is>
          <x:t xml:space="preserve">YES</x:t>
        </x:is>
      </x:c>
      <x:c r="CY6" t="inlineStr">
        <x:is>
          <x:t xml:space="preserve">YES</x:t>
        </x:is>
      </x:c>
      <x:c r="CZ6" s="64" t="n">
        <x:v>2245</x:v>
      </x:c>
      <x:c r="DA6" s="64" t="n">
        <x:v>616</x:v>
      </x:c>
      <x:c r="DB6" t="inlineStr">
        <x:is>
          <x:t xml:space="preserve">NO</x:t>
        </x:is>
      </x:c>
      <x:c r="DC6" t="inlineStr">
        <x:is>
          <x:t xml:space="preserve"/>
        </x:is>
      </x:c>
      <x:c r="DD6" t="inlineStr">
        <x:is>
          <x:t xml:space="preserve">COMPLETE</x:t>
        </x:is>
      </x:c>
      <x:c r="DE6" t="inlineStr">
        <x:is>
          <x:t xml:space="preserve">TX</x:t>
        </x:is>
      </x:c>
      <x:c r="DF6" t="inlineStr">
        <x:is>
          <x:t xml:space="preserve">IL</x:t>
        </x:is>
      </x:c>
    </x:row>
    <x:row r="7">
      <x:c r="A7" t="inlineStr">
        <x:is>
          <x:t xml:space="preserve">L-506</x:t>
        </x:is>
      </x:c>
      <x:c r="B7" t="inlineStr">
        <x:is>
          <x:t xml:space="preserve">DRV-006</x:t>
        </x:is>
      </x:c>
      <x:c r="C7" t="inlineStr">
        <x:is>
          <x:t xml:space="preserve">Marcus Chen</x:t>
        </x:is>
      </x:c>
      <x:c r="D7" t="inlineStr">
        <x:is>
          <x:t xml:space="preserve">T-103</x:t>
        </x:is>
      </x:c>
      <x:c r="E7" s="64" t="n">
        <x:v>2050</x:v>
      </x:c>
      <x:c r="F7" s="64" t="n">
        <x:v>72</x:v>
      </x:c>
      <x:c r="G7" t="inlineStr">
        <x:is>
          <x:t xml:space="preserve">YES</x:t>
        </x:is>
      </x:c>
      <x:c r="H7" t="inlineStr">
        <x:is>
          <x:t xml:space="preserve">DELIVERED</x:t>
        </x:is>
      </x:c>
      <x:c r="J7" t="inlineStr">
        <x:is>
          <x:t xml:space="preserve">SEAL-99871</x:t>
        </x:is>
      </x:c>
      <x:c r="K7" t="inlineStr">
        <x:is>
          <x:t xml:space="preserve">pickup_photo_06.jpg</x:t>
        </x:is>
      </x:c>
      <x:c r="N7" t="str">
        <x:f>IF(L7="","PENDING",IF(L7&lt;&gt;J7,"MISMATCH","VERIFIED"))</x:f>
        <x:v>PENDING</x:v>
      </x:c>
      <x:c r="O7" t="str">
        <x:f>IF(N7="MISMATCH","SEAL_MISMATCH",IF(OR(K7="",M7=""),"PHOTO_MISSING",""))</x:f>
        <x:v>PHOTO_MISSING</x:v>
      </x:c>
      <x:c r="Q7" t="str">
        <x:f>IF(O7="","",CONCAT("Pickup:",J7," | Delivery:",L7," | Override:",IF(P7="","NONE",P7)))</x:f>
        <x:v>Pickup:SEAL-99871 | Delivery: | Override:NONE</x:v>
      </x:c>
      <x:c r="R7" t="str">
        <x:f>IF(O7="","CLEAR",IF(P7="","LOCKED","OVERRIDDEN"))</x:f>
        <x:v>LOCKED</x:v>
      </x:c>
      <x:c r="S7" t="inlineStr">
        <x:is>
          <x:t xml:space="preserve">MISSING_DELIVERY_SEAL</x:t>
        </x:is>
      </x:c>
      <x:c r="T7" t="inlineStr">
        <x:is>
          <x:t xml:space="preserve">YES</x:t>
        </x:is>
      </x:c>
      <x:c r="U7" t="inlineStr">
        <x:is>
          <x:t xml:space="preserve">OPEN</x:t>
        </x:is>
      </x:c>
      <x:c r="V7" t="inlineStr">
        <x:is>
          <x:t xml:space="preserve">Driver 6</x:t>
        </x:is>
      </x:c>
      <x:c r="W7" t="inlineStr">
        <x:is>
          <x:t xml:space="preserve">READY</x:t>
        </x:is>
      </x:c>
      <x:c r="X7" t="inlineStr">
        <x:is>
          <x:t xml:space="preserve">DELIVERED</x:t>
        </x:is>
      </x:c>
      <x:c r="Y7" t="inlineStr">
        <x:is>
          <x:t xml:space="preserve">/documents/loads/L-506_RC.pdf</x:t>
        </x:is>
      </x:c>
      <x:c r="Z7" t="inlineStr">
        <x:is>
          <x:t xml:space="preserve">/documents/loads/L-506_BOL.pdf</x:t>
        </x:is>
      </x:c>
      <x:c r="AA7" t="inlineStr">
        <x:is>
          <x:t xml:space="preserve">/documents/loads/L-506_PICKUP_SEAL.jpg</x:t>
        </x:is>
      </x:c>
      <x:c r="AB7" t="inlineStr">
        <x:is>
          <x:t xml:space="preserve">/documents/loads/L-506_DELIVERY_SEAL.jpg</x:t>
        </x:is>
      </x:c>
      <x:c r="AC7" t="inlineStr">
        <x:is>
          <x:t xml:space="preserve">/drivers/DRV-006.jpg</x:t>
        </x:is>
      </x:c>
      <x:c r="AD7" t="inlineStr">
        <x:is>
          <x:t xml:space="preserve">/images/pod/L-506_POD.jpg</x:t>
        </x:is>
      </x:c>
      <x:c r="AE7" t="inlineStr">
        <x:is>
          <x:t xml:space="preserve">/images/pickup/L-506_PICKUP.jpg</x:t>
        </x:is>
      </x:c>
      <x:c r="AF7" t="inlineStr">
        <x:is>
          <x:t xml:space="preserve">/images/delivery/L-506_DELIVERY.jpg</x:t>
        </x:is>
      </x:c>
      <x:c r="AG7" t="inlineStr">
        <x:is>
          <x:t xml:space="preserve">/images/lumper/L-506_LUMPER.jpg</x:t>
        </x:is>
      </x:c>
      <x:c r="AH7" t="inlineStr">
        <x:is>
          <x:t xml:space="preserve">Tina Brooks</x:t>
        </x:is>
      </x:c>
      <x:c r="AI7" t="inlineStr">
        <x:is>
          <x:t xml:space="preserve">BlueLine Logistics</x:t>
        </x:is>
      </x:c>
      <x:c r="AJ7" t="inlineStr">
        <x:is>
          <x:t xml:space="preserve">MC-782104</x:t>
        </x:is>
      </x:c>
      <x:c r="AK7" t="inlineStr">
        <x:is>
          <x:t xml:space="preserve">Ozark Building Supply</x:t>
        </x:is>
      </x:c>
      <x:c r="AL7" t="inlineStr">
        <x:is>
          <x:t xml:space="preserve">710 Quarry Rd</x:t>
        </x:is>
      </x:c>
      <x:c r="AM7" t="inlineStr">
        <x:is>
          <x:t xml:space="preserve">Springfield</x:t>
        </x:is>
      </x:c>
      <x:c r="AN7" t="inlineStr">
        <x:is>
          <x:t xml:space="preserve">MO</x:t>
        </x:is>
      </x:c>
      <x:c r="AO7" s="57" t="n">
        <x:v>45849.70833333334</x:v>
      </x:c>
      <x:c r="AP7" t="inlineStr">
        <x:is>
          <x:t xml:space="preserve">River City Distribution</x:t>
        </x:is>
      </x:c>
      <x:c r="AQ7" t="inlineStr">
        <x:is>
          <x:t xml:space="preserve">2100 Depot Ave</x:t>
        </x:is>
      </x:c>
      <x:c r="AR7" t="inlineStr">
        <x:is>
          <x:t xml:space="preserve">Nashville</x:t>
        </x:is>
      </x:c>
      <x:c r="AS7" t="inlineStr">
        <x:is>
          <x:t xml:space="preserve">TN</x:t>
        </x:is>
      </x:c>
      <x:c r="AT7" s="57" t="n">
        <x:v>45853.16666666666</x:v>
      </x:c>
      <x:c r="AU7" t="inlineStr">
        <x:is>
          <x:t xml:space="preserve">Consumer packaged goods</x:t>
        </x:is>
      </x:c>
      <x:c r="AV7" s="68" t="n">
        <x:v>30964</x:v>
      </x:c>
      <x:c r="AW7" s="68" t="n">
        <x:v>26</x:v>
      </x:c>
      <x:c r="AX7" s="68" t="n">
        <x:v>624</x:v>
      </x:c>
      <x:c r="AY7" t="inlineStr">
        <x:is>
          <x:t xml:space="preserve">TRL-2371</x:t>
        </x:is>
      </x:c>
      <x:c r="AZ7" t="inlineStr">
        <x:is>
          <x:t xml:space="preserve">RC-506-242</x:t>
        </x:is>
      </x:c>
      <x:c r="BA7" t="inlineStr">
        <x:is>
          <x:t xml:space="preserve">BOL-506-5040</x:t>
        </x:is>
      </x:c>
      <x:c r="BB7" t="inlineStr">
        <x:is>
          <x:t xml:space="preserve">YES</x:t>
        </x:is>
      </x:c>
      <x:c r="BC7" s="57" t="n">
        <x:v>45853.41666666666</x:v>
      </x:c>
      <x:c r="BD7" s="64" t="n">
        <x:v>315</x:v>
      </x:c>
      <x:c r="BE7" t="inlineStr">
        <x:is>
          <x:t xml:space="preserve">RFID-506-80644</x:t>
        </x:is>
      </x:c>
      <x:c r="BF7" s="57" t="n">
        <x:v>45849.72291666667</x:v>
      </x:c>
      <x:c r="BG7" s="57" t="n">
        <x:v>45853.20625</x:v>
      </x:c>
      <x:c r="BH7" t="inlineStr">
        <x:is>
          <x:t xml:space="preserve">Springfield Yard Gate 4</x:t>
        </x:is>
      </x:c>
      <x:c r="BI7" t="inlineStr">
        <x:is>
          <x:t xml:space="preserve">VERIFIED</x:t>
        </x:is>
      </x:c>
      <x:c r="BJ7" t="inlineStr">
        <x:is>
          <x:t xml:space="preserve">NO_FINAL_SCAN</x:t>
        </x:is>
      </x:c>
      <x:c r="BK7" t="inlineStr">
        <x:is>
          <x:t xml:space="preserve">CLM-506-3266</x:t>
        </x:is>
      </x:c>
      <x:c r="BL7" t="inlineStr">
        <x:is>
          <x:t xml:space="preserve">SETTLED</x:t>
        </x:is>
      </x:c>
      <x:c r="BM7" t="inlineStr">
        <x:is>
          <x:t xml:space="preserve">Late Delivery</x:t>
        </x:is>
      </x:c>
      <x:c r="BN7" s="55" t="n">
        <x:v>45853</x:v>
      </x:c>
      <x:c r="BO7" s="64" t="n">
        <x:v>2268.19</x:v>
      </x:c>
      <x:c r="BP7" s="64" t="n">
        <x:v>500</x:v>
      </x:c>
      <x:c r="BQ7" t="inlineStr">
        <x:is>
          <x:t xml:space="preserve">Kelly Moore</x:t>
        </x:is>
      </x:c>
      <x:c r="BR7" t="inlineStr">
        <x:is>
          <x:t xml:space="preserve">Travelers Inland Marine</x:t>
        </x:is>
      </x:c>
      <x:c r="BS7" t="inlineStr">
        <x:is>
          <x:t xml:space="preserve">POL-757924</x:t>
        </x:is>
      </x:c>
      <x:c r="BT7" t="inlineStr">
        <x:is>
          <x:t xml:space="preserve">Prime Consumer - Atlanta, GA</x:t>
        </x:is>
      </x:c>
      <x:c r="BU7" t="inlineStr">
        <x:is>
          <x:t xml:space="preserve">Union Crossdock - Cleveland, OH</x:t>
        </x:is>
      </x:c>
      <x:c r="BV7" s="55" t="n">
        <x:v>46214</x:v>
      </x:c>
      <x:c r="BW7" s="55" t="n">
        <x:v>46215</x:v>
      </x:c>
      <x:c r="BX7" t="inlineStr">
        <x:is>
          <x:t xml:space="preserve">09:00-12:00</x:t>
        </x:is>
      </x:c>
      <x:c r="BY7" t="inlineStr">
        <x:is>
          <x:t xml:space="preserve">11:00-15:00</x:t>
        </x:is>
      </x:c>
      <x:c r="BZ7" s="64" t="n">
        <x:v>2122</x:v>
      </x:c>
      <x:c r="CA7" s="64" t="n">
        <x:v>1681</x:v>
      </x:c>
      <x:c r="CB7" s="64" t="n">
        <x:v>246</x:v>
      </x:c>
      <x:c r="CC7" s="64" t="n">
        <x:v>0</x:v>
      </x:c>
      <x:c r="CD7" s="64" t="n">
        <x:v>123</x:v>
      </x:c>
      <x:c r="CE7" t="n">
        <x:v>525</x:v>
      </x:c>
      <x:c r="CF7" t="inlineStr">
        <x:is>
          <x:t xml:space="preserve">BLN-100505</x:t>
        </x:is>
      </x:c>
      <x:c r="CG7" t="inlineStr">
        <x:is>
          <x:t xml:space="preserve">PO-84005</x:t>
        </x:is>
      </x:c>
      <x:c r="CH7" t="inlineStr">
        <x:is>
          <x:t xml:space="preserve">RECEIVED</x:t>
        </x:is>
      </x:c>
      <x:c r="CI7" t="inlineStr">
        <x:is>
          <x:t xml:space="preserve">/images/pod/L-506_POD.jpg</x:t>
        </x:is>
      </x:c>
      <x:c r="CJ7" t="inlineStr">
        <x:is>
          <x:t xml:space="preserve">Receiver</x:t>
        </x:is>
      </x:c>
      <x:c r="CK7" t="inlineStr">
        <x:is>
          <x:t xml:space="preserve">UPLOADED</x:t>
        </x:is>
      </x:c>
      <x:c r="CL7" s="55" t="n">
        <x:v>46214</x:v>
      </x:c>
      <x:c r="CM7" t="inlineStr">
        <x:is>
          <x:t xml:space="preserve">UPLOADED</x:t>
        </x:is>
      </x:c>
      <x:c r="CN7" s="55" t="n">
        <x:v>46213</x:v>
      </x:c>
      <x:c r="CO7" t="inlineStr">
        <x:is>
          <x:t xml:space="preserve">TRAIL-2007</x:t>
        </x:is>
      </x:c>
      <x:c r="CP7" t="inlineStr">
        <x:is>
          <x:t xml:space="preserve">CARGO-5007</x:t>
        </x:is>
      </x:c>
      <x:c r="CQ7" s="57" t="n">
        <x:v>46215.42708333334</x:v>
      </x:c>
      <x:c r="CR7" t="inlineStr">
        <x:is>
          <x:t xml:space="preserve">Dock Door 3</x:t>
        </x:is>
      </x:c>
      <x:c r="CS7" t="inlineStr">
        <x:is>
          <x:t xml:space="preserve">YES</x:t>
        </x:is>
      </x:c>
      <x:c r="CT7" t="inlineStr">
        <x:is>
          <x:t xml:space="preserve">Minor dock scrape</x:t>
        </x:is>
      </x:c>
      <x:c r="CU7" s="64" t="n">
        <x:v>1927.9615</x:v>
      </x:c>
      <x:c r="CV7" s="64" t="n">
        <x:v>1768.19</x:v>
      </x:c>
      <x:c r="CW7" t="inlineStr">
        <x:is>
          <x:t xml:space="preserve">General Liability</x:t>
        </x:is>
      </x:c>
      <x:c r="CX7" t="inlineStr">
        <x:is>
          <x:t xml:space="preserve">YES</x:t>
        </x:is>
      </x:c>
      <x:c r="CY7" t="inlineStr">
        <x:is>
          <x:t xml:space="preserve">YES</x:t>
        </x:is>
      </x:c>
      <x:c r="CZ7" s="64" t="n">
        <x:v>2122</x:v>
      </x:c>
      <x:c r="DA7" s="64" t="n">
        <x:v>574</x:v>
      </x:c>
      <x:c r="DB7" t="inlineStr">
        <x:is>
          <x:t xml:space="preserve">NO</x:t>
        </x:is>
      </x:c>
      <x:c r="DC7" t="inlineStr">
        <x:is>
          <x:t xml:space="preserve"/>
        </x:is>
      </x:c>
      <x:c r="DD7" t="inlineStr">
        <x:is>
          <x:t xml:space="preserve">COMPLETE</x:t>
        </x:is>
      </x:c>
      <x:c r="DE7" t="inlineStr">
        <x:is>
          <x:t xml:space="preserve">MO</x:t>
        </x:is>
      </x:c>
      <x:c r="DF7" t="inlineStr">
        <x:is>
          <x:t xml:space="preserve">TN</x:t>
        </x:is>
      </x:c>
    </x:row>
    <x:row r="8">
      <x:c r="A8" t="inlineStr">
        <x:is>
          <x:t xml:space="preserve">L-507</x:t>
        </x:is>
      </x:c>
      <x:c r="B8" t="inlineStr">
        <x:is>
          <x:t xml:space="preserve">DRV-007</x:t>
        </x:is>
      </x:c>
      <x:c r="C8" t="inlineStr">
        <x:is>
          <x:t xml:space="preserve">Sofia Gomez</x:t>
        </x:is>
      </x:c>
      <x:c r="D8" t="inlineStr">
        <x:is>
          <x:t xml:space="preserve">T-109</x:t>
        </x:is>
      </x:c>
      <x:c r="E8" s="64" t="n">
        <x:v>2300</x:v>
      </x:c>
      <x:c r="F8" s="64" t="n">
        <x:v>58</x:v>
      </x:c>
      <x:c r="G8" t="inlineStr">
        <x:is>
          <x:t xml:space="preserve">NO</x:t>
        </x:is>
      </x:c>
      <x:c r="H8" t="inlineStr">
        <x:is>
          <x:t xml:space="preserve">IN_TRANSIT</x:t>
        </x:is>
      </x:c>
      <x:c r="J8" t="inlineStr">
        <x:is>
          <x:t xml:space="preserve">SEAL-73005</x:t>
        </x:is>
      </x:c>
      <x:c r="K8" t="inlineStr">
        <x:is>
          <x:t xml:space="preserve">pickup_photo_07.jpg</x:t>
        </x:is>
      </x:c>
      <x:c r="L8" t="inlineStr">
        <x:is>
          <x:t xml:space="preserve">SEAL-73099</x:t>
        </x:is>
      </x:c>
      <x:c r="M8" t="inlineStr">
        <x:is>
          <x:t xml:space="preserve">delivery_photo_07.jpg</x:t>
        </x:is>
      </x:c>
      <x:c r="N8" t="str">
        <x:f>IF(L8="","PENDING",IF(L8&lt;&gt;J8,"MISMATCH","VERIFIED"))</x:f>
        <x:v>MISMATCH</x:v>
      </x:c>
      <x:c r="O8" t="str">
        <x:f>IF(N8="MISMATCH","SEAL_MISMATCH",IF(OR(K8="",M8=""),"PHOTO_MISSING",""))</x:f>
        <x:v>SEAL_MISMATCH</x:v>
      </x:c>
      <x:c r="Q8" t="str">
        <x:f>IF(O8="","",CONCAT("Pickup:",J8," | Delivery:",L8," | Override:",IF(P8="","NONE",P8)))</x:f>
        <x:v>Pickup:SEAL-73005 | Delivery:SEAL-73099 | Override:NONE</x:v>
      </x:c>
      <x:c r="R8" t="str">
        <x:f>IF(O8="","CLEAR",IF(P8="","LOCKED","OVERRIDDEN"))</x:f>
        <x:v>LOCKED</x:v>
      </x:c>
      <x:c r="S8" t="inlineStr">
        <x:is>
          <x:t xml:space="preserve">SEAL_MISMATCH</x:t>
        </x:is>
      </x:c>
      <x:c r="T8" t="inlineStr">
        <x:is>
          <x:t xml:space="preserve">YES</x:t>
        </x:is>
      </x:c>
      <x:c r="U8" t="inlineStr">
        <x:is>
          <x:t xml:space="preserve">OPEN</x:t>
        </x:is>
      </x:c>
      <x:c r="V8" t="inlineStr">
        <x:is>
          <x:t xml:space="preserve">Driver 7</x:t>
        </x:is>
      </x:c>
      <x:c r="W8" t="inlineStr">
        <x:is>
          <x:t xml:space="preserve">PENDING</x:t>
        </x:is>
      </x:c>
      <x:c r="X8" t="inlineStr">
        <x:is>
          <x:t xml:space="preserve">IN_TRANSIT</x:t>
        </x:is>
      </x:c>
      <x:c r="Y8" t="inlineStr">
        <x:is>
          <x:t xml:space="preserve">/documents/loads/L-507_RC.pdf</x:t>
        </x:is>
      </x:c>
      <x:c r="Z8" t="inlineStr">
        <x:is>
          <x:t xml:space="preserve">/documents/loads/L-507_BOL.pdf</x:t>
        </x:is>
      </x:c>
      <x:c r="AA8" t="inlineStr">
        <x:is>
          <x:t xml:space="preserve">/documents/loads/L-507_PICKUP_SEAL.jpg</x:t>
        </x:is>
      </x:c>
      <x:c r="AB8" t="inlineStr">
        <x:is>
          <x:t xml:space="preserve">/documents/loads/L-507_DELIVERY_SEAL.jpg</x:t>
        </x:is>
      </x:c>
      <x:c r="AC8" t="inlineStr">
        <x:is>
          <x:t xml:space="preserve">/drivers/DRV-007.jpg</x:t>
        </x:is>
      </x:c>
      <x:c r="AD8" t="inlineStr">
        <x:is>
          <x:t xml:space="preserve">/images/pod/L-507_POD.jpg</x:t>
        </x:is>
      </x:c>
      <x:c r="AE8" t="inlineStr">
        <x:is>
          <x:t xml:space="preserve">/images/pickup/L-507_PICKUP.jpg</x:t>
        </x:is>
      </x:c>
      <x:c r="AF8" t="inlineStr">
        <x:is>
          <x:t xml:space="preserve">/images/delivery/L-507_DELIVERY.jpg</x:t>
        </x:is>
      </x:c>
      <x:c r="AG8" t="inlineStr">
        <x:is>
          <x:t xml:space="preserve">/images/lumper/L-507_LUMPER.jpg</x:t>
        </x:is>
      </x:c>
      <x:c r="AH8" t="inlineStr">
        <x:is>
          <x:t xml:space="preserve">Jamal Reeves</x:t>
        </x:is>
      </x:c>
      <x:c r="AI8" t="inlineStr">
        <x:is>
          <x:t xml:space="preserve">Summit Freight</x:t>
        </x:is>
      </x:c>
      <x:c r="AJ8" t="inlineStr">
        <x:is>
          <x:t xml:space="preserve">MC-641255</x:t>
        </x:is>
      </x:c>
      <x:c r="AK8" t="inlineStr">
        <x:is>
          <x:t xml:space="preserve">Prairie Grain Co.</x:t>
        </x:is>
      </x:c>
      <x:c r="AL8" t="inlineStr">
        <x:is>
          <x:t xml:space="preserve">443 County Line Rd</x:t>
        </x:is>
      </x:c>
      <x:c r="AM8" t="inlineStr">
        <x:is>
          <x:t xml:space="preserve">Omaha</x:t>
        </x:is>
      </x:c>
      <x:c r="AN8" t="inlineStr">
        <x:is>
          <x:t xml:space="preserve">NE</x:t>
        </x:is>
      </x:c>
      <x:c r="AO8" s="57" t="n">
        <x:v>45851.70833333334</x:v>
      </x:c>
      <x:c r="AP8" t="inlineStr">
        <x:is>
          <x:t xml:space="preserve">Keystone Wholesale</x:t>
        </x:is>
      </x:c>
      <x:c r="AQ8" t="inlineStr">
        <x:is>
          <x:t xml:space="preserve">88 Liberty St</x:t>
        </x:is>
      </x:c>
      <x:c r="AR8" t="inlineStr">
        <x:is>
          <x:t xml:space="preserve">Pittsburgh</x:t>
        </x:is>
      </x:c>
      <x:c r="AS8" t="inlineStr">
        <x:is>
          <x:t xml:space="preserve">PA</x:t>
        </x:is>
      </x:c>
      <x:c r="AT8" s="57" t="n">
        <x:v>45854.91666666666</x:v>
      </x:c>
      <x:c r="AU8" t="inlineStr">
        <x:is>
          <x:t xml:space="preserve">Beverages</x:t>
        </x:is>
      </x:c>
      <x:c r="AV8" s="68" t="n">
        <x:v>30608</x:v>
      </x:c>
      <x:c r="AW8" s="68" t="n">
        <x:v>24</x:v>
      </x:c>
      <x:c r="AX8" s="68" t="n">
        <x:v>936</x:v>
      </x:c>
      <x:c r="AY8" t="inlineStr">
        <x:is>
          <x:t xml:space="preserve">TRL-2579</x:t>
        </x:is>
      </x:c>
      <x:c r="AZ8" t="inlineStr">
        <x:is>
          <x:t xml:space="preserve">RC-507-641</x:t>
        </x:is>
      </x:c>
      <x:c r="BA8" t="inlineStr">
        <x:is>
          <x:t xml:space="preserve">BOL-507-5119</x:t>
        </x:is>
      </x:c>
      <x:c r="BB8" t="inlineStr">
        <x:is>
          <x:t xml:space="preserve">PENDING</x:t>
        </x:is>
      </x:c>
      <x:c r="BC8" s="57" t="n">
        <x:v>46217.45833333334</x:v>
      </x:c>
      <x:c r="BD8" s="64" t="n">
        <x:v>315</x:v>
      </x:c>
      <x:c r="BE8" t="inlineStr">
        <x:is>
          <x:t xml:space="preserve">RFID-507-11504</x:t>
        </x:is>
      </x:c>
      <x:c r="BF8" s="57" t="n">
        <x:v>45851.71666666667</x:v>
      </x:c>
      <x:c r="BG8" s="57" t="n">
        <x:v>46217.41666666666</x:v>
      </x:c>
      <x:c r="BH8" t="inlineStr">
        <x:is>
          <x:t xml:space="preserve">Omaha Yard Gate 3</x:t>
        </x:is>
      </x:c>
      <x:c r="BI8" t="inlineStr">
        <x:is>
          <x:t xml:space="preserve">VERIFIED</x:t>
        </x:is>
      </x:c>
      <x:c r="BJ8" t="inlineStr">
        <x:is>
          <x:t xml:space="preserve">MISREAD_AT_GATE</x:t>
        </x:is>
      </x:c>
      <x:c r="BK8" t="inlineStr">
        <x:is>
          <x:t xml:space="preserve"/>
        </x:is>
      </x:c>
      <x:c r="BL8" t="inlineStr">
        <x:is>
          <x:t xml:space="preserve">NO_CLAIM</x:t>
        </x:is>
      </x:c>
      <x:c r="BM8" t="inlineStr">
        <x:is>
          <x:t xml:space="preserve"/>
        </x:is>
      </x:c>
      <x:c r="BN8" s="55" t="n"/>
      <x:c r="BO8" s="64" t="n">
        <x:v>0</x:v>
      </x:c>
      <x:c r="BP8" s="64" t="n">
        <x:v>500</x:v>
      </x:c>
      <x:c r="BQ8" t="inlineStr">
        <x:is>
          <x:t xml:space="preserve"/>
        </x:is>
      </x:c>
      <x:c r="BR8" t="inlineStr">
        <x:is>
          <x:t xml:space="preserve">Great West Casualty</x:t>
        </x:is>
      </x:c>
      <x:c r="BS8" t="inlineStr">
        <x:is>
          <x:t xml:space="preserve">POL-660008</x:t>
        </x:is>
      </x:c>
      <x:c r="BT8" t="inlineStr">
        <x:is>
          <x:t xml:space="preserve">Acme Distribution - St. Louis, MO</x:t>
        </x:is>
      </x:c>
      <x:c r="BU8" t="inlineStr">
        <x:is>
          <x:t xml:space="preserve">Metro Fulfillment - Chicago, IL</x:t>
        </x:is>
      </x:c>
      <x:c r="BV8" s="55" t="n">
        <x:v>46216</x:v>
      </x:c>
      <x:c r="BW8" s="55" t="n">
        <x:v>46217</x:v>
      </x:c>
      <x:c r="BX8" t="inlineStr">
        <x:is>
          <x:t xml:space="preserve">10:00-13:00</x:t>
        </x:is>
      </x:c>
      <x:c r="BY8" t="inlineStr">
        <x:is>
          <x:t xml:space="preserve">09:00-13:00</x:t>
        </x:is>
      </x:c>
      <x:c r="BZ8" s="64" t="n">
        <x:v>2358</x:v>
      </x:c>
      <x:c r="CA8" s="64" t="n">
        <x:v>1886</x:v>
      </x:c>
      <x:c r="CB8" s="64" t="n">
        <x:v>276</x:v>
      </x:c>
      <x:c r="CC8" s="64" t="n">
        <x:v>50</x:v>
      </x:c>
      <x:c r="CD8" s="64" t="n">
        <x:v>88</x:v>
      </x:c>
      <x:c r="CE8" t="n">
        <x:v>582</x:v>
      </x:c>
      <x:c r="CF8" t="inlineStr">
        <x:is>
          <x:t xml:space="preserve">BLN-100506</x:t>
        </x:is>
      </x:c>
      <x:c r="CG8" t="inlineStr">
        <x:is>
          <x:t xml:space="preserve">PO-84006</x:t>
        </x:is>
      </x:c>
      <x:c r="CH8" t="inlineStr">
        <x:is>
          <x:t xml:space="preserve">RECEIVED</x:t>
        </x:is>
      </x:c>
      <x:c r="CI8" t="inlineStr">
        <x:is>
          <x:t xml:space="preserve">/images/pod/L-507_POD.jpg</x:t>
        </x:is>
      </x:c>
      <x:c r="CJ8" t="inlineStr">
        <x:is>
          <x:t xml:space="preserve">Dock Supervisor</x:t>
        </x:is>
      </x:c>
      <x:c r="CK8" t="inlineStr">
        <x:is>
          <x:t xml:space="preserve">MISSING</x:t>
        </x:is>
      </x:c>
      <x:c r="CL8" s="55" t="n">
        <x:v>46216</x:v>
      </x:c>
      <x:c r="CM8" t="inlineStr">
        <x:is>
          <x:t xml:space="preserve">UPLOADED</x:t>
        </x:is>
      </x:c>
      <x:c r="CN8" s="55" t="n">
        <x:v>46215</x:v>
      </x:c>
      <x:c r="CO8" t="inlineStr">
        <x:is>
          <x:t xml:space="preserve">TRAIL-2008</x:t>
        </x:is>
      </x:c>
      <x:c r="CP8" t="inlineStr">
        <x:is>
          <x:t xml:space="preserve">CARGO-5008</x:t>
        </x:is>
      </x:c>
      <x:c r="CQ8" s="57" t="n">
        <x:v>46217.42708333334</x:v>
      </x:c>
      <x:c r="CR8" t="inlineStr">
        <x:is>
          <x:t xml:space="preserve">Yard Gate A</x:t>
        </x:is>
      </x:c>
      <x:c r="CS8" t="inlineStr">
        <x:is>
          <x:t xml:space="preserve">NO</x:t>
        </x:is>
      </x:c>
      <x:c r="CT8" t="inlineStr">
        <x:is>
          <x:t xml:space="preserve">No active claim</x:t>
        </x:is>
      </x:c>
      <x:c r="CU8" s="64" t="n">
        <x:v>0</x:v>
      </x:c>
      <x:c r="CV8" s="64" t="n">
        <x:v>0</x:v>
      </x:c>
      <x:c r="CW8" t="inlineStr">
        <x:is>
          <x:t xml:space="preserve">Motor Truck Cargo</x:t>
        </x:is>
      </x:c>
      <x:c r="CX8" t="inlineStr">
        <x:is>
          <x:t xml:space="preserve">NO</x:t>
        </x:is>
      </x:c>
      <x:c r="CY8" t="inlineStr">
        <x:is>
          <x:t xml:space="preserve">NO</x:t>
        </x:is>
      </x:c>
      <x:c r="CZ8" s="64" t="n">
        <x:v>2358</x:v>
      </x:c>
      <x:c r="DA8" s="64" t="n">
        <x:v>644</x:v>
      </x:c>
      <x:c r="DB8" t="inlineStr">
        <x:is>
          <x:t xml:space="preserve">YES</x:t>
        </x:is>
      </x:c>
      <x:c r="DC8" t="inlineStr">
        <x:is>
          <x:t xml:space="preserve">Missing proof bundle</x:t>
        </x:is>
      </x:c>
      <x:c r="DD8" t="inlineStr">
        <x:is>
          <x:t xml:space="preserve">INCOMPLETE</x:t>
        </x:is>
      </x:c>
      <x:c r="DE8" t="inlineStr">
        <x:is>
          <x:t xml:space="preserve">NE</x:t>
        </x:is>
      </x:c>
      <x:c r="DF8" t="inlineStr">
        <x:is>
          <x:t xml:space="preserve">PA</x:t>
        </x:is>
      </x:c>
    </x:row>
    <x:row r="9">
      <x:c r="A9" t="inlineStr">
        <x:is>
          <x:t xml:space="preserve">L-508</x:t>
        </x:is>
      </x:c>
      <x:c r="B9" t="inlineStr">
        <x:is>
          <x:t xml:space="preserve">DRV-008</x:t>
        </x:is>
      </x:c>
      <x:c r="C9" t="inlineStr">
        <x:is>
          <x:t xml:space="preserve">Liam Smith</x:t>
        </x:is>
      </x:c>
      <x:c r="D9" t="inlineStr">
        <x:is>
          <x:t xml:space="preserve">T-110</x:t>
        </x:is>
      </x:c>
      <x:c r="E9" s="64" t="n">
        <x:v>1750</x:v>
      </x:c>
      <x:c r="F9" s="64" t="n">
        <x:v>81</x:v>
      </x:c>
      <x:c r="G9" t="inlineStr">
        <x:is>
          <x:t xml:space="preserve">YES</x:t>
        </x:is>
      </x:c>
      <x:c r="H9" t="inlineStr">
        <x:is>
          <x:t xml:space="preserve">DELIVERED</x:t>
        </x:is>
      </x:c>
      <x:c r="J9" t="inlineStr">
        <x:is>
          <x:t xml:space="preserve">SEAL-18542</x:t>
        </x:is>
      </x:c>
      <x:c r="K9" t="inlineStr">
        <x:is>
          <x:t xml:space="preserve">pickup_photo_08.jpg</x:t>
        </x:is>
      </x:c>
      <x:c r="L9" t="inlineStr">
        <x:is>
          <x:t xml:space="preserve">SEAL-18542</x:t>
        </x:is>
      </x:c>
      <x:c r="M9" t="inlineStr">
        <x:is>
          <x:t xml:space="preserve">delivery_photo_08.jpg</x:t>
        </x:is>
      </x:c>
      <x:c r="N9" t="str">
        <x:f>IF(L9="","PENDING",IF(L9&lt;&gt;J9,"MISMATCH","VERIFIED"))</x:f>
        <x:v>VERIFIED</x:v>
      </x:c>
      <x:c r="O9" t="str">
        <x:f>IF(N9="MISMATCH","SEAL_MISMATCH",IF(OR(K9="",M9=""),"PHOTO_MISSING",""))</x:f>
      </x:c>
      <x:c r="Q9" t="str">
        <x:f>IF(O9="","",CONCAT("Pickup:",J9," | Delivery:",L9," | Override:",IF(P9="","NONE",P9)))</x:f>
      </x:c>
      <x:c r="R9" t="str">
        <x:f>IF(O9="","CLEAR",IF(P9="","LOCKED","OVERRIDDEN"))</x:f>
        <x:v>CLEAR</x:v>
      </x:c>
      <x:c r="S9" t="inlineStr">
        <x:is>
          <x:t xml:space="preserve">VERIFIED</x:t>
        </x:is>
      </x:c>
      <x:c r="T9" t="inlineStr">
        <x:is>
          <x:t xml:space="preserve">NO</x:t>
        </x:is>
      </x:c>
      <x:c r="U9" t="inlineStr">
        <x:is>
          <x:t xml:space="preserve">CLOSED</x:t>
        </x:is>
      </x:c>
      <x:c r="V9" t="inlineStr">
        <x:is>
          <x:t xml:space="preserve">Driver 8</x:t>
        </x:is>
      </x:c>
      <x:c r="W9" t="inlineStr">
        <x:is>
          <x:t xml:space="preserve">READY</x:t>
        </x:is>
      </x:c>
      <x:c r="X9" t="inlineStr">
        <x:is>
          <x:t xml:space="preserve">DELIVERED</x:t>
        </x:is>
      </x:c>
      <x:c r="Y9" t="inlineStr">
        <x:is>
          <x:t xml:space="preserve">/documents/loads/L-508_RC.pdf</x:t>
        </x:is>
      </x:c>
      <x:c r="Z9" t="inlineStr">
        <x:is>
          <x:t xml:space="preserve">/documents/loads/L-508_BOL.pdf</x:t>
        </x:is>
      </x:c>
      <x:c r="AA9" t="inlineStr">
        <x:is>
          <x:t xml:space="preserve">/documents/loads/L-508_PICKUP_SEAL.jpg</x:t>
        </x:is>
      </x:c>
      <x:c r="AB9" t="inlineStr">
        <x:is>
          <x:t xml:space="preserve">/documents/loads/L-508_DELIVERY_SEAL.jpg</x:t>
        </x:is>
      </x:c>
      <x:c r="AC9" t="inlineStr">
        <x:is>
          <x:t xml:space="preserve">/drivers/DRV-008.jpg</x:t>
        </x:is>
      </x:c>
      <x:c r="AD9" t="inlineStr">
        <x:is>
          <x:t xml:space="preserve">/images/pod/L-508_POD.jpg</x:t>
        </x:is>
      </x:c>
      <x:c r="AE9" t="inlineStr">
        <x:is>
          <x:t xml:space="preserve">/images/pickup/L-508_PICKUP.jpg</x:t>
        </x:is>
      </x:c>
      <x:c r="AF9" t="inlineStr">
        <x:is>
          <x:t xml:space="preserve">/images/delivery/L-508_DELIVERY.jpg</x:t>
        </x:is>
      </x:c>
      <x:c r="AG9" t="inlineStr">
        <x:is>
          <x:t xml:space="preserve">/images/lumper/L-508_LUMPER.jpg</x:t>
        </x:is>
      </x:c>
      <x:c r="AH9" t="inlineStr">
        <x:is>
          <x:t xml:space="preserve">Morgan Patel</x:t>
        </x:is>
      </x:c>
      <x:c r="AI9" t="inlineStr">
        <x:is>
          <x:t xml:space="preserve">IronRoute Transport</x:t>
        </x:is>
      </x:c>
      <x:c r="AJ9" t="inlineStr">
        <x:is>
          <x:t xml:space="preserve">MC-518903</x:t>
        </x:is>
      </x:c>
      <x:c r="AK9" t="inlineStr">
        <x:is>
          <x:t xml:space="preserve">Peachtree Foods</x:t>
        </x:is>
      </x:c>
      <x:c r="AL9" t="inlineStr">
        <x:is>
          <x:t xml:space="preserve">1450 Industrial Pkwy</x:t>
        </x:is>
      </x:c>
      <x:c r="AM9" t="inlineStr">
        <x:is>
          <x:t xml:space="preserve">Atlanta</x:t>
        </x:is>
      </x:c>
      <x:c r="AN9" t="inlineStr">
        <x:is>
          <x:t xml:space="preserve">GA</x:t>
        </x:is>
      </x:c>
      <x:c r="AO9" s="57" t="n">
        <x:v>45853.75</x:v>
      </x:c>
      <x:c r="AP9" t="inlineStr">
        <x:is>
          <x:t xml:space="preserve">Desert Valley Grocers</x:t>
        </x:is>
      </x:c>
      <x:c r="AQ9" t="inlineStr">
        <x:is>
          <x:t xml:space="preserve">504 Mesa Park</x:t>
        </x:is>
      </x:c>
      <x:c r="AR9" t="inlineStr">
        <x:is>
          <x:t xml:space="preserve">Phoenix</x:t>
        </x:is>
      </x:c>
      <x:c r="AS9" t="inlineStr">
        <x:is>
          <x:t xml:space="preserve">AZ</x:t>
        </x:is>
      </x:c>
      <x:c r="AT9" s="57" t="n">
        <x:v>45855.08333333334</x:v>
      </x:c>
      <x:c r="AU9" t="inlineStr">
        <x:is>
          <x:t xml:space="preserve">Auto parts</x:t>
        </x:is>
      </x:c>
      <x:c r="AV9" s="68" t="n">
        <x:v>34403</x:v>
      </x:c>
      <x:c r="AW9" s="68" t="n">
        <x:v>17</x:v>
      </x:c>
      <x:c r="AX9" s="68" t="n">
        <x:v>612</x:v>
      </x:c>
      <x:c r="AY9" t="inlineStr">
        <x:is>
          <x:t xml:space="preserve">TRL-2208</x:t>
        </x:is>
      </x:c>
      <x:c r="AZ9" t="inlineStr">
        <x:is>
          <x:t xml:space="preserve">RC-508-991</x:t>
        </x:is>
      </x:c>
      <x:c r="BA9" t="inlineStr">
        <x:is>
          <x:t xml:space="preserve">BOL-508-5889</x:t>
        </x:is>
      </x:c>
      <x:c r="BB9" t="inlineStr">
        <x:is>
          <x:t xml:space="preserve">YES</x:t>
        </x:is>
      </x:c>
      <x:c r="BC9" s="57" t="n">
        <x:v>45855.33333333334</x:v>
      </x:c>
      <x:c r="BD9" s="64" t="n">
        <x:v>315</x:v>
      </x:c>
      <x:c r="BE9" t="inlineStr">
        <x:is>
          <x:t xml:space="preserve">RFID-508-89818</x:t>
        </x:is>
      </x:c>
      <x:c r="BF9" s="57" t="n">
        <x:v>45853.76180555556</x:v>
      </x:c>
      <x:c r="BG9" s="57" t="n">
        <x:v>45855.09652777778</x:v>
      </x:c>
      <x:c r="BH9" t="inlineStr">
        <x:is>
          <x:t xml:space="preserve">Atlanta Yard Gate 3</x:t>
        </x:is>
      </x:c>
      <x:c r="BI9" t="inlineStr">
        <x:is>
          <x:t xml:space="preserve">VERIFIED</x:t>
        </x:is>
      </x:c>
      <x:c r="BJ9" t="inlineStr">
        <x:is>
          <x:t xml:space="preserve">DUPLICATE_SCAN</x:t>
        </x:is>
      </x:c>
      <x:c r="BK9" t="inlineStr">
        <x:is>
          <x:t xml:space="preserve">CLM-508-9689</x:t>
        </x:is>
      </x:c>
      <x:c r="BL9" t="inlineStr">
        <x:is>
          <x:t xml:space="preserve">OPEN</x:t>
        </x:is>
      </x:c>
      <x:c r="BM9" t="inlineStr">
        <x:is>
          <x:t xml:space="preserve">Shortage</x:t>
        </x:is>
      </x:c>
      <x:c r="BN9" s="55" t="n">
        <x:v>45855</x:v>
      </x:c>
      <x:c r="BO9" s="64" t="n">
        <x:v>6722.38</x:v>
      </x:c>
      <x:c r="BP9" s="64" t="n">
        <x:v>500</x:v>
      </x:c>
      <x:c r="BQ9" t="inlineStr">
        <x:is>
          <x:t xml:space="preserve">Alicia Gomez</x:t>
        </x:is>
      </x:c>
      <x:c r="BR9" t="inlineStr">
        <x:is>
          <x:t xml:space="preserve">Great West Casualty</x:t>
        </x:is>
      </x:c>
      <x:c r="BS9" t="inlineStr">
        <x:is>
          <x:t xml:space="preserve">POL-351083</x:t>
        </x:is>
      </x:c>
      <x:c r="BT9" t="inlineStr">
        <x:is>
          <x:t xml:space="preserve">Midwest Foods - Nashville, TN</x:t>
        </x:is>
      </x:c>
      <x:c r="BU9" t="inlineStr">
        <x:is>
          <x:t xml:space="preserve">South Hub DC - Indianapolis, IN</x:t>
        </x:is>
      </x:c>
      <x:c r="BV9" s="55" t="n">
        <x:v>46218</x:v>
      </x:c>
      <x:c r="BW9" s="55" t="n">
        <x:v>46219</x:v>
      </x:c>
      <x:c r="BX9" t="inlineStr">
        <x:is>
          <x:t xml:space="preserve">08:00-11:00</x:t>
        </x:is>
      </x:c>
      <x:c r="BY9" t="inlineStr">
        <x:is>
          <x:t xml:space="preserve">10:00-14:00</x:t>
        </x:is>
      </x:c>
      <x:c r="BZ9" s="64" t="n">
        <x:v>1831</x:v>
      </x:c>
      <x:c r="CA9" s="64" t="n">
        <x:v>1435</x:v>
      </x:c>
      <x:c r="CB9" s="64" t="n">
        <x:v>210</x:v>
      </x:c>
      <x:c r="CC9" s="64" t="n">
        <x:v>75</x:v>
      </x:c>
      <x:c r="CD9" s="64" t="n">
        <x:v>30</x:v>
      </x:c>
      <x:c r="CE9" t="n">
        <x:v>639</x:v>
      </x:c>
      <x:c r="CF9" t="inlineStr">
        <x:is>
          <x:t xml:space="preserve">BLN-100507</x:t>
        </x:is>
      </x:c>
      <x:c r="CG9" t="inlineStr">
        <x:is>
          <x:t xml:space="preserve">PO-84007</x:t>
        </x:is>
      </x:c>
      <x:c r="CH9" t="inlineStr">
        <x:is>
          <x:t xml:space="preserve">PENDING</x:t>
        </x:is>
      </x:c>
      <x:c r="CI9" t="inlineStr">
        <x:is>
          <x:t xml:space="preserve">/images/pod/L-508_POD.jpg</x:t>
        </x:is>
      </x:c>
      <x:c r="CJ9" t="inlineStr">
        <x:is>
          <x:t xml:space="preserve">Inventory Lead</x:t>
        </x:is>
      </x:c>
      <x:c r="CK9" t="inlineStr">
        <x:is>
          <x:t xml:space="preserve">UPLOADED</x:t>
        </x:is>
      </x:c>
      <x:c r="CL9" s="55" t="n">
        <x:v>46218</x:v>
      </x:c>
      <x:c r="CM9" t="inlineStr">
        <x:is>
          <x:t xml:space="preserve">UPLOADED</x:t>
        </x:is>
      </x:c>
      <x:c r="CN9" s="55" t="n">
        <x:v>46217</x:v>
      </x:c>
      <x:c r="CO9" t="inlineStr">
        <x:is>
          <x:t xml:space="preserve">TRAIL-2009</x:t>
        </x:is>
      </x:c>
      <x:c r="CP9" t="inlineStr">
        <x:is>
          <x:t xml:space="preserve">CARGO-5009</x:t>
        </x:is>
      </x:c>
      <x:c r="CQ9" s="57" t="n">
        <x:v>46219.42708333334</x:v>
      </x:c>
      <x:c r="CR9" t="inlineStr">
        <x:is>
          <x:t xml:space="preserve">Warehouse South</x:t>
        </x:is>
      </x:c>
      <x:c r="CS9" t="inlineStr">
        <x:is>
          <x:t xml:space="preserve">YES</x:t>
        </x:is>
      </x:c>
      <x:c r="CT9" t="inlineStr">
        <x:is>
          <x:t xml:space="preserve">No active claim</x:t>
        </x:is>
      </x:c>
      <x:c r="CU9" s="64" t="n">
        <x:v>5714.023</x:v>
      </x:c>
      <x:c r="CV9" s="64" t="n">
        <x:v>6222.38</x:v>
      </x:c>
      <x:c r="CW9" t="inlineStr">
        <x:is>
          <x:t xml:space="preserve">Auto Liability</x:t>
        </x:is>
      </x:c>
      <x:c r="CX9" t="inlineStr">
        <x:is>
          <x:t xml:space="preserve">YES</x:t>
        </x:is>
      </x:c>
      <x:c r="CY9" t="inlineStr">
        <x:is>
          <x:t xml:space="preserve">YES</x:t>
        </x:is>
      </x:c>
      <x:c r="CZ9" s="64" t="n">
        <x:v>1831</x:v>
      </x:c>
      <x:c r="DA9" s="64" t="n">
        <x:v>490</x:v>
      </x:c>
      <x:c r="DB9" t="inlineStr">
        <x:is>
          <x:t xml:space="preserve">NO</x:t>
        </x:is>
      </x:c>
      <x:c r="DC9" t="inlineStr">
        <x:is>
          <x:t xml:space="preserve"/>
        </x:is>
      </x:c>
      <x:c r="DD9" t="inlineStr">
        <x:is>
          <x:t xml:space="preserve">COMPLETE</x:t>
        </x:is>
      </x:c>
      <x:c r="DE9" t="inlineStr">
        <x:is>
          <x:t xml:space="preserve">GA</x:t>
        </x:is>
      </x:c>
      <x:c r="DF9" t="inlineStr">
        <x:is>
          <x:t xml:space="preserve">AZ</x:t>
        </x:is>
      </x:c>
    </x:row>
    <x:row r="10">
      <x:c r="A10" t="inlineStr">
        <x:is>
          <x:t xml:space="preserve">L-509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t="inlineStr">
        <x:is>
          <x:t xml:space="preserve">T-111</x:t>
        </x:is>
      </x:c>
      <x:c r="E10" s="64" t="n">
        <x:v>2400</x:v>
      </x:c>
      <x:c r="F10" s="64" t="n">
        <x:v>49</x:v>
      </x:c>
      <x:c r="G10" t="inlineStr">
        <x:is>
          <x:t xml:space="preserve">NO</x:t>
        </x:is>
      </x:c>
      <x:c r="H10" t="inlineStr">
        <x:is>
          <x:t xml:space="preserve">PENDING</x:t>
        </x:is>
      </x:c>
      <x:c r="I10" t="inlineStr">
        <x:is>
          <x:t xml:space="preserve">Customer hold</x:t>
        </x:is>
      </x:c>
      <x:c r="J10" t="inlineStr">
        <x:is>
          <x:t xml:space="preserve">SEAL-26790</x:t>
        </x:is>
      </x:c>
      <x:c r="K10" t="inlineStr">
        <x:is>
          <x:t xml:space="preserve">pickup_photo_09.jpg</x:t>
        </x:is>
      </x:c>
      <x:c r="L10" t="inlineStr">
        <x:is>
          <x:t xml:space="preserve">SEAL-26791</x:t>
        </x:is>
      </x:c>
      <x:c r="M10" t="inlineStr">
        <x:is>
          <x:t xml:space="preserve">delivery_photo_09.jpg</x:t>
        </x:is>
      </x:c>
      <x:c r="N10" t="str">
        <x:f>IF(L10="","PENDING",IF(L10&lt;&gt;J10,"MISMATCH","VERIFIED"))</x:f>
        <x:v>MISMATCH</x:v>
      </x:c>
      <x:c r="O10" t="str">
        <x:f>IF(N10="MISMATCH","SEAL_MISMATCH",IF(OR(K10="",M10=""),"PHOTO_MISSING",""))</x:f>
        <x:v>SEAL_MISMATCH</x:v>
      </x:c>
      <x:c r="P10" t="inlineStr">
        <x:is>
          <x:t xml:space="preserve">Carrier note logged</x:t>
        </x:is>
      </x:c>
      <x:c r="Q10" t="str">
        <x:f>IF(O10="","",CONCAT("Pickup:",J10," | Delivery:",L10," | Override:",IF(P10="","NONE",P10)))</x:f>
        <x:v>Pickup:SEAL-26790 | Delivery:SEAL-26791 | Override:Carrier note logged</x:v>
      </x:c>
      <x:c r="R10" t="str">
        <x:f>IF(O10="","CLEAR",IF(P10="","LOCKED","OVERRIDDEN"))</x:f>
        <x:v>OVERRIDDEN</x:v>
      </x:c>
      <x:c r="S10" t="inlineStr">
        <x:is>
          <x:t xml:space="preserve">SEAL_MISMATCH</x:t>
        </x:is>
      </x:c>
      <x:c r="T10" t="inlineStr">
        <x:is>
          <x:t xml:space="preserve">YES</x:t>
        </x:is>
      </x:c>
      <x:c r="U10" t="inlineStr">
        <x:is>
          <x:t xml:space="preserve">OPEN</x:t>
        </x:is>
      </x:c>
      <x:c r="V10" t="inlineStr">
        <x:is>
          <x:t xml:space="preserve">Driver 9</x:t>
        </x:is>
      </x:c>
      <x:c r="W10" t="inlineStr">
        <x:is>
          <x:t xml:space="preserve">PENDING</x:t>
        </x:is>
      </x:c>
      <x:c r="X10" t="inlineStr">
        <x:is>
          <x:t xml:space="preserve">PENDING</x:t>
        </x:is>
      </x:c>
      <x:c r="Y10" t="inlineStr">
        <x:is>
          <x:t xml:space="preserve">/documents/loads/L-509_RC.pdf</x:t>
        </x:is>
      </x:c>
      <x:c r="Z10" t="inlineStr">
        <x:is>
          <x:t xml:space="preserve">/documents/loads/L-509_BOL.pdf</x:t>
        </x:is>
      </x:c>
      <x:c r="AA10" t="inlineStr">
        <x:is>
          <x:t xml:space="preserve">/documents/loads/L-509_PICKUP_SEAL.jpg</x:t>
        </x:is>
      </x:c>
      <x:c r="AB10" t="inlineStr">
        <x:is>
          <x:t xml:space="preserve">/documents/loads/L-509_DELIVERY_SEAL.jpg</x:t>
        </x:is>
      </x:c>
      <x:c r="AC10" t="inlineStr">
        <x:is>
          <x:t xml:space="preserve">/drivers/DRV-009.jpg</x:t>
        </x:is>
      </x:c>
      <x:c r="AD10" t="inlineStr">
        <x:is>
          <x:t xml:space="preserve">/images/pod/L-509_POD.jpg</x:t>
        </x:is>
      </x:c>
      <x:c r="AE10" t="inlineStr">
        <x:is>
          <x:t xml:space="preserve">/images/pickup/L-509_PICKUP.jpg</x:t>
        </x:is>
      </x:c>
      <x:c r="AF10" t="inlineStr">
        <x:is>
          <x:t xml:space="preserve">/images/delivery/L-509_DELIVERY.jpg</x:t>
        </x:is>
      </x:c>
      <x:c r="AG10" t="inlineStr">
        <x:is>
          <x:t xml:space="preserve">/images/lumper/L-509_LUMPER.jpg</x:t>
        </x:is>
      </x:c>
      <x:c r="AH10" t="inlineStr">
        <x:is>
          <x:t xml:space="preserve">Avery Collins</x:t>
        </x:is>
      </x:c>
      <x:c r="AI10" t="inlineStr">
        <x:is>
          <x:t xml:space="preserve">NorthStar 3PL</x:t>
        </x:is>
      </x:c>
      <x:c r="AJ10" t="inlineStr">
        <x:is>
          <x:t xml:space="preserve">MC-774221</x:t>
        </x:is>
      </x:c>
      <x:c r="AK10" t="inlineStr">
        <x:is>
          <x:t xml:space="preserve">Lakeside Plastics</x:t>
        </x:is>
      </x:c>
      <x:c r="AL10" t="inlineStr">
        <x:is>
          <x:t xml:space="preserve">880 Harbor Dr</x:t>
        </x:is>
      </x:c>
      <x:c r="AM10" t="inlineStr">
        <x:is>
          <x:t xml:space="preserve">Cleveland</x:t>
        </x:is>
      </x:c>
      <x:c r="AN10" t="inlineStr">
        <x:is>
          <x:t xml:space="preserve">OH</x:t>
        </x:is>
      </x:c>
      <x:c r="AO10" s="57" t="n">
        <x:v>45855.5</x:v>
      </x:c>
      <x:c r="AP10" t="inlineStr">
        <x:is>
          <x:t xml:space="preserve">Great Lakes Foods</x:t>
        </x:is>
      </x:c>
      <x:c r="AQ10" t="inlineStr">
        <x:is>
          <x:t xml:space="preserve">109 Shoreline Dr</x:t>
        </x:is>
      </x:c>
      <x:c r="AR10" t="inlineStr">
        <x:is>
          <x:t xml:space="preserve">Detroit</x:t>
        </x:is>
      </x:c>
      <x:c r="AS10" t="inlineStr">
        <x:is>
          <x:t xml:space="preserve">MI</x:t>
        </x:is>
      </x:c>
      <x:c r="AT10" s="57" t="n">
        <x:v>45858.70833333334</x:v>
      </x:c>
      <x:c r="AU10" t="inlineStr">
        <x:is>
          <x:t xml:space="preserve">Frozen foods</x:t>
        </x:is>
      </x:c>
      <x:c r="AV10" s="68" t="n">
        <x:v>20806</x:v>
      </x:c>
      <x:c r="AW10" s="68" t="n">
        <x:v>27</x:v>
      </x:c>
      <x:c r="AX10" s="68" t="n">
        <x:v>1242</x:v>
      </x:c>
      <x:c r="AY10" t="inlineStr">
        <x:is>
          <x:t xml:space="preserve">TRL-2170</x:t>
        </x:is>
      </x:c>
      <x:c r="AZ10" t="inlineStr">
        <x:is>
          <x:t xml:space="preserve">RC-509-878</x:t>
        </x:is>
      </x:c>
      <x:c r="BA10" t="inlineStr">
        <x:is>
          <x:t xml:space="preserve">BOL-509-9727</x:t>
        </x:is>
      </x:c>
      <x:c r="BB10" t="inlineStr">
        <x:is>
          <x:t xml:space="preserve">NO</x:t>
        </x:is>
      </x:c>
      <x:c r="BC10" s="57" t="n">
        <x:v>46221.45833333334</x:v>
      </x:c>
      <x:c r="BD10" s="64" t="n">
        <x:v>125</x:v>
      </x:c>
      <x:c r="BE10" t="inlineStr">
        <x:is>
          <x:t xml:space="preserve">RFID-509-26828</x:t>
        </x:is>
      </x:c>
      <x:c r="BF10" s="57" t="n">
        <x:v>45855.52430555555</x:v>
      </x:c>
      <x:c r="BG10" s="57" t="n">
        <x:v>46221.41666666666</x:v>
      </x:c>
      <x:c r="BH10" t="inlineStr">
        <x:is>
          <x:t xml:space="preserve">Cleveland Yard Gate 2</x:t>
        </x:is>
      </x:c>
      <x:c r="BI10" t="inlineStr">
        <x:is>
          <x:t xml:space="preserve">PENDING_DELIVERY</x:t>
        </x:is>
      </x:c>
      <x:c r="BJ10" t="inlineStr">
        <x:is>
          <x:t xml:space="preserve"/>
        </x:is>
      </x:c>
      <x:c r="BK10" t="inlineStr">
        <x:is>
          <x:t xml:space="preserve"/>
        </x:is>
      </x:c>
      <x:c r="BL10" t="inlineStr">
        <x:is>
          <x:t xml:space="preserve">NO_CLAIM</x:t>
        </x:is>
      </x:c>
      <x:c r="BM10" t="inlineStr">
        <x:is>
          <x:t xml:space="preserve"/>
        </x:is>
      </x:c>
      <x:c r="BN10" s="55" t="n"/>
      <x:c r="BO10" s="64" t="n">
        <x:v>0</x:v>
      </x:c>
      <x:c r="BP10" s="64" t="n">
        <x:v>500</x:v>
      </x:c>
      <x:c r="BQ10" t="inlineStr">
        <x:is>
          <x:t xml:space="preserve"/>
        </x:is>
      </x:c>
      <x:c r="BR10" t="inlineStr">
        <x:is>
          <x:t xml:space="preserve">Nationwide</x:t>
        </x:is>
      </x:c>
      <x:c r="BS10" t="inlineStr">
        <x:is>
          <x:t xml:space="preserve">POL-660010</x:t>
        </x:is>
      </x:c>
      <x:c r="BT10" t="inlineStr">
        <x:is>
          <x:t xml:space="preserve">BlueLine Retail - Cleveland, OH</x:t>
        </x:is>
      </x:c>
      <x:c r="BU10" t="inlineStr">
        <x:is>
          <x:t xml:space="preserve">Lakeside Grocery - Dallas, TX</x:t>
        </x:is>
      </x:c>
      <x:c r="BV10" s="55" t="n">
        <x:v>46220</x:v>
      </x:c>
      <x:c r="BW10" s="55" t="n">
        <x:v>46221</x:v>
      </x:c>
      <x:c r="BX10" t="inlineStr">
        <x:is>
          <x:t xml:space="preserve">09:00-12:00</x:t>
        </x:is>
      </x:c>
      <x:c r="BY10" t="inlineStr">
        <x:is>
          <x:t xml:space="preserve">11:00-15:00</x:t>
        </x:is>
      </x:c>
      <x:c r="BZ10" s="64" t="n">
        <x:v>2449</x:v>
      </x:c>
      <x:c r="CA10" s="64" t="n">
        <x:v>1967</x:v>
      </x:c>
      <x:c r="CB10" s="64" t="n">
        <x:v>288</x:v>
      </x:c>
      <x:c r="CC10" s="64" t="n">
        <x:v>0</x:v>
      </x:c>
      <x:c r="CD10" s="64" t="n">
        <x:v>145</x:v>
      </x:c>
      <x:c r="CE10" t="n">
        <x:v>696</x:v>
      </x:c>
      <x:c r="CF10" t="inlineStr">
        <x:is>
          <x:t xml:space="preserve">BLN-100508</x:t>
        </x:is>
      </x:c>
      <x:c r="CG10" t="inlineStr">
        <x:is>
          <x:t xml:space="preserve">PO-84008</x:t>
        </x:is>
      </x:c>
      <x:c r="CH10" t="inlineStr">
        <x:is>
          <x:t xml:space="preserve">RECEIVED</x:t>
        </x:is>
      </x:c>
      <x:c r="CI10" t="inlineStr">
        <x:is>
          <x:t xml:space="preserve">/images/pod/L-509_POD.jpg</x:t>
        </x:is>
      </x:c>
      <x:c r="CJ10" t="inlineStr">
        <x:is>
          <x:t xml:space="preserve">Warehouse Clerk</x:t>
        </x:is>
      </x:c>
      <x:c r="CK10" t="inlineStr">
        <x:is>
          <x:t xml:space="preserve">UPLOADED</x:t>
        </x:is>
      </x:c>
      <x:c r="CL10" s="55" t="n">
        <x:v>46220</x:v>
      </x:c>
      <x:c r="CM10" t="inlineStr">
        <x:is>
          <x:t xml:space="preserve">UPLOADED</x:t>
        </x:is>
      </x:c>
      <x:c r="CN10" s="55" t="n">
        <x:v>46219</x:v>
      </x:c>
      <x:c r="CO10" t="inlineStr">
        <x:is>
          <x:t xml:space="preserve">TRAIL-2010</x:t>
        </x:is>
      </x:c>
      <x:c r="CP10" t="inlineStr">
        <x:is>
          <x:t xml:space="preserve">CARGO-5010</x:t>
        </x:is>
      </x:c>
      <x:c r="CQ10" s="57" t="n">
        <x:v>46221.42708333334</x:v>
      </x:c>
      <x:c r="CR10" t="inlineStr">
        <x:is>
          <x:t xml:space="preserve">Crossdock Bay 2</x:t>
        </x:is>
      </x:c>
      <x:c r="CS10" t="inlineStr">
        <x:is>
          <x:t xml:space="preserve">NO</x:t>
        </x:is>
      </x:c>
      <x:c r="CT10" t="inlineStr">
        <x:is>
          <x:t xml:space="preserve">No active claim</x:t>
        </x:is>
      </x:c>
      <x:c r="CU10" s="64" t="n">
        <x:v>0</x:v>
      </x:c>
      <x:c r="CV10" s="64" t="n">
        <x:v>0</x:v>
      </x:c>
      <x:c r="CW10" t="inlineStr">
        <x:is>
          <x:t xml:space="preserve">General Liability</x:t>
        </x:is>
      </x:c>
      <x:c r="CX10" t="inlineStr">
        <x:is>
          <x:t xml:space="preserve">NO</x:t>
        </x:is>
      </x:c>
      <x:c r="CY10" t="inlineStr">
        <x:is>
          <x:t xml:space="preserve">YES</x:t>
        </x:is>
      </x:c>
      <x:c r="CZ10" s="64" t="n">
        <x:v>2449</x:v>
      </x:c>
      <x:c r="DA10" s="64" t="n">
        <x:v>672</x:v>
      </x:c>
      <x:c r="DB10" t="inlineStr">
        <x:is>
          <x:t xml:space="preserve">NO</x:t>
        </x:is>
      </x:c>
      <x:c r="DC10" t="inlineStr">
        <x:is>
          <x:t xml:space="preserve"/>
        </x:is>
      </x:c>
      <x:c r="DD10" t="inlineStr">
        <x:is>
          <x:t xml:space="preserve">COMPLETE</x:t>
        </x:is>
      </x:c>
      <x:c r="DE10" t="inlineStr">
        <x:is>
          <x:t xml:space="preserve">OH</x:t>
        </x:is>
      </x:c>
      <x:c r="DF10" t="inlineStr">
        <x:is>
          <x:t xml:space="preserve">MI</x:t>
        </x:is>
      </x:c>
    </x:row>
    <x:row r="11">
      <x:c r="A11" t="inlineStr">
        <x:is>
          <x:t xml:space="preserve">L-510</x:t>
        </x:is>
      </x:c>
      <x:c r="B11" t="inlineStr">
        <x:is>
          <x:t xml:space="preserve">DRV-010</x:t>
        </x:is>
      </x:c>
      <x:c r="C11" t="inlineStr">
        <x:is>
          <x:t xml:space="preserve">Noah Wilson</x:t>
        </x:is>
      </x:c>
      <x:c r="D11" t="inlineStr">
        <x:is>
          <x:t xml:space="preserve">T-105</x:t>
        </x:is>
      </x:c>
      <x:c r="E11" s="64" t="n">
        <x:v>1900</x:v>
      </x:c>
      <x:c r="F11" s="64" t="n">
        <x:v>77</x:v>
      </x:c>
      <x:c r="G11" t="inlineStr">
        <x:is>
          <x:t xml:space="preserve">YES</x:t>
        </x:is>
      </x:c>
      <x:c r="H11" t="inlineStr">
        <x:is>
          <x:t xml:space="preserve">DELIVERED</x:t>
        </x:is>
      </x:c>
      <x:c r="J11" t="inlineStr">
        <x:is>
          <x:t xml:space="preserve">SEAL-48113</x:t>
        </x:is>
      </x:c>
      <x:c r="K11" t="inlineStr">
        <x:is>
          <x:t xml:space="preserve">pickup_photo_10.jpg</x:t>
        </x:is>
      </x:c>
      <x:c r="N11" t="str">
        <x:f>IF(L11="","PENDING",IF(L11&lt;&gt;J11,"MISMATCH","VERIFIED"))</x:f>
        <x:v>PENDING</x:v>
      </x:c>
      <x:c r="O11" t="str">
        <x:f>IF(N11="MISMATCH","SEAL_MISMATCH",IF(OR(K11="",M11=""),"PHOTO_MISSING",""))</x:f>
        <x:v>PHOTO_MISSING</x:v>
      </x:c>
      <x:c r="Q11" t="str">
        <x:f>IF(O11="","",CONCAT("Pickup:",J11," | Delivery:",L11," | Override:",IF(P11="","NONE",P11)))</x:f>
        <x:v>Pickup:SEAL-48113 | Delivery: | Override:NONE</x:v>
      </x:c>
      <x:c r="R11" t="str">
        <x:f>IF(O11="","CLEAR",IF(P11="","LOCKED","OVERRIDDEN"))</x:f>
        <x:v>LOCKED</x:v>
      </x:c>
      <x:c r="S11" t="inlineStr">
        <x:is>
          <x:t xml:space="preserve">MISSING_DELIVERY_SEAL</x:t>
        </x:is>
      </x:c>
      <x:c r="T11" t="inlineStr">
        <x:is>
          <x:t xml:space="preserve">YES</x:t>
        </x:is>
      </x:c>
      <x:c r="U11" t="inlineStr">
        <x:is>
          <x:t xml:space="preserve">OPEN</x:t>
        </x:is>
      </x:c>
      <x:c r="V11" t="inlineStr">
        <x:is>
          <x:t xml:space="preserve">Driver 10</x:t>
        </x:is>
      </x:c>
      <x:c r="W11" t="inlineStr">
        <x:is>
          <x:t xml:space="preserve">READY</x:t>
        </x:is>
      </x:c>
      <x:c r="X11" t="inlineStr">
        <x:is>
          <x:t xml:space="preserve">DELIVERED</x:t>
        </x:is>
      </x:c>
      <x:c r="Y11" t="inlineStr">
        <x:is>
          <x:t xml:space="preserve">/documents/loads/L-510_RC.pdf</x:t>
        </x:is>
      </x:c>
      <x:c r="Z11" t="inlineStr">
        <x:is>
          <x:t xml:space="preserve">/documents/loads/L-510_BOL.pdf</x:t>
        </x:is>
      </x:c>
      <x:c r="AA11" t="inlineStr">
        <x:is>
          <x:t xml:space="preserve">/documents/loads/L-510_PICKUP_SEAL.jpg</x:t>
        </x:is>
      </x:c>
      <x:c r="AB11" t="inlineStr">
        <x:is>
          <x:t xml:space="preserve">/documents/loads/L-510_DELIVERY_SEAL.jpg</x:t>
        </x:is>
      </x:c>
      <x:c r="AC11" t="inlineStr">
        <x:is>
          <x:t xml:space="preserve">/drivers/DRV-010.jpg</x:t>
        </x:is>
      </x:c>
      <x:c r="AD11" t="inlineStr">
        <x:is>
          <x:t xml:space="preserve">/images/pod/L-510_POD.jpg</x:t>
        </x:is>
      </x:c>
      <x:c r="AE11" t="inlineStr">
        <x:is>
          <x:t xml:space="preserve">/images/pickup/L-510_PICKUP.jpg</x:t>
        </x:is>
      </x:c>
      <x:c r="AF11" t="inlineStr">
        <x:is>
          <x:t xml:space="preserve">/images/delivery/L-510_DELIVERY.jpg</x:t>
        </x:is>
      </x:c>
      <x:c r="AG11" t="inlineStr">
        <x:is>
          <x:t xml:space="preserve">/images/lumper/L-510_LUMPER.jpg</x:t>
        </x:is>
      </x:c>
      <x:c r="AH11" t="inlineStr">
        <x:is>
          <x:t xml:space="preserve">Nina Harris</x:t>
        </x:is>
      </x:c>
      <x:c r="AI11" t="inlineStr">
        <x:is>
          <x:t xml:space="preserve">Pioneer Brokerage</x:t>
        </x:is>
      </x:c>
      <x:c r="AJ11" t="inlineStr">
        <x:is>
          <x:t xml:space="preserve">MC-699114</x:t>
        </x:is>
      </x:c>
      <x:c r="AK11" t="inlineStr">
        <x:is>
          <x:t xml:space="preserve">Midwest Paper Co.</x:t>
        </x:is>
      </x:c>
      <x:c r="AL11" t="inlineStr">
        <x:is>
          <x:t xml:space="preserve">2210 Mill Rd</x:t>
        </x:is>
      </x:c>
      <x:c r="AM11" t="inlineStr">
        <x:is>
          <x:t xml:space="preserve">Columbus</x:t>
        </x:is>
      </x:c>
      <x:c r="AN11" t="inlineStr">
        <x:is>
          <x:t xml:space="preserve">OH</x:t>
        </x:is>
      </x:c>
      <x:c r="AO11" s="57" t="n">
        <x:v>45857.625</x:v>
      </x:c>
      <x:c r="AP11" t="inlineStr">
        <x:is>
          <x:t xml:space="preserve">Capital Retail Hub</x:t>
        </x:is>
      </x:c>
      <x:c r="AQ11" t="inlineStr">
        <x:is>
          <x:t xml:space="preserve">755 Market Loop</x:t>
        </x:is>
      </x:c>
      <x:c r="AR11" t="inlineStr">
        <x:is>
          <x:t xml:space="preserve">Indianapolis</x:t>
        </x:is>
      </x:c>
      <x:c r="AS11" t="inlineStr">
        <x:is>
          <x:t xml:space="preserve">IN</x:t>
        </x:is>
      </x:c>
      <x:c r="AT11" s="57" t="n">
        <x:v>45860.95833333334</x:v>
      </x:c>
      <x:c r="AU11" t="inlineStr">
        <x:is>
          <x:t xml:space="preserve">Dry groceries</x:t>
        </x:is>
      </x:c>
      <x:c r="AV11" s="68" t="n">
        <x:v>31074</x:v>
      </x:c>
      <x:c r="AW11" s="68" t="n">
        <x:v>23</x:v>
      </x:c>
      <x:c r="AX11" s="68" t="n">
        <x:v>782</x:v>
      </x:c>
      <x:c r="AY11" t="inlineStr">
        <x:is>
          <x:t xml:space="preserve">TRL-2629</x:t>
        </x:is>
      </x:c>
      <x:c r="AZ11" t="inlineStr">
        <x:is>
          <x:t xml:space="preserve">RC-510-562</x:t>
        </x:is>
      </x:c>
      <x:c r="BA11" t="inlineStr">
        <x:is>
          <x:t xml:space="preserve">BOL-510-2982</x:t>
        </x:is>
      </x:c>
      <x:c r="BB11" t="inlineStr">
        <x:is>
          <x:t xml:space="preserve">YES</x:t>
        </x:is>
      </x:c>
      <x:c r="BC11" s="57" t="n">
        <x:v>45861.04166666666</x:v>
      </x:c>
      <x:c r="BD11" s="64" t="n">
        <x:v>125</x:v>
      </x:c>
      <x:c r="BE11" t="inlineStr">
        <x:is>
          <x:t xml:space="preserve">RFID-510-18392</x:t>
        </x:is>
      </x:c>
      <x:c r="BF11" s="57" t="n">
        <x:v>45857.64305555556</x:v>
      </x:c>
      <x:c r="BG11" s="57" t="n">
        <x:v>45860.96597222222</x:v>
      </x:c>
      <x:c r="BH11" t="inlineStr">
        <x:is>
          <x:t xml:space="preserve">Columbus Yard Gate 2</x:t>
        </x:is>
      </x:c>
      <x:c r="BI11" t="inlineStr">
        <x:is>
          <x:t xml:space="preserve">VERIFIED</x:t>
        </x:is>
      </x:c>
      <x:c r="BJ11" t="inlineStr">
        <x:is>
          <x:t xml:space="preserve"/>
        </x:is>
      </x:c>
      <x:c r="BK11" t="inlineStr">
        <x:is>
          <x:t xml:space="preserve">CLM-510-1964</x:t>
        </x:is>
      </x:c>
      <x:c r="BL11" t="inlineStr">
        <x:is>
          <x:t xml:space="preserve">OPEN</x:t>
        </x:is>
      </x:c>
      <x:c r="BM11" t="inlineStr">
        <x:is>
          <x:t xml:space="preserve">Cargo Damage</x:t>
        </x:is>
      </x:c>
      <x:c r="BN11" s="55" t="n">
        <x:v>45860</x:v>
      </x:c>
      <x:c r="BO11" s="64" t="n">
        <x:v>11390.7</x:v>
      </x:c>
      <x:c r="BP11" s="64" t="n">
        <x:v>1000</x:v>
      </x:c>
      <x:c r="BQ11" t="inlineStr">
        <x:is>
          <x:t xml:space="preserve">Kelly Moore</x:t>
        </x:is>
      </x:c>
      <x:c r="BR11" t="inlineStr">
        <x:is>
          <x:t xml:space="preserve">Travelers Inland Marine</x:t>
        </x:is>
      </x:c>
      <x:c r="BS11" t="inlineStr">
        <x:is>
          <x:t xml:space="preserve">POL-392004</x:t>
        </x:is>
      </x:c>
      <x:c r="BT11" t="inlineStr">
        <x:is>
          <x:t xml:space="preserve">NorthStar Paper - Chicago, IL</x:t>
        </x:is>
      </x:c>
      <x:c r="BU11" t="inlineStr">
        <x:is>
          <x:t xml:space="preserve">Cleveland Receiver - Memphis, TN</x:t>
        </x:is>
      </x:c>
      <x:c r="BV11" s="55" t="n">
        <x:v>46222</x:v>
      </x:c>
      <x:c r="BW11" s="55" t="n">
        <x:v>46223</x:v>
      </x:c>
      <x:c r="BX11" t="inlineStr">
        <x:is>
          <x:t xml:space="preserve">10:00-13:00</x:t>
        </x:is>
      </x:c>
      <x:c r="BY11" t="inlineStr">
        <x:is>
          <x:t xml:space="preserve">09:00-13:00</x:t>
        </x:is>
      </x:c>
      <x:c r="BZ11" s="64" t="n">
        <x:v>1977</x:v>
      </x:c>
      <x:c r="CA11" s="64" t="n">
        <x:v>1558</x:v>
      </x:c>
      <x:c r="CB11" s="64" t="n">
        <x:v>228</x:v>
      </x:c>
      <x:c r="CC11" s="64" t="n">
        <x:v>25</x:v>
      </x:c>
      <x:c r="CD11" s="64" t="n">
        <x:v>89</x:v>
      </x:c>
      <x:c r="CE11" t="n">
        <x:v>753</x:v>
      </x:c>
      <x:c r="CF11" t="inlineStr">
        <x:is>
          <x:t xml:space="preserve">BLN-100509</x:t>
        </x:is>
      </x:c>
      <x:c r="CG11" t="inlineStr">
        <x:is>
          <x:t xml:space="preserve">PO-84009</x:t>
        </x:is>
      </x:c>
      <x:c r="CH11" t="inlineStr">
        <x:is>
          <x:t xml:space="preserve">RECEIVED</x:t>
        </x:is>
      </x:c>
      <x:c r="CI11" t="inlineStr">
        <x:is>
          <x:t xml:space="preserve">/images/pod/L-510_POD.jpg</x:t>
        </x:is>
      </x:c>
      <x:c r="CJ11" t="inlineStr">
        <x:is>
          <x:t xml:space="preserve">Receiver</x:t>
        </x:is>
      </x:c>
      <x:c r="CK11" t="inlineStr">
        <x:is>
          <x:t xml:space="preserve">UPLOADED</x:t>
        </x:is>
      </x:c>
      <x:c r="CL11" s="55" t="n">
        <x:v>46222</x:v>
      </x:c>
      <x:c r="CM11" t="inlineStr">
        <x:is>
          <x:t xml:space="preserve">UPLOADED</x:t>
        </x:is>
      </x:c>
      <x:c r="CN11" s="55" t="n">
        <x:v>46221</x:v>
      </x:c>
      <x:c r="CO11" t="inlineStr">
        <x:is>
          <x:t xml:space="preserve">TRAIL-2011</x:t>
        </x:is>
      </x:c>
      <x:c r="CP11" t="inlineStr">
        <x:is>
          <x:t xml:space="preserve">CARGO-5011</x:t>
        </x:is>
      </x:c>
      <x:c r="CQ11" s="57" t="n">
        <x:v>46223.42708333334</x:v>
      </x:c>
      <x:c r="CR11" t="inlineStr">
        <x:is>
          <x:t xml:space="preserve">Receiver Gate 1</x:t>
        </x:is>
      </x:c>
      <x:c r="CS11" t="inlineStr">
        <x:is>
          <x:t xml:space="preserve">YES</x:t>
        </x:is>
      </x:c>
      <x:c r="CT11" t="inlineStr">
        <x:is>
          <x:t xml:space="preserve">Cargo shift photos attached</x:t>
        </x:is>
      </x:c>
      <x:c r="CU11" s="64" t="n">
        <x:v>9682.095000000001</x:v>
      </x:c>
      <x:c r="CV11" s="64" t="n">
        <x:v>10390.7</x:v>
      </x:c>
      <x:c r="CW11" t="inlineStr">
        <x:is>
          <x:t xml:space="preserve">Motor Truck Cargo</x:t>
        </x:is>
      </x:c>
      <x:c r="CX11" t="inlineStr">
        <x:is>
          <x:t xml:space="preserve">YES</x:t>
        </x:is>
      </x:c>
      <x:c r="CY11" t="inlineStr">
        <x:is>
          <x:t xml:space="preserve">YES</x:t>
        </x:is>
      </x:c>
      <x:c r="CZ11" s="64" t="n">
        <x:v>1977</x:v>
      </x:c>
      <x:c r="DA11" s="64" t="n">
        <x:v>532</x:v>
      </x:c>
      <x:c r="DB11" t="inlineStr">
        <x:is>
          <x:t xml:space="preserve">NO</x:t>
        </x:is>
      </x:c>
      <x:c r="DC11" t="inlineStr">
        <x:is>
          <x:t xml:space="preserve"/>
        </x:is>
      </x:c>
      <x:c r="DD11" t="inlineStr">
        <x:is>
          <x:t xml:space="preserve">COMPLETE</x:t>
        </x:is>
      </x:c>
      <x:c r="DE11" t="inlineStr">
        <x:is>
          <x:t xml:space="preserve">OH</x:t>
        </x:is>
      </x:c>
      <x:c r="DF11" t="inlineStr">
        <x:is>
          <x:t xml:space="preserve">IN</x:t>
        </x:is>
      </x:c>
    </x:row>
    <x:row r="12">
      <x:c r="A12" t="inlineStr">
        <x:is>
          <x:t xml:space="preserve">L-511</x:t>
        </x:is>
      </x:c>
      <x:c r="B12" t="inlineStr">
        <x:is>
          <x:t xml:space="preserve">DRV-011</x:t>
        </x:is>
      </x:c>
      <x:c r="C12" t="inlineStr">
        <x:is>
          <x:t xml:space="preserve">Olivia Lee</x:t>
        </x:is>
      </x:c>
      <x:c r="D12" t="inlineStr">
        <x:is>
          <x:t xml:space="preserve">T-112</x:t>
        </x:is>
      </x:c>
      <x:c r="E12" s="64" t="n">
        <x:v>2250</x:v>
      </x:c>
      <x:c r="F12" s="64" t="n">
        <x:v>63</x:v>
      </x:c>
      <x:c r="G12" t="inlineStr">
        <x:is>
          <x:t xml:space="preserve">NO</x:t>
        </x:is>
      </x:c>
      <x:c r="H12" t="inlineStr">
        <x:is>
          <x:t xml:space="preserve">IN_TRANSIT</x:t>
        </x:is>
      </x:c>
      <x:c r="J12" t="inlineStr">
        <x:is>
          <x:t xml:space="preserve">SEAL-91420</x:t>
        </x:is>
      </x:c>
      <x:c r="K12" t="inlineStr">
        <x:is>
          <x:t xml:space="preserve">pickup_photo_11.jpg</x:t>
        </x:is>
      </x:c>
      <x:c r="L12" t="inlineStr">
        <x:is>
          <x:t xml:space="preserve">SEAL-91420</x:t>
        </x:is>
      </x:c>
      <x:c r="M12" t="inlineStr">
        <x:is>
          <x:t xml:space="preserve">delivery_photo_11.jpg</x:t>
        </x:is>
      </x:c>
      <x:c r="N12" t="str">
        <x:f>IF(L12="","PENDING",IF(L12&lt;&gt;J12,"MISMATCH","VERIFIED"))</x:f>
        <x:v>VERIFIED</x:v>
      </x:c>
      <x:c r="O12" t="str">
        <x:f>IF(N12="MISMATCH","SEAL_MISMATCH",IF(OR(K12="",M12=""),"PHOTO_MISSING",""))</x:f>
      </x:c>
      <x:c r="Q12" t="str">
        <x:f>IF(O12="","",CONCAT("Pickup:",J12," | Delivery:",L12," | Override:",IF(P12="","NONE",P12)))</x:f>
      </x:c>
      <x:c r="R12" t="str">
        <x:f>IF(O12="","CLEAR",IF(P12="","LOCKED","OVERRIDDEN"))</x:f>
        <x:v>CLEAR</x:v>
      </x:c>
      <x:c r="S12" t="inlineStr">
        <x:is>
          <x:t xml:space="preserve">VERIFIED</x:t>
        </x:is>
      </x:c>
      <x:c r="T12" t="inlineStr">
        <x:is>
          <x:t xml:space="preserve">NO</x:t>
        </x:is>
      </x:c>
      <x:c r="U12" t="inlineStr">
        <x:is>
          <x:t xml:space="preserve">CLOSED</x:t>
        </x:is>
      </x:c>
      <x:c r="V12" t="inlineStr">
        <x:is>
          <x:t xml:space="preserve">Driver 11</x:t>
        </x:is>
      </x:c>
      <x:c r="W12" t="inlineStr">
        <x:is>
          <x:t xml:space="preserve">PENDING</x:t>
        </x:is>
      </x:c>
      <x:c r="X12" t="inlineStr">
        <x:is>
          <x:t xml:space="preserve">IN_TRANSIT</x:t>
        </x:is>
      </x:c>
      <x:c r="Y12" t="inlineStr">
        <x:is>
          <x:t xml:space="preserve">/documents/loads/L-511_RC.pdf</x:t>
        </x:is>
      </x:c>
      <x:c r="Z12" t="inlineStr">
        <x:is>
          <x:t xml:space="preserve">/documents/loads/L-511_BOL.pdf</x:t>
        </x:is>
      </x:c>
      <x:c r="AA12" t="inlineStr">
        <x:is>
          <x:t xml:space="preserve">/documents/loads/L-511_PICKUP_SEAL.jpg</x:t>
        </x:is>
      </x:c>
      <x:c r="AB12" t="inlineStr">
        <x:is>
          <x:t xml:space="preserve">/documents/loads/L-511_DELIVERY_SEAL.jpg</x:t>
        </x:is>
      </x:c>
      <x:c r="AC12" t="inlineStr">
        <x:is>
          <x:t xml:space="preserve">/drivers/DRV-011.jpg</x:t>
        </x:is>
      </x:c>
      <x:c r="AD12" t="inlineStr">
        <x:is>
          <x:t xml:space="preserve">/images/pod/L-511_POD.jpg</x:t>
        </x:is>
      </x:c>
      <x:c r="AE12" t="inlineStr">
        <x:is>
          <x:t xml:space="preserve">/images/pickup/L-511_PICKUP.jpg</x:t>
        </x:is>
      </x:c>
      <x:c r="AF12" t="inlineStr">
        <x:is>
          <x:t xml:space="preserve">/images/delivery/L-511_DELIVERY.jpg</x:t>
        </x:is>
      </x:c>
      <x:c r="AG12" t="inlineStr">
        <x:is>
          <x:t xml:space="preserve">/images/lumper/L-511_LUMPER.jpg</x:t>
        </x:is>
      </x:c>
      <x:c r="AH12" t="inlineStr">
        <x:is>
          <x:t xml:space="preserve">Tina Brooks</x:t>
        </x:is>
      </x:c>
      <x:c r="AI12" t="inlineStr">
        <x:is>
          <x:t xml:space="preserve">BlueLine Logistics</x:t>
        </x:is>
      </x:c>
      <x:c r="AJ12" t="inlineStr">
        <x:is>
          <x:t xml:space="preserve">MC-782104</x:t>
        </x:is>
      </x:c>
      <x:c r="AK12" t="inlineStr">
        <x:is>
          <x:t xml:space="preserve">Sunbelt Beverages</x:t>
        </x:is>
      </x:c>
      <x:c r="AL12" t="inlineStr">
        <x:is>
          <x:t xml:space="preserve">9900 Commerce Blvd</x:t>
        </x:is>
      </x:c>
      <x:c r="AM12" t="inlineStr">
        <x:is>
          <x:t xml:space="preserve">Charlotte</x:t>
        </x:is>
      </x:c>
      <x:c r="AN12" t="inlineStr">
        <x:is>
          <x:t xml:space="preserve">NC</x:t>
        </x:is>
      </x:c>
      <x:c r="AO12" s="57" t="n">
        <x:v>45859.79166666666</x:v>
      </x:c>
      <x:c r="AP12" t="inlineStr">
        <x:is>
          <x:t xml:space="preserve">Bayport Imports</x:t>
        </x:is>
      </x:c>
      <x:c r="AQ12" t="inlineStr">
        <x:is>
          <x:t xml:space="preserve">330 Dockside Ln</x:t>
        </x:is>
      </x:c>
      <x:c r="AR12" t="inlineStr">
        <x:is>
          <x:t xml:space="preserve">Savannah</x:t>
        </x:is>
      </x:c>
      <x:c r="AS12" t="inlineStr">
        <x:is>
          <x:t xml:space="preserve">GA</x:t>
        </x:is>
      </x:c>
      <x:c r="AT12" s="57" t="n">
        <x:v>45863.04166666666</x:v>
      </x:c>
      <x:c r="AU12" t="inlineStr">
        <x:is>
          <x:t xml:space="preserve">Plastic resins</x:t>
        </x:is>
      </x:c>
      <x:c r="AV12" s="68" t="n">
        <x:v>41702</x:v>
      </x:c>
      <x:c r="AW12" s="68" t="n">
        <x:v>27</x:v>
      </x:c>
      <x:c r="AX12" s="68" t="n">
        <x:v>729</x:v>
      </x:c>
      <x:c r="AY12" t="inlineStr">
        <x:is>
          <x:t xml:space="preserve">TRL-2584</x:t>
        </x:is>
      </x:c>
      <x:c r="AZ12" t="inlineStr">
        <x:is>
          <x:t xml:space="preserve">RC-511-926</x:t>
        </x:is>
      </x:c>
      <x:c r="BA12" t="inlineStr">
        <x:is>
          <x:t xml:space="preserve">BOL-511-7669</x:t>
        </x:is>
      </x:c>
      <x:c r="BB12" t="inlineStr">
        <x:is>
          <x:t xml:space="preserve">PENDING</x:t>
        </x:is>
      </x:c>
      <x:c r="BC12" s="57" t="n">
        <x:v>46225.45833333334</x:v>
      </x:c>
      <x:c r="BD12" s="64" t="n">
        <x:v>125</x:v>
      </x:c>
      <x:c r="BE12" t="inlineStr">
        <x:is>
          <x:t xml:space="preserve">RFID-511-22363</x:t>
        </x:is>
      </x:c>
      <x:c r="BF12" s="57" t="n">
        <x:v>45859.79930555556</x:v>
      </x:c>
      <x:c r="BG12" s="57" t="n">
        <x:v>46225.41666666666</x:v>
      </x:c>
      <x:c r="BH12" t="inlineStr">
        <x:is>
          <x:t xml:space="preserve">Charlotte Yard Gate 4</x:t>
        </x:is>
      </x:c>
      <x:c r="BI12" t="inlineStr">
        <x:is>
          <x:t xml:space="preserve">PENDING_DELIVERY</x:t>
        </x:is>
      </x:c>
      <x:c r="BJ12" t="inlineStr">
        <x:is>
          <x:t xml:space="preserve">MISREAD_AT_GATE</x:t>
        </x:is>
      </x:c>
      <x:c r="BK12" t="inlineStr">
        <x:is>
          <x:t xml:space="preserve"/>
        </x:is>
      </x:c>
      <x:c r="BL12" t="inlineStr">
        <x:is>
          <x:t xml:space="preserve">NO_CLAIM</x:t>
        </x:is>
      </x:c>
      <x:c r="BM12" t="inlineStr">
        <x:is>
          <x:t xml:space="preserve"/>
        </x:is>
      </x:c>
      <x:c r="BN12" s="55" t="n"/>
      <x:c r="BO12" s="64" t="n">
        <x:v>0</x:v>
      </x:c>
      <x:c r="BP12" s="64" t="n">
        <x:v>500</x:v>
      </x:c>
      <x:c r="BQ12" t="inlineStr">
        <x:is>
          <x:t xml:space="preserve"/>
        </x:is>
      </x:c>
      <x:c r="BR12" t="inlineStr">
        <x:is>
          <x:t xml:space="preserve">Progressive Commercial</x:t>
        </x:is>
      </x:c>
      <x:c r="BS12" t="inlineStr">
        <x:is>
          <x:t xml:space="preserve">POL-660012</x:t>
        </x:is>
      </x:c>
      <x:c r="BT12" t="inlineStr">
        <x:is>
          <x:t xml:space="preserve">Rapid Parts - Indianapolis, IN</x:t>
        </x:is>
      </x:c>
      <x:c r="BU12" t="inlineStr">
        <x:is>
          <x:t xml:space="preserve">Delta Retail DC - Atlanta, GA</x:t>
        </x:is>
      </x:c>
      <x:c r="BV12" s="55" t="n">
        <x:v>46224</x:v>
      </x:c>
      <x:c r="BW12" s="55" t="n">
        <x:v>46225</x:v>
      </x:c>
      <x:c r="BX12" t="inlineStr">
        <x:is>
          <x:t xml:space="preserve">08:00-11:00</x:t>
        </x:is>
      </x:c>
      <x:c r="BY12" t="inlineStr">
        <x:is>
          <x:t xml:space="preserve">10:00-14:00</x:t>
        </x:is>
      </x:c>
      <x:c r="BZ12" s="64" t="n">
        <x:v>2313</x:v>
      </x:c>
      <x:c r="CA12" s="64" t="n">
        <x:v>1845</x:v>
      </x:c>
      <x:c r="CB12" s="64" t="n">
        <x:v>270</x:v>
      </x:c>
      <x:c r="CC12" s="64" t="n">
        <x:v>0</x:v>
      </x:c>
      <x:c r="CD12" s="64" t="n">
        <x:v>135</x:v>
      </x:c>
      <x:c r="CE12" t="n">
        <x:v>810</x:v>
      </x:c>
      <x:c r="CF12" t="inlineStr">
        <x:is>
          <x:t xml:space="preserve">BLN-100510</x:t>
        </x:is>
      </x:c>
      <x:c r="CG12" t="inlineStr">
        <x:is>
          <x:t xml:space="preserve">PO-84010</x:t>
        </x:is>
      </x:c>
      <x:c r="CH12" t="inlineStr">
        <x:is>
          <x:t xml:space="preserve">PENDING</x:t>
        </x:is>
      </x:c>
      <x:c r="CI12" t="inlineStr">
        <x:is>
          <x:t xml:space="preserve">/images/pod/L-511_POD.jpg</x:t>
        </x:is>
      </x:c>
      <x:c r="CJ12" t="inlineStr">
        <x:is>
          <x:t xml:space="preserve">Dock Supervisor</x:t>
        </x:is>
      </x:c>
      <x:c r="CK12" t="inlineStr">
        <x:is>
          <x:t xml:space="preserve">MISSING</x:t>
        </x:is>
      </x:c>
      <x:c r="CL12" s="55" t="n">
        <x:v>46224</x:v>
      </x:c>
      <x:c r="CM12" t="inlineStr">
        <x:is>
          <x:t xml:space="preserve">UPLOADED</x:t>
        </x:is>
      </x:c>
      <x:c r="CN12" s="55" t="n">
        <x:v>46223</x:v>
      </x:c>
      <x:c r="CO12" t="inlineStr">
        <x:is>
          <x:t xml:space="preserve">TRAIL-2012</x:t>
        </x:is>
      </x:c>
      <x:c r="CP12" t="inlineStr">
        <x:is>
          <x:t xml:space="preserve">CARGO-5012</x:t>
        </x:is>
      </x:c>
      <x:c r="CQ12" s="57" t="n">
        <x:v>46225.42708333334</x:v>
      </x:c>
      <x:c r="CR12" t="inlineStr">
        <x:is>
          <x:t xml:space="preserve">Dock Door 3</x:t>
        </x:is>
      </x:c>
      <x:c r="CS12" t="inlineStr">
        <x:is>
          <x:t xml:space="preserve">NO</x:t>
        </x:is>
      </x:c>
      <x:c r="CT12" t="inlineStr">
        <x:is>
          <x:t xml:space="preserve">No active claim</x:t>
        </x:is>
      </x:c>
      <x:c r="CU12" s="64" t="n">
        <x:v>0</x:v>
      </x:c>
      <x:c r="CV12" s="64" t="n">
        <x:v>0</x:v>
      </x:c>
      <x:c r="CW12" t="inlineStr">
        <x:is>
          <x:t xml:space="preserve">Auto Liability</x:t>
        </x:is>
      </x:c>
      <x:c r="CX12" t="inlineStr">
        <x:is>
          <x:t xml:space="preserve">NO</x:t>
        </x:is>
      </x:c>
      <x:c r="CY12" t="inlineStr">
        <x:is>
          <x:t xml:space="preserve">NO</x:t>
        </x:is>
      </x:c>
      <x:c r="CZ12" s="64" t="n">
        <x:v>2313</x:v>
      </x:c>
      <x:c r="DA12" s="64" t="n">
        <x:v>630</x:v>
      </x:c>
      <x:c r="DB12" t="inlineStr">
        <x:is>
          <x:t xml:space="preserve">YES</x:t>
        </x:is>
      </x:c>
      <x:c r="DC12" t="inlineStr">
        <x:is>
          <x:t xml:space="preserve">Missing proof bundle</x:t>
        </x:is>
      </x:c>
      <x:c r="DD12" t="inlineStr">
        <x:is>
          <x:t xml:space="preserve">INCOMPLETE</x:t>
        </x:is>
      </x:c>
      <x:c r="DE12" t="inlineStr">
        <x:is>
          <x:t xml:space="preserve">NC</x:t>
        </x:is>
      </x:c>
      <x:c r="DF12" t="inlineStr">
        <x:is>
          <x:t xml:space="preserve">GA</x:t>
        </x:is>
      </x:c>
    </x:row>
    <x:row r="13">
      <x:c r="A13" t="inlineStr">
        <x:is>
          <x:t xml:space="preserve">L-512</x:t>
        </x:is>
      </x:c>
      <x:c r="B13" t="inlineStr">
        <x:is>
          <x:t xml:space="preserve">DRV-012</x:t>
        </x:is>
      </x:c>
      <x:c r="D13" t="inlineStr">
        <x:is>
          <x:t xml:space="preserve">T-106</x:t>
        </x:is>
      </x:c>
      <x:c r="E13" s="64" t="n">
        <x:v>2150</x:v>
      </x:c>
      <x:c r="F13" s="64" t="n">
        <x:v>69</x:v>
      </x:c>
      <x:c r="G13" t="inlineStr">
        <x:is>
          <x:t xml:space="preserve">YES</x:t>
        </x:is>
      </x:c>
      <x:c r="H13" t="inlineStr">
        <x:is>
          <x:t xml:space="preserve">DELIVERED</x:t>
        </x:is>
      </x:c>
      <x:c r="J13" t="inlineStr">
        <x:is>
          <x:t xml:space="preserve">SEAL-35864</x:t>
        </x:is>
      </x:c>
      <x:c r="K13" t="inlineStr">
        <x:is>
          <x:t xml:space="preserve">pickup_photo_12.jpg</x:t>
        </x:is>
      </x:c>
      <x:c r="L13" t="inlineStr">
        <x:is>
          <x:t xml:space="preserve">SEAL-35860</x:t>
        </x:is>
      </x:c>
      <x:c r="M13" t="inlineStr">
        <x:is>
          <x:t xml:space="preserve">delivery_photo_12.jpg</x:t>
        </x:is>
      </x:c>
      <x:c r="N13" t="str">
        <x:f>IF(L13="","PENDING",IF(L13&lt;&gt;J13,"MISMATCH","VERIFIED"))</x:f>
        <x:v>MISMATCH</x:v>
      </x:c>
      <x:c r="O13" t="str">
        <x:f>IF(N13="MISMATCH","SEAL_MISMATCH",IF(OR(K13="",M13=""),"PHOTO_MISSING",""))</x:f>
        <x:v>SEAL_MISMATCH</x:v>
      </x:c>
      <x:c r="Q13" t="str">
        <x:f>IF(O13="","",CONCAT("Pickup:",J13," | Delivery:",L13," | Override:",IF(P13="","NONE",P13)))</x:f>
        <x:v>Pickup:SEAL-35864 | Delivery:SEAL-35860 | Override:NONE</x:v>
      </x:c>
      <x:c r="R13" t="str">
        <x:f>IF(O13="","CLEAR",IF(P13="","LOCKED","OVERRIDDEN"))</x:f>
        <x:v>LOCKED</x:v>
      </x:c>
      <x:c r="S13" t="inlineStr">
        <x:is>
          <x:t xml:space="preserve">SEAL_MISMATCH</x:t>
        </x:is>
      </x:c>
      <x:c r="T13" t="inlineStr">
        <x:is>
          <x:t xml:space="preserve">YES</x:t>
        </x:is>
      </x:c>
      <x:c r="U13" t="inlineStr">
        <x:is>
          <x:t xml:space="preserve">OPEN</x:t>
        </x:is>
      </x:c>
      <x:c r="V13" t="inlineStr">
        <x:is>
          <x:t xml:space="preserve">Driver 12</x:t>
        </x:is>
      </x:c>
      <x:c r="W13" t="inlineStr">
        <x:is>
          <x:t xml:space="preserve">READY</x:t>
        </x:is>
      </x:c>
      <x:c r="X13" t="inlineStr">
        <x:is>
          <x:t xml:space="preserve">DELIVERED</x:t>
        </x:is>
      </x:c>
      <x:c r="Y13" t="inlineStr">
        <x:is>
          <x:t xml:space="preserve">/documents/loads/L-512_RC.pdf</x:t>
        </x:is>
      </x:c>
      <x:c r="Z13" t="inlineStr">
        <x:is>
          <x:t xml:space="preserve">/documents/loads/L-512_BOL.pdf</x:t>
        </x:is>
      </x:c>
      <x:c r="AA13" t="inlineStr">
        <x:is>
          <x:t xml:space="preserve">/documents/loads/L-512_PICKUP_SEAL.jpg</x:t>
        </x:is>
      </x:c>
      <x:c r="AB13" t="inlineStr">
        <x:is>
          <x:t xml:space="preserve">/documents/loads/L-512_DELIVERY_SEAL.jpg</x:t>
        </x:is>
      </x:c>
      <x:c r="AC13" t="inlineStr">
        <x:is>
          <x:t xml:space="preserve">/drivers/DRV-012.jpg</x:t>
        </x:is>
      </x:c>
      <x:c r="AD13" t="inlineStr">
        <x:is>
          <x:t xml:space="preserve">/images/pod/L-512_POD.jpg</x:t>
        </x:is>
      </x:c>
      <x:c r="AE13" t="inlineStr">
        <x:is>
          <x:t xml:space="preserve">/images/pickup/L-512_PICKUP.jpg</x:t>
        </x:is>
      </x:c>
      <x:c r="AF13" t="inlineStr">
        <x:is>
          <x:t xml:space="preserve">/images/delivery/L-512_DELIVERY.jpg</x:t>
        </x:is>
      </x:c>
      <x:c r="AG13" t="inlineStr">
        <x:is>
          <x:t xml:space="preserve">/images/lumper/L-512_LUMPER.jpg</x:t>
        </x:is>
      </x:c>
      <x:c r="AH13" t="inlineStr">
        <x:is>
          <x:t xml:space="preserve">Jamal Reeves</x:t>
        </x:is>
      </x:c>
      <x:c r="AI13" t="inlineStr">
        <x:is>
          <x:t xml:space="preserve">Summit Freight</x:t>
        </x:is>
      </x:c>
      <x:c r="AJ13" t="inlineStr">
        <x:is>
          <x:t xml:space="preserve">MC-641255</x:t>
        </x:is>
      </x:c>
      <x:c r="AK13" t="inlineStr">
        <x:is>
          <x:t xml:space="preserve">Frontier Retail DC</x:t>
        </x:is>
      </x:c>
      <x:c r="AL13" t="inlineStr">
        <x:is>
          <x:t xml:space="preserve">5600 Warehouse Way</x:t>
        </x:is>
      </x:c>
      <x:c r="AM13" t="inlineStr">
        <x:is>
          <x:t xml:space="preserve">Dallas</x:t>
        </x:is>
      </x:c>
      <x:c r="AN13" t="inlineStr">
        <x:is>
          <x:t xml:space="preserve">TX</x:t>
        </x:is>
      </x:c>
      <x:c r="AO13" s="57" t="n">
        <x:v>45861.41666666666</x:v>
      </x:c>
      <x:c r="AP13" t="inlineStr">
        <x:is>
          <x:t xml:space="preserve">Metro Supply Chain</x:t>
        </x:is>
      </x:c>
      <x:c r="AQ13" t="inlineStr">
        <x:is>
          <x:t xml:space="preserve">120 Junction Rd</x:t>
        </x:is>
      </x:c>
      <x:c r="AR13" t="inlineStr">
        <x:is>
          <x:t xml:space="preserve">Chicago</x:t>
        </x:is>
      </x:c>
      <x:c r="AS13" t="inlineStr">
        <x:is>
          <x:t xml:space="preserve">IL</x:t>
        </x:is>
      </x:c>
      <x:c r="AT13" s="57" t="n">
        <x:v>45862.83333333334</x:v>
      </x:c>
      <x:c r="AU13" t="inlineStr">
        <x:is>
          <x:t xml:space="preserve">Building materials</x:t>
        </x:is>
      </x:c>
      <x:c r="AV13" s="68" t="n">
        <x:v>41862</x:v>
      </x:c>
      <x:c r="AW13" s="68" t="n">
        <x:v>22</x:v>
      </x:c>
      <x:c r="AX13" s="68" t="n">
        <x:v>990</x:v>
      </x:c>
      <x:c r="AY13" t="inlineStr">
        <x:is>
          <x:t xml:space="preserve">TRL-2211</x:t>
        </x:is>
      </x:c>
      <x:c r="AZ13" t="inlineStr">
        <x:is>
          <x:t xml:space="preserve">RC-512-354</x:t>
        </x:is>
      </x:c>
      <x:c r="BA13" t="inlineStr">
        <x:is>
          <x:t xml:space="preserve">BOL-512-4139</x:t>
        </x:is>
      </x:c>
      <x:c r="BB13" t="inlineStr">
        <x:is>
          <x:t xml:space="preserve">YES</x:t>
        </x:is>
      </x:c>
      <x:c r="BC13" s="57" t="n">
        <x:v>45862.91666666666</x:v>
      </x:c>
      <x:c r="BD13" s="64" t="n">
        <x:v>315</x:v>
      </x:c>
      <x:c r="BE13" t="inlineStr">
        <x:is>
          <x:t xml:space="preserve">RFID-512-68800</x:t>
        </x:is>
      </x:c>
      <x:c r="BF13" s="57" t="n">
        <x:v>45861.42569444444</x:v>
      </x:c>
      <x:c r="BG13" s="57" t="n">
        <x:v>45862.85902777778</x:v>
      </x:c>
      <x:c r="BH13" t="inlineStr">
        <x:is>
          <x:t xml:space="preserve">Dallas Yard Gate 2</x:t>
        </x:is>
      </x:c>
      <x:c r="BI13" t="inlineStr">
        <x:is>
          <x:t xml:space="preserve">VERIFIED</x:t>
        </x:is>
      </x:c>
      <x:c r="BJ13" t="inlineStr">
        <x:is>
          <x:t xml:space="preserve"/>
        </x:is>
      </x:c>
      <x:c r="BK13" t="inlineStr">
        <x:is>
          <x:t xml:space="preserve">CLM-512-2235</x:t>
        </x:is>
      </x:c>
      <x:c r="BL13" t="inlineStr">
        <x:is>
          <x:t xml:space="preserve">UNDER_REVIEW</x:t>
        </x:is>
      </x:c>
      <x:c r="BM13" t="inlineStr">
        <x:is>
          <x:t xml:space="preserve">Cargo Damage</x:t>
        </x:is>
      </x:c>
      <x:c r="BN13" s="55" t="n">
        <x:v>45862</x:v>
      </x:c>
      <x:c r="BO13" s="64" t="n">
        <x:v>1816.59</x:v>
      </x:c>
      <x:c r="BP13" s="64" t="n">
        <x:v>1500</x:v>
      </x:c>
      <x:c r="BQ13" t="inlineStr">
        <x:is>
          <x:t xml:space="preserve">Kelly Moore</x:t>
        </x:is>
      </x:c>
      <x:c r="BR13" t="inlineStr">
        <x:is>
          <x:t xml:space="preserve">Progressive Commercial</x:t>
        </x:is>
      </x:c>
      <x:c r="BS13" t="inlineStr">
        <x:is>
          <x:t xml:space="preserve">POL-890170</x:t>
        </x:is>
      </x:c>
      <x:c r="BT13" t="inlineStr">
        <x:is>
          <x:t xml:space="preserve">Prime Consumer - Dallas, TX</x:t>
        </x:is>
      </x:c>
      <x:c r="BU13" t="inlineStr">
        <x:is>
          <x:t xml:space="preserve">Union Crossdock - St. Louis, MO</x:t>
        </x:is>
      </x:c>
      <x:c r="BV13" s="55" t="n">
        <x:v>46226</x:v>
      </x:c>
      <x:c r="BW13" s="55" t="n">
        <x:v>46227</x:v>
      </x:c>
      <x:c r="BX13" t="inlineStr">
        <x:is>
          <x:t xml:space="preserve">09:00-12:00</x:t>
        </x:is>
      </x:c>
      <x:c r="BY13" t="inlineStr">
        <x:is>
          <x:t xml:space="preserve">11:00-15:00</x:t>
        </x:is>
      </x:c>
      <x:c r="BZ13" s="64" t="n">
        <x:v>2219</x:v>
      </x:c>
      <x:c r="CA13" s="64" t="n">
        <x:v>1763</x:v>
      </x:c>
      <x:c r="CB13" s="64" t="n">
        <x:v>258</x:v>
      </x:c>
      <x:c r="CC13" s="64" t="n">
        <x:v>50</x:v>
      </x:c>
      <x:c r="CD13" s="64" t="n">
        <x:v>79</x:v>
      </x:c>
      <x:c r="CE13" t="n">
        <x:v>867</x:v>
      </x:c>
      <x:c r="CF13" t="inlineStr">
        <x:is>
          <x:t xml:space="preserve">BLN-100511</x:t>
        </x:is>
      </x:c>
      <x:c r="CG13" t="inlineStr">
        <x:is>
          <x:t xml:space="preserve">PO-84011</x:t>
        </x:is>
      </x:c>
      <x:c r="CH13" t="inlineStr">
        <x:is>
          <x:t xml:space="preserve">RECEIVED</x:t>
        </x:is>
      </x:c>
      <x:c r="CI13" t="inlineStr">
        <x:is>
          <x:t xml:space="preserve">/images/pod/L-512_POD.jpg</x:t>
        </x:is>
      </x:c>
      <x:c r="CJ13" t="inlineStr">
        <x:is>
          <x:t xml:space="preserve">Inventory Lead</x:t>
        </x:is>
      </x:c>
      <x:c r="CK13" t="inlineStr">
        <x:is>
          <x:t xml:space="preserve">UPLOADED</x:t>
        </x:is>
      </x:c>
      <x:c r="CL13" s="55" t="n">
        <x:v>46226</x:v>
      </x:c>
      <x:c r="CM13" t="inlineStr">
        <x:is>
          <x:t xml:space="preserve">UPLOADED</x:t>
        </x:is>
      </x:c>
      <x:c r="CN13" s="55" t="n">
        <x:v>46225</x:v>
      </x:c>
      <x:c r="CO13" t="inlineStr">
        <x:is>
          <x:t xml:space="preserve">TRAIL-2013</x:t>
        </x:is>
      </x:c>
      <x:c r="CP13" t="inlineStr">
        <x:is>
          <x:t xml:space="preserve">CARGO-5013</x:t>
        </x:is>
      </x:c>
      <x:c r="CQ13" s="57" t="n">
        <x:v>46227.42708333334</x:v>
      </x:c>
      <x:c r="CR13" t="inlineStr">
        <x:is>
          <x:t xml:space="preserve">Yard Gate A</x:t>
        </x:is>
      </x:c>
      <x:c r="CS13" t="inlineStr">
        <x:is>
          <x:t xml:space="preserve">YES</x:t>
        </x:is>
      </x:c>
      <x:c r="CT13" t="inlineStr">
        <x:is>
          <x:t xml:space="preserve">Seal mismatch review</x:t>
        </x:is>
      </x:c>
      <x:c r="CU13" s="64" t="n">
        <x:v>1544.1015</x:v>
      </x:c>
      <x:c r="CV13" s="64" t="n">
        <x:v>316.5899999999999</x:v>
      </x:c>
      <x:c r="CW13" t="inlineStr">
        <x:is>
          <x:t xml:space="preserve">General Liability</x:t>
        </x:is>
      </x:c>
      <x:c r="CX13" t="inlineStr">
        <x:is>
          <x:t xml:space="preserve">YES</x:t>
        </x:is>
      </x:c>
      <x:c r="CY13" t="inlineStr">
        <x:is>
          <x:t xml:space="preserve">YES</x:t>
        </x:is>
      </x:c>
      <x:c r="CZ13" s="64" t="n">
        <x:v>2219</x:v>
      </x:c>
      <x:c r="DA13" s="64" t="n">
        <x:v>602</x:v>
      </x:c>
      <x:c r="DB13" t="inlineStr">
        <x:is>
          <x:t xml:space="preserve">NO</x:t>
        </x:is>
      </x:c>
      <x:c r="DC13" t="inlineStr">
        <x:is>
          <x:t xml:space="preserve"/>
        </x:is>
      </x:c>
      <x:c r="DD13" t="inlineStr">
        <x:is>
          <x:t xml:space="preserve">COMPLETE</x:t>
        </x:is>
      </x:c>
      <x:c r="DE13" t="inlineStr">
        <x:is>
          <x:t xml:space="preserve">TX</x:t>
        </x:is>
      </x:c>
      <x:c r="DF13" t="inlineStr">
        <x:is>
          <x:t xml:space="preserve">IL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f91a624a2eaf45fa"/>
    <x:tablePart xmlns:r="http://schemas.openxmlformats.org/officeDocument/2006/relationships" r:id="Rbb137c0e1d7f48cb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1" style="24" customWidth="1"/>
    <x:col min="2" max="2" width="14" style="24" customWidth="1"/>
    <x:col min="3" max="3" width="11" style="24" customWidth="1"/>
    <x:col min="4" max="4" width="15" style="24" customWidth="1"/>
    <x:col min="5" max="5" width="14" style="24" customWidth="1"/>
    <x:col min="6" max="6" width="11" style="24" customWidth="1"/>
    <x:col min="7" max="7" width="12" style="24" customWidth="1"/>
    <x:col min="8" max="8" width="13" style="24" customWidth="1"/>
    <x:col min="9" max="9" width="21" style="24" customWidth="1"/>
    <x:col min="10" max="10" width="19" style="24" customWidth="1"/>
    <x:col min="11" max="11" width="13" style="24" customWidth="1"/>
    <x:col min="12" max="12" width="13" style="24" customWidth="1"/>
    <x:col min="13" max="13" width="16" style="24" customWidth="1"/>
    <x:col min="14" max="14" width="20" style="24" customWidth="1"/>
    <x:col min="15" max="15" width="27" style="24" customWidth="1"/>
    <x:col min="16" max="16" width="21" style="24" customWidth="1"/>
    <x:col min="17" max="17" width="26" style="24" customWidth="1"/>
    <x:col min="18" max="18" width="27" style="24" customWidth="1"/>
    <x:col min="19" max="19" width="26" style="24" customWidth="1"/>
    <x:col min="20" max="20" width="18" style="24" customWidth="1"/>
    <x:col min="21" max="21" width="13" style="24" customWidth="1"/>
    <x:col min="22" max="22" width="14" style="24" customWidth="1"/>
    <x:col min="23" max="23" width="10" style="24" customWidth="1"/>
    <x:col min="24" max="24" width="19" style="24" customWidth="1"/>
    <x:col min="25" max="25" width="13" style="24" customWidth="1"/>
    <x:col min="26" max="26" width="18" style="24" customWidth="1"/>
    <x:col min="27" max="27" width="15" style="24" customWidth="1"/>
    <x:col min="28" max="28" width="15" style="24" customWidth="1"/>
    <x:col min="29" max="29" width="30" style="24" customWidth="1"/>
    <x:col min="30" max="30" width="30" style="24" customWidth="1"/>
  </x:cols>
  <x:sheetData>
    <x:row r="1">
      <x:c r="A1" s="49" t="inlineStr">
        <x:is>
          <x:t xml:space="preserve">Driver ID</x:t>
        </x:is>
      </x:c>
      <x:c r="B1" s="49" t="inlineStr">
        <x:is>
          <x:t xml:space="preserve">Full Name</x:t>
        </x:is>
      </x:c>
      <x:c r="C1" s="49" t="inlineStr">
        <x:is>
          <x:t xml:space="preserve">Driver</x:t>
        </x:is>
      </x:c>
      <x:c r="D1" s="49" t="inlineStr">
        <x:is>
          <x:t xml:space="preserve">Base Earnings</x:t>
        </x:is>
      </x:c>
      <x:c r="E1" s="49" t="inlineStr">
        <x:is>
          <x:t xml:space="preserve">Backhaul Pay</x:t>
        </x:is>
      </x:c>
      <x:c r="F1" s="49" t="inlineStr">
        <x:is>
          <x:t xml:space="preserve">Gross Pay</x:t>
        </x:is>
      </x:c>
      <x:c r="G1" s="49" t="inlineStr">
        <x:is>
          <x:t xml:space="preserve">FICA</x:t>
        </x:is>
      </x:c>
      <x:c r="H1" s="49" t="inlineStr">
        <x:is>
          <x:t xml:space="preserve">OASDI</x:t>
        </x:is>
      </x:c>
      <x:c r="I1" s="49" t="inlineStr">
        <x:is>
          <x:t xml:space="preserve">Federal Withholding</x:t>
        </x:is>
      </x:c>
      <x:c r="J1" s="49" t="inlineStr">
        <x:is>
          <x:t xml:space="preserve">State Withholding</x:t>
        </x:is>
      </x:c>
      <x:c r="K1" s="49" t="inlineStr">
        <x:is>
          <x:t xml:space="preserve">SDI</x:t>
        </x:is>
      </x:c>
      <x:c r="L1" s="49" t="inlineStr">
        <x:is>
          <x:t xml:space="preserve">FM Leave</x:t>
        </x:is>
      </x:c>
      <x:c r="M1" s="49" t="inlineStr">
        <x:is>
          <x:t xml:space="preserve">Family Support</x:t>
        </x:is>
      </x:c>
      <x:c r="N1" s="49" t="inlineStr">
        <x:is>
          <x:t xml:space="preserve">Insurance Premiums</x:t>
        </x:is>
      </x:c>
      <x:c r="O1" s="49" t="inlineStr">
        <x:is>
          <x:t xml:space="preserve">Credit Union Savings Club</x:t>
        </x:is>
      </x:c>
      <x:c r="P1" s="49" t="inlineStr">
        <x:is>
          <x:t xml:space="preserve">401(k) Contribution</x:t>
        </x:is>
      </x:c>
      <x:c r="Q1" s="49" t="inlineStr">
        <x:is>
          <x:t xml:space="preserve">HSA/FSA Health Deduction</x:t>
        </x:is>
      </x:c>
      <x:c r="R1" s="49" t="inlineStr">
        <x:is>
          <x:t xml:space="preserve">Health Insurance Premiums</x:t>
        </x:is>
      </x:c>
      <x:c r="S1" s="49" t="inlineStr">
        <x:is>
          <x:t xml:space="preserve">Life Insurance Above 50k</x:t>
        </x:is>
      </x:c>
      <x:c r="T1" s="49" t="inlineStr">
        <x:is>
          <x:t xml:space="preserve">Total Deductions</x:t>
        </x:is>
      </x:c>
      <x:c r="U1" s="49" t="inlineStr">
        <x:is>
          <x:t xml:space="preserve">Fuel Reimb.</x:t>
        </x:is>
      </x:c>
      <x:c r="V1" s="49" t="inlineStr">
        <x:is>
          <x:t xml:space="preserve">Net Pay</x:t>
        </x:is>
      </x:c>
      <x:c r="W1" s="49" t="inlineStr">
        <x:is>
          <x:t xml:space="preserve">Status</x:t>
        </x:is>
      </x:c>
      <x:c r="X1" s="49" t="inlineStr">
        <x:is>
          <x:t xml:space="preserve">Pending Reason</x:t>
        </x:is>
      </x:c>
      <x:c r="Y1" s="49" t="inlineStr">
        <x:is>
          <x:t xml:space="preserve">401(k) Rate</x:t>
        </x:is>
      </x:c>
      <x:c r="Z1" s="49" t="inlineStr">
        <x:is>
          <x:t xml:space="preserve">Legacy Driver ID</x:t>
        </x:is>
      </x:c>
      <x:c r="AA1" s="49" t="inlineStr">
        <x:is>
          <x:t xml:space="preserve">Settlement ID</x:t>
        </x:is>
      </x:c>
      <x:c r="AB1" s="49" t="inlineStr">
        <x:is>
          <x:t xml:space="preserve">Export Status</x:t>
        </x:is>
      </x:c>
      <x:c r="AC1" s="49" t="inlineStr">
        <x:is>
          <x:t xml:space="preserve">Settlement URL</x:t>
        </x:is>
      </x:c>
      <x:c r="AD1" s="49" t="inlineStr">
        <x:is>
          <x:t xml:space="preserve">Driver Photo URL</x:t>
        </x:is>
      </x:c>
    </x:row>
    <x:row r="2">
      <x:c r="A2" t="inlineStr">
        <x:is>
          <x:t xml:space="preserve">DRV-001</x:t>
        </x:is>
      </x:c>
      <x:c r="B2" t="inlineStr">
        <x:is>
          <x:t xml:space="preserve">John Carter</x:t>
        </x:is>
      </x:c>
      <x:c r="C2" t="inlineStr">
        <x:is>
          <x:t xml:space="preserve">J. Carter</x:t>
        </x:is>
      </x:c>
      <x:c r="D2" s="64" t="n">
        <x:v>2100</x:v>
      </x:c>
      <x:c r="E2" s="64" t="n">
        <x:v>65</x:v>
      </x:c>
      <x:c r="F2" s="64" t="n">
        <x:f>D2+E2</x:f>
        <x:v>2165</x:v>
      </x:c>
      <x:c r="G2" t="n">
        <x:f>0.062*D2</x:f>
        <x:v>130.2</x:v>
      </x:c>
      <x:c r="H2" t="n">
        <x:f>0.0145*D2</x:f>
        <x:v>30.450000000000003</x:v>
      </x:c>
      <x:c r="I2" t="n">
        <x:f>0.18*D2</x:f>
        <x:v>378</x:v>
      </x:c>
      <x:c r="J2" t="n">
        <x:f>0.035*D2</x:f>
        <x:v>73.5</x:v>
      </x:c>
      <x:c r="K2" t="n">
        <x:f>0.0045*D2</x:f>
        <x:v>9.45</x:v>
      </x:c>
      <x:c r="L2" t="n">
        <x:f>0.0066*D2</x:f>
        <x:v>13.86</x:v>
      </x:c>
      <x:c r="M2" s="56" t="n">
        <x:v>0</x:v>
      </x:c>
      <x:c r="N2" s="56" t="n">
        <x:v>214.92</x:v>
      </x:c>
      <x:c r="O2" s="56" t="n">
        <x:v>0</x:v>
      </x:c>
      <x:c r="P2" t="n">
        <x:f>D2*Y2</x:f>
        <x:v>63</x:v>
      </x:c>
      <x:c r="Q2" s="56" t="n">
        <x:v>114.79</x:v>
      </x:c>
      <x:c r="R2" s="56" t="n">
        <x:v>0</x:v>
      </x:c>
      <x:c r="S2" s="56" t="n">
        <x:v>0</x:v>
      </x:c>
      <x:c r="T2" s="64" t="n">
        <x:f>SUM(G2:S2)</x:f>
        <x:v>1028.17</x:v>
      </x:c>
      <x:c r="U2" s="64" t="n">
        <x:v>0</x:v>
      </x:c>
      <x:c r="V2" s="64" t="n">
        <x:f>F2-T2+U2</x:f>
        <x:v>1136.83</x:v>
      </x:c>
      <x:c r="W2" t="inlineStr">
        <x:is>
          <x:t xml:space="preserve">PAID</x:t>
        </x:is>
      </x:c>
      <x:c r="Y2" s="56" t="n">
        <x:v>0.03</x:v>
      </x:c>
      <x:c r="Z2" t="inlineStr">
        <x:is>
          <x:t xml:space="preserve">Driver 1</x:t>
        </x:is>
      </x:c>
      <x:c r="AA2" t="inlineStr">
        <x:is>
          <x:t xml:space="preserve">STL-001</x:t>
        </x:is>
      </x:c>
      <x:c r="AB2" t="inlineStr">
        <x:is>
          <x:t xml:space="preserve">READY</x:t>
        </x:is>
      </x:c>
      <x:c r="AC2" t="inlineStr">
        <x:is>
          <x:t xml:space="preserve">/documents/settlements/DRV-001_SETTLEMENT.pdf</x:t>
        </x:is>
      </x:c>
      <x:c r="AD2" t="inlineStr">
        <x:is>
          <x:t xml:space="preserve">/drivers/DRV-001.jpg</x:t>
        </x:is>
      </x:c>
    </x:row>
    <x:row r="3">
      <x:c r="A3" t="inlineStr">
        <x:is>
          <x:t xml:space="preserve">DRV-002</x:t>
        </x:is>
      </x:c>
      <x:c r="B3" t="inlineStr">
        <x:is>
          <x:t xml:space="preserve">Maria Lopez</x:t>
        </x:is>
      </x:c>
      <x:c r="C3" t="inlineStr">
        <x:is>
          <x:t xml:space="preserve">M. Lopez</x:t>
        </x:is>
      </x:c>
      <x:c r="D3" s="64" t="n">
        <x:v>1910</x:v>
      </x:c>
      <x:c r="E3" s="64" t="n">
        <x:v>95</x:v>
      </x:c>
      <x:c r="F3" s="64" t="n">
        <x:f>D3+E3</x:f>
        <x:v>2005</x:v>
      </x:c>
      <x:c r="G3" t="n">
        <x:f>0.062*D3</x:f>
        <x:v>118.42</x:v>
      </x:c>
      <x:c r="H3" t="n">
        <x:f>0.0145*D3</x:f>
        <x:v>27.695</x:v>
      </x:c>
      <x:c r="I3" t="n">
        <x:f>0.18*D3</x:f>
        <x:v>343.8</x:v>
      </x:c>
      <x:c r="J3" t="n">
        <x:f>0.035*D3</x:f>
        <x:v>66.85000000000001</x:v>
      </x:c>
      <x:c r="K3" t="n">
        <x:f>0.0045*D3</x:f>
        <x:v>8.594999999999999</x:v>
      </x:c>
      <x:c r="L3" t="n">
        <x:f>0.0066*D3</x:f>
        <x:v>12.606</x:v>
      </x:c>
      <x:c r="M3" s="56" t="n">
        <x:v>79.68000000000001</x:v>
      </x:c>
      <x:c r="N3" s="56" t="n">
        <x:v>0</x:v>
      </x:c>
      <x:c r="O3" s="56" t="n">
        <x:v>42.09</x:v>
      </x:c>
      <x:c r="P3" t="n">
        <x:f>D3*Y3</x:f>
        <x:v>0</x:v>
      </x:c>
      <x:c r="Q3" s="56" t="n">
        <x:v>69.33</x:v>
      </x:c>
      <x:c r="R3" s="56" t="n">
        <x:v>0</x:v>
      </x:c>
      <x:c r="S3" s="56" t="n">
        <x:v>0</x:v>
      </x:c>
      <x:c r="T3" s="64" t="n">
        <x:f>SUM(G3:S3)</x:f>
        <x:v>769.066</x:v>
      </x:c>
      <x:c r="U3" s="64" t="n">
        <x:v>120</x:v>
      </x:c>
      <x:c r="V3" s="64" t="n">
        <x:f>F3-T3+U3</x:f>
        <x:v>1355.934</x:v>
      </x:c>
      <x:c r="W3" t="inlineStr">
        <x:is>
          <x:t xml:space="preserve">PENDING</x:t>
        </x:is>
      </x:c>
      <x:c r="X3" t="inlineStr">
        <x:is>
          <x:t xml:space="preserve">Awaiting Receipts</x:t>
        </x:is>
      </x:c>
      <x:c r="Y3" s="56" t="n">
        <x:v>0</x:v>
      </x:c>
      <x:c r="Z3" t="inlineStr">
        <x:is>
          <x:t xml:space="preserve">Driver 2</x:t>
        </x:is>
      </x:c>
      <x:c r="AA3" t="inlineStr">
        <x:is>
          <x:t xml:space="preserve">STL-002</x:t>
        </x:is>
      </x:c>
      <x:c r="AB3" t="inlineStr">
        <x:is>
          <x:t xml:space="preserve">READY</x:t>
        </x:is>
      </x:c>
      <x:c r="AC3" t="inlineStr">
        <x:is>
          <x:t xml:space="preserve">/documents/settlements/DRV-002_SETTLEMENT.pdf</x:t>
        </x:is>
      </x:c>
      <x:c r="AD3" t="inlineStr">
        <x:is>
          <x:t xml:space="preserve">/drivers/DRV-002.jpg</x:t>
        </x:is>
      </x:c>
    </x:row>
    <x:row r="4">
      <x:c r="A4" t="inlineStr">
        <x:is>
          <x:t xml:space="preserve">DRV-003</x:t>
        </x:is>
      </x:c>
      <x:c r="B4" t="inlineStr">
        <x:is>
          <x:t xml:space="preserve">Alex Kim</x:t>
        </x:is>
      </x:c>
      <x:c r="C4" t="inlineStr">
        <x:is>
          <x:t xml:space="preserve">A. Kim</x:t>
        </x:is>
      </x:c>
      <x:c r="D4" s="64" t="n">
        <x:v>2155</x:v>
      </x:c>
      <x:c r="E4" s="64" t="n">
        <x:v>45</x:v>
      </x:c>
      <x:c r="F4" s="64" t="n">
        <x:f>D4+E4</x:f>
        <x:v>2200</x:v>
      </x:c>
      <x:c r="G4" t="n">
        <x:f>0.062*D4</x:f>
        <x:v>133.60999999999999</x:v>
      </x:c>
      <x:c r="H4" t="n">
        <x:f>0.0145*D4</x:f>
        <x:v>31.247500000000002</x:v>
      </x:c>
      <x:c r="I4" t="n">
        <x:f>0.18*D4</x:f>
        <x:v>387.9</x:v>
      </x:c>
      <x:c r="J4" t="n">
        <x:f>0.035*D4</x:f>
        <x:v>75.42500000000001</x:v>
      </x:c>
      <x:c r="K4" t="n">
        <x:f>0.0045*D4</x:f>
        <x:v>9.6975</x:v>
      </x:c>
      <x:c r="L4" t="n">
        <x:f>0.0066*D4</x:f>
        <x:v>14.223</x:v>
      </x:c>
      <x:c r="M4" s="56" t="n">
        <x:v>0</x:v>
      </x:c>
      <x:c r="N4" s="56" t="n">
        <x:v>0</x:v>
      </x:c>
      <x:c r="O4" s="56" t="n">
        <x:v>30.98</x:v>
      </x:c>
      <x:c r="P4" t="n">
        <x:f>D4*Y4</x:f>
        <x:v>129.29999999999998</x:v>
      </x:c>
      <x:c r="Q4" s="56" t="n">
        <x:v>0</x:v>
      </x:c>
      <x:c r="R4" s="56" t="n">
        <x:v>0</x:v>
      </x:c>
      <x:c r="S4" s="56" t="n">
        <x:v>0</x:v>
      </x:c>
      <x:c r="T4" s="64" t="n">
        <x:f>SUM(G4:S4)</x:f>
        <x:v>812.3829999999998</x:v>
      </x:c>
      <x:c r="U4" s="64" t="n">
        <x:v>0</x:v>
      </x:c>
      <x:c r="V4" s="64" t="n">
        <x:f>F4-T4+U4</x:f>
        <x:v>1387.6170000000002</x:v>
      </x:c>
      <x:c r="W4" t="inlineStr">
        <x:is>
          <x:t xml:space="preserve">PAID</x:t>
        </x:is>
      </x:c>
      <x:c r="Y4" s="56" t="n">
        <x:v>0.06</x:v>
      </x:c>
      <x:c r="Z4" t="inlineStr">
        <x:is>
          <x:t xml:space="preserve">Driver 3</x:t>
        </x:is>
      </x:c>
      <x:c r="AA4" t="inlineStr">
        <x:is>
          <x:t xml:space="preserve">STL-003</x:t>
        </x:is>
      </x:c>
      <x:c r="AB4" t="inlineStr">
        <x:is>
          <x:t xml:space="preserve">READY</x:t>
        </x:is>
      </x:c>
      <x:c r="AC4" t="inlineStr">
        <x:is>
          <x:t xml:space="preserve">/documents/settlements/DRV-003_SETTLEMENT.pdf</x:t>
        </x:is>
      </x:c>
      <x:c r="AD4" t="inlineStr">
        <x:is>
          <x:t xml:space="preserve">/drivers/DRV-003.jpg</x:t>
        </x:is>
      </x:c>
    </x:row>
    <x:row r="5">
      <x:c r="A5" t="inlineStr">
        <x:is>
          <x:t xml:space="preserve">DRV-004</x:t>
        </x:is>
      </x:c>
      <x:c r="B5" t="inlineStr">
        <x:is>
          <x:t xml:space="preserve">Priya Patel</x:t>
        </x:is>
      </x:c>
      <x:c r="C5" t="inlineStr">
        <x:is>
          <x:t xml:space="preserve">P. Patel</x:t>
        </x:is>
      </x:c>
      <x:c r="D5" s="64" t="n">
        <x:v>2020</x:v>
      </x:c>
      <x:c r="E5" s="64" t="n">
        <x:v>88</x:v>
      </x:c>
      <x:c r="F5" s="64" t="n">
        <x:f>D5+E5</x:f>
        <x:v>2108</x:v>
      </x:c>
      <x:c r="G5" t="n">
        <x:f>0.062*D5</x:f>
        <x:v>125.24</x:v>
      </x:c>
      <x:c r="H5" t="n">
        <x:f>0.0145*D5</x:f>
        <x:v>29.290000000000003</x:v>
      </x:c>
      <x:c r="I5" t="n">
        <x:f>0.18*D5</x:f>
        <x:v>363.59999999999997</x:v>
      </x:c>
      <x:c r="J5" t="n">
        <x:f>0.035*D5</x:f>
        <x:v>70.7</x:v>
      </x:c>
      <x:c r="K5" t="n">
        <x:f>0.0045*D5</x:f>
        <x:v>9.09</x:v>
      </x:c>
      <x:c r="L5" t="n">
        <x:f>0.0066*D5</x:f>
        <x:v>13.332</x:v>
      </x:c>
      <x:c r="M5" s="56" t="n">
        <x:v>0</x:v>
      </x:c>
      <x:c r="N5" s="56" t="n">
        <x:v>0</x:v>
      </x:c>
      <x:c r="O5" s="56" t="n">
        <x:v>32.58</x:v>
      </x:c>
      <x:c r="P5" t="n">
        <x:f>D5*Y5</x:f>
        <x:v>0</x:v>
      </x:c>
      <x:c r="Q5" s="56" t="n">
        <x:v>0</x:v>
      </x:c>
      <x:c r="R5" s="56" t="n">
        <x:v>0</x:v>
      </x:c>
      <x:c r="S5" s="56" t="n">
        <x:v>0</x:v>
      </x:c>
      <x:c r="T5" s="64" t="n">
        <x:f>SUM(G5:S5)</x:f>
        <x:v>643.8320000000001</x:v>
      </x:c>
      <x:c r="U5" s="64" t="n">
        <x:v>150</x:v>
      </x:c>
      <x:c r="V5" s="64" t="n">
        <x:f>F5-T5+U5</x:f>
        <x:v>1614.168</x:v>
      </x:c>
      <x:c r="W5" t="inlineStr">
        <x:is>
          <x:t xml:space="preserve">PENDING</x:t>
        </x:is>
      </x:c>
      <x:c r="X5" t="inlineStr">
        <x:is>
          <x:t xml:space="preserve">Awaiting Receipts</x:t>
        </x:is>
      </x:c>
      <x:c r="Y5" s="56" t="n">
        <x:v>0</x:v>
      </x:c>
      <x:c r="Z5" t="inlineStr">
        <x:is>
          <x:t xml:space="preserve">Driver 4</x:t>
        </x:is>
      </x:c>
      <x:c r="AA5" t="inlineStr">
        <x:is>
          <x:t xml:space="preserve">STL-004</x:t>
        </x:is>
      </x:c>
      <x:c r="AB5" t="inlineStr">
        <x:is>
          <x:t xml:space="preserve">READY</x:t>
        </x:is>
      </x:c>
      <x:c r="AC5" t="inlineStr">
        <x:is>
          <x:t xml:space="preserve">/documents/settlements/DRV-004_SETTLEMENT.pdf</x:t>
        </x:is>
      </x:c>
      <x:c r="AD5" t="inlineStr">
        <x:is>
          <x:t xml:space="preserve">/drivers/DRV-004.jpg</x:t>
        </x:is>
      </x:c>
    </x:row>
    <x:row r="6">
      <x:c r="A6" t="inlineStr">
        <x:is>
          <x:t xml:space="preserve">DRV-005</x:t>
        </x:is>
      </x:c>
      <x:c r="B6" t="inlineStr">
        <x:is>
          <x:t xml:space="preserve">Kenji Tanaka</x:t>
        </x:is>
      </x:c>
      <x:c r="C6" t="inlineStr">
        <x:is>
          <x:t xml:space="preserve">K. Tanaka</x:t>
        </x:is>
      </x:c>
      <x:c r="D6" s="64" t="n">
        <x:v>2280</x:v>
      </x:c>
      <x:c r="E6" s="64" t="n">
        <x:v>45</x:v>
      </x:c>
      <x:c r="F6" s="64" t="n">
        <x:f>D6+E6</x:f>
        <x:v>2325</x:v>
      </x:c>
      <x:c r="G6" t="n">
        <x:f>0.062*D6</x:f>
        <x:v>141.35999999999999</x:v>
      </x:c>
      <x:c r="H6" t="n">
        <x:f>0.0145*D6</x:f>
        <x:v>33.06</x:v>
      </x:c>
      <x:c r="I6" t="n">
        <x:f>0.18*D6</x:f>
        <x:v>410.4</x:v>
      </x:c>
      <x:c r="J6" t="n">
        <x:f>0.035*D6</x:f>
        <x:v>79.80000000000001</x:v>
      </x:c>
      <x:c r="K6" t="n">
        <x:f>0.0045*D6</x:f>
        <x:v>10.26</x:v>
      </x:c>
      <x:c r="L6" t="n">
        <x:f>0.0066*D6</x:f>
        <x:v>15.048</x:v>
      </x:c>
      <x:c r="M6" s="56" t="n">
        <x:v>187.05</x:v>
      </x:c>
      <x:c r="N6" s="56" t="n">
        <x:v>0</x:v>
      </x:c>
      <x:c r="O6" s="56" t="n">
        <x:v>72.68000000000001</x:v>
      </x:c>
      <x:c r="P6" t="n">
        <x:f>D6*Y6</x:f>
        <x:v>68.39999999999999</x:v>
      </x:c>
      <x:c r="Q6" s="56" t="n">
        <x:v>26.5</x:v>
      </x:c>
      <x:c r="R6" s="56" t="n">
        <x:v>0</x:v>
      </x:c>
      <x:c r="S6" s="56" t="n">
        <x:v>0</x:v>
      </x:c>
      <x:c r="T6" s="64" t="n">
        <x:f>SUM(G6:S6)</x:f>
        <x:v>1044.558</x:v>
      </x:c>
      <x:c r="U6" s="64" t="n">
        <x:v>0</x:v>
      </x:c>
      <x:c r="V6" s="64" t="n">
        <x:f>F6-T6+U6</x:f>
        <x:v>1280.442</x:v>
      </x:c>
      <x:c r="W6" t="inlineStr">
        <x:is>
          <x:t xml:space="preserve">PENDING</x:t>
        </x:is>
      </x:c>
      <x:c r="X6" t="inlineStr">
        <x:is>
          <x:t xml:space="preserve">Load Verification</x:t>
        </x:is>
      </x:c>
      <x:c r="Y6" s="56" t="n">
        <x:v>0.03</x:v>
      </x:c>
      <x:c r="Z6" t="inlineStr">
        <x:is>
          <x:t xml:space="preserve">Driver 5</x:t>
        </x:is>
      </x:c>
      <x:c r="AA6" t="inlineStr">
        <x:is>
          <x:t xml:space="preserve">STL-005</x:t>
        </x:is>
      </x:c>
      <x:c r="AB6" t="inlineStr">
        <x:is>
          <x:t xml:space="preserve">READY</x:t>
        </x:is>
      </x:c>
      <x:c r="AC6" t="inlineStr">
        <x:is>
          <x:t xml:space="preserve">/documents/settlements/DRV-005_SETTLEMENT.pdf</x:t>
        </x:is>
      </x:c>
      <x:c r="AD6" t="inlineStr">
        <x:is>
          <x:t xml:space="preserve">/drivers/DRV-005.jpg</x:t>
        </x:is>
      </x:c>
    </x:row>
    <x:row r="7">
      <x:c r="A7" t="inlineStr">
        <x:is>
          <x:t xml:space="preserve">DRV-006</x:t>
        </x:is>
      </x:c>
      <x:c r="B7" t="inlineStr">
        <x:is>
          <x:t xml:space="preserve">Marcus Chen</x:t>
        </x:is>
      </x:c>
      <x:c r="C7" t="inlineStr">
        <x:is>
          <x:t xml:space="preserve">M. Chen</x:t>
        </x:is>
      </x:c>
      <x:c r="D7" s="64" t="n">
        <x:v>2090</x:v>
      </x:c>
      <x:c r="E7" s="64" t="n">
        <x:v>72</x:v>
      </x:c>
      <x:c r="F7" s="64" t="n">
        <x:f>D7+E7</x:f>
        <x:v>2162</x:v>
      </x:c>
      <x:c r="G7" t="n">
        <x:f>0.062*D7</x:f>
        <x:v>129.58</x:v>
      </x:c>
      <x:c r="H7" t="n">
        <x:f>0.0145*D7</x:f>
        <x:v>30.305000000000003</x:v>
      </x:c>
      <x:c r="I7" t="n">
        <x:f>0.18*D7</x:f>
        <x:v>376.2</x:v>
      </x:c>
      <x:c r="J7" t="n">
        <x:f>0.035*D7</x:f>
        <x:v>73.15</x:v>
      </x:c>
      <x:c r="K7" t="n">
        <x:f>0.0045*D7</x:f>
        <x:v>9.405</x:v>
      </x:c>
      <x:c r="L7" t="n">
        <x:f>0.0066*D7</x:f>
        <x:v>13.794</x:v>
      </x:c>
      <x:c r="M7" s="56" t="n">
        <x:v>0</x:v>
      </x:c>
      <x:c r="N7" s="56" t="n">
        <x:v>0</x:v>
      </x:c>
      <x:c r="O7" s="56" t="n">
        <x:v>0</x:v>
      </x:c>
      <x:c r="P7" t="n">
        <x:f>D7*Y7</x:f>
        <x:v>62.699999999999996</x:v>
      </x:c>
      <x:c r="Q7" s="56" t="n">
        <x:v>0</x:v>
      </x:c>
      <x:c r="R7" s="56" t="n">
        <x:v>0</x:v>
      </x:c>
      <x:c r="S7" s="56" t="n">
        <x:v>24.94</x:v>
      </x:c>
      <x:c r="T7" s="64" t="n">
        <x:f>SUM(G7:S7)</x:f>
        <x:v>720.0740000000001</x:v>
      </x:c>
      <x:c r="U7" s="64" t="n">
        <x:v>0</x:v>
      </x:c>
      <x:c r="V7" s="64" t="n">
        <x:f>F7-T7+U7</x:f>
        <x:v>1441.926</x:v>
      </x:c>
      <x:c r="W7" t="inlineStr">
        <x:is>
          <x:t xml:space="preserve">PAID</x:t>
        </x:is>
      </x:c>
      <x:c r="Y7" s="56" t="n">
        <x:v>0.03</x:v>
      </x:c>
      <x:c r="Z7" t="inlineStr">
        <x:is>
          <x:t xml:space="preserve">Driver 6</x:t>
        </x:is>
      </x:c>
      <x:c r="AA7" t="inlineStr">
        <x:is>
          <x:t xml:space="preserve">STL-006</x:t>
        </x:is>
      </x:c>
      <x:c r="AB7" t="inlineStr">
        <x:is>
          <x:t xml:space="preserve">READY</x:t>
        </x:is>
      </x:c>
      <x:c r="AC7" t="inlineStr">
        <x:is>
          <x:t xml:space="preserve">/documents/settlements/DRV-006_SETTLEMENT.pdf</x:t>
        </x:is>
      </x:c>
      <x:c r="AD7" t="inlineStr">
        <x:is>
          <x:t xml:space="preserve">/drivers/DRV-006.jpg</x:t>
        </x:is>
      </x:c>
    </x:row>
    <x:row r="8">
      <x:c r="A8" t="inlineStr">
        <x:is>
          <x:t xml:space="preserve">DRV-007</x:t>
        </x:is>
      </x:c>
      <x:c r="B8" t="inlineStr">
        <x:is>
          <x:t xml:space="preserve">Sofia Gomez</x:t>
        </x:is>
      </x:c>
      <x:c r="C8" t="inlineStr">
        <x:is>
          <x:t xml:space="preserve">S. Gomez</x:t>
        </x:is>
      </x:c>
      <x:c r="D8" s="64" t="n">
        <x:v>1975</x:v>
      </x:c>
      <x:c r="E8" s="64" t="n">
        <x:v>58</x:v>
      </x:c>
      <x:c r="F8" s="64" t="n">
        <x:f>D8+E8</x:f>
        <x:v>2033</x:v>
      </x:c>
      <x:c r="G8" t="n">
        <x:f>0.062*D8</x:f>
        <x:v>122.45</x:v>
      </x:c>
      <x:c r="H8" t="n">
        <x:f>0.0145*D8</x:f>
        <x:v>28.637500000000003</x:v>
      </x:c>
      <x:c r="I8" t="n">
        <x:f>0.18*D8</x:f>
        <x:v>355.5</x:v>
      </x:c>
      <x:c r="J8" t="n">
        <x:f>0.035*D8</x:f>
        <x:v>69.125</x:v>
      </x:c>
      <x:c r="K8" t="n">
        <x:f>0.0045*D8</x:f>
        <x:v>8.8875</x:v>
      </x:c>
      <x:c r="L8" t="n">
        <x:f>0.0066*D8</x:f>
        <x:v>13.035</x:v>
      </x:c>
      <x:c r="M8" s="56" t="n">
        <x:v>246.6</x:v>
      </x:c>
      <x:c r="N8" s="56" t="n">
        <x:v>146.97</x:v>
      </x:c>
      <x:c r="O8" s="56" t="n">
        <x:v>0</x:v>
      </x:c>
      <x:c r="P8" t="n">
        <x:f>D8*Y8</x:f>
        <x:v>98.75</x:v>
      </x:c>
      <x:c r="Q8" s="56" t="n">
        <x:v>0</x:v>
      </x:c>
      <x:c r="R8" s="56" t="n">
        <x:v>0</x:v>
      </x:c>
      <x:c r="S8" s="56" t="n">
        <x:v>7.04</x:v>
      </x:c>
      <x:c r="T8" s="64" t="n">
        <x:f>SUM(G8:S8)</x:f>
        <x:v>1096.995</x:v>
      </x:c>
      <x:c r="U8" s="64" t="n">
        <x:v>0</x:v>
      </x:c>
      <x:c r="V8" s="64" t="n">
        <x:f>F8-T8+U8</x:f>
        <x:v>936.0050000000001</x:v>
      </x:c>
      <x:c r="W8" t="inlineStr">
        <x:is>
          <x:t xml:space="preserve">PAID</x:t>
        </x:is>
      </x:c>
      <x:c r="Y8" s="56" t="n">
        <x:v>0.05</x:v>
      </x:c>
      <x:c r="Z8" t="inlineStr">
        <x:is>
          <x:t xml:space="preserve">Driver 7</x:t>
        </x:is>
      </x:c>
      <x:c r="AA8" t="inlineStr">
        <x:is>
          <x:t xml:space="preserve">STL-007</x:t>
        </x:is>
      </x:c>
      <x:c r="AB8" t="inlineStr">
        <x:is>
          <x:t xml:space="preserve">READY</x:t>
        </x:is>
      </x:c>
      <x:c r="AC8" t="inlineStr">
        <x:is>
          <x:t xml:space="preserve">/documents/settlements/DRV-007_SETTLEMENT.pdf</x:t>
        </x:is>
      </x:c>
      <x:c r="AD8" t="inlineStr">
        <x:is>
          <x:t xml:space="preserve">/drivers/DRV-007.jpg</x:t>
        </x:is>
      </x:c>
    </x:row>
    <x:row r="9">
      <x:c r="A9" t="inlineStr">
        <x:is>
          <x:t xml:space="preserve">DRV-008</x:t>
        </x:is>
      </x:c>
      <x:c r="B9" t="inlineStr">
        <x:is>
          <x:t xml:space="preserve">Liam Smith</x:t>
        </x:is>
      </x:c>
      <x:c r="C9" t="inlineStr">
        <x:is>
          <x:t xml:space="preserve">L. Smith</x:t>
        </x:is>
      </x:c>
      <x:c r="D9" s="64" t="n">
        <x:v>2165</x:v>
      </x:c>
      <x:c r="E9" s="64" t="n">
        <x:v>81</x:v>
      </x:c>
      <x:c r="F9" s="64" t="n">
        <x:f>D9+E9</x:f>
        <x:v>2246</x:v>
      </x:c>
      <x:c r="G9" t="n">
        <x:f>0.062*D9</x:f>
        <x:v>134.23</x:v>
      </x:c>
      <x:c r="H9" t="n">
        <x:f>0.0145*D9</x:f>
        <x:v>31.392500000000002</x:v>
      </x:c>
      <x:c r="I9" t="n">
        <x:f>0.18*D9</x:f>
        <x:v>389.7</x:v>
      </x:c>
      <x:c r="J9" t="n">
        <x:f>0.035*D9</x:f>
        <x:v>75.775</x:v>
      </x:c>
      <x:c r="K9" t="n">
        <x:f>0.0045*D9</x:f>
        <x:v>9.7425</x:v>
      </x:c>
      <x:c r="L9" t="n">
        <x:f>0.0066*D9</x:f>
        <x:v>14.289</x:v>
      </x:c>
      <x:c r="M9" s="56" t="n">
        <x:v>0</x:v>
      </x:c>
      <x:c r="N9" s="56" t="n">
        <x:v>0</x:v>
      </x:c>
      <x:c r="O9" s="56" t="n">
        <x:v>45.02</x:v>
      </x:c>
      <x:c r="P9" t="n">
        <x:f>D9*Y9</x:f>
        <x:v>0</x:v>
      </x:c>
      <x:c r="Q9" s="56" t="n">
        <x:v>0</x:v>
      </x:c>
      <x:c r="R9" s="56" t="n">
        <x:v>111.66</x:v>
      </x:c>
      <x:c r="S9" s="56" t="n">
        <x:v>0</x:v>
      </x:c>
      <x:c r="T9" s="64" t="n">
        <x:f>SUM(G9:S9)</x:f>
        <x:v>811.8089999999999</x:v>
      </x:c>
      <x:c r="U9" s="64" t="n">
        <x:v>0</x:v>
      </x:c>
      <x:c r="V9" s="64" t="n">
        <x:f>F9-T9+U9</x:f>
        <x:v>1434.1910000000003</x:v>
      </x:c>
      <x:c r="W9" t="inlineStr">
        <x:is>
          <x:t xml:space="preserve">PENDING</x:t>
        </x:is>
      </x:c>
      <x:c r="X9" t="inlineStr">
        <x:is>
          <x:t xml:space="preserve">Load Verification</x:t>
        </x:is>
      </x:c>
      <x:c r="Y9" s="56" t="n">
        <x:v>0</x:v>
      </x:c>
      <x:c r="Z9" t="inlineStr">
        <x:is>
          <x:t xml:space="preserve">Driver 8</x:t>
        </x:is>
      </x:c>
      <x:c r="AA9" t="inlineStr">
        <x:is>
          <x:t xml:space="preserve">STL-008</x:t>
        </x:is>
      </x:c>
      <x:c r="AB9" t="inlineStr">
        <x:is>
          <x:t xml:space="preserve">READY</x:t>
        </x:is>
      </x:c>
      <x:c r="AC9" t="inlineStr">
        <x:is>
          <x:t xml:space="preserve">/documents/settlements/DRV-008_SETTLEMENT.pdf</x:t>
        </x:is>
      </x:c>
      <x:c r="AD9" t="inlineStr">
        <x:is>
          <x:t xml:space="preserve">/drivers/DRV-008.jpg</x:t>
        </x:is>
      </x:c>
    </x:row>
    <x:row r="10">
      <x:c r="A10" t="inlineStr">
        <x:is>
          <x:t xml:space="preserve">DRV-009</x:t>
        </x:is>
      </x:c>
      <x:c r="B10" t="inlineStr">
        <x:is>
          <x:t xml:space="preserve">Emma Brown</x:t>
        </x:is>
      </x:c>
      <x:c r="C10" t="inlineStr">
        <x:is>
          <x:t xml:space="preserve">E. Brown</x:t>
        </x:is>
      </x:c>
      <x:c r="D10" s="64" t="n">
        <x:v>2110</x:v>
      </x:c>
      <x:c r="E10" s="64" t="n">
        <x:v>49</x:v>
      </x:c>
      <x:c r="F10" s="64" t="n">
        <x:f>D10+E10</x:f>
        <x:v>2159</x:v>
      </x:c>
      <x:c r="G10" t="n">
        <x:f>0.062*D10</x:f>
        <x:v>130.82</x:v>
      </x:c>
      <x:c r="H10" t="n">
        <x:f>0.0145*D10</x:f>
        <x:v>30.595000000000002</x:v>
      </x:c>
      <x:c r="I10" t="n">
        <x:f>0.18*D10</x:f>
        <x:v>379.8</x:v>
      </x:c>
      <x:c r="J10" t="n">
        <x:f>0.035*D10</x:f>
        <x:v>73.85000000000001</x:v>
      </x:c>
      <x:c r="K10" t="n">
        <x:f>0.0045*D10</x:f>
        <x:v>9.495</x:v>
      </x:c>
      <x:c r="L10" t="n">
        <x:f>0.0066*D10</x:f>
        <x:v>13.926</x:v>
      </x:c>
      <x:c r="M10" s="56" t="n">
        <x:v>67.76000000000001</x:v>
      </x:c>
      <x:c r="N10" s="56" t="n">
        <x:v>0</x:v>
      </x:c>
      <x:c r="O10" s="56" t="n">
        <x:v>0</x:v>
      </x:c>
      <x:c r="P10" t="n">
        <x:f>D10*Y10</x:f>
        <x:v>0</x:v>
      </x:c>
      <x:c r="Q10" s="56" t="n">
        <x:v>24.17</x:v>
      </x:c>
      <x:c r="R10" s="56" t="n">
        <x:v>0</x:v>
      </x:c>
      <x:c r="S10" s="56" t="n">
        <x:v>0</x:v>
      </x:c>
      <x:c r="T10" s="64" t="n">
        <x:f>SUM(G10:S10)</x:f>
        <x:v>730.416</x:v>
      </x:c>
      <x:c r="U10" s="64" t="n">
        <x:v>0</x:v>
      </x:c>
      <x:c r="V10" s="64" t="n">
        <x:f>F10-T10+U10</x:f>
        <x:v>1428.5839999999998</x:v>
      </x:c>
      <x:c r="W10" t="inlineStr">
        <x:is>
          <x:t xml:space="preserve">PAID</x:t>
        </x:is>
      </x:c>
      <x:c r="Y10" s="56" t="n">
        <x:v>0</x:v>
      </x:c>
      <x:c r="Z10" t="inlineStr">
        <x:is>
          <x:t xml:space="preserve">Driver 9</x:t>
        </x:is>
      </x:c>
      <x:c r="AA10" t="inlineStr">
        <x:is>
          <x:t xml:space="preserve">STL-009</x:t>
        </x:is>
      </x:c>
      <x:c r="AB10" t="inlineStr">
        <x:is>
          <x:t xml:space="preserve">READY</x:t>
        </x:is>
      </x:c>
      <x:c r="AC10" t="inlineStr">
        <x:is>
          <x:t xml:space="preserve">/documents/settlements/DRV-009_SETTLEMENT.pdf</x:t>
        </x:is>
      </x:c>
      <x:c r="AD10" t="inlineStr">
        <x:is>
          <x:t xml:space="preserve">/drivers/DRV-009.jpg</x:t>
        </x:is>
      </x:c>
    </x:row>
    <x:row r="11">
      <x:c r="A11" t="inlineStr">
        <x:is>
          <x:t xml:space="preserve">DRV-010</x:t>
        </x:is>
      </x:c>
      <x:c r="B11" t="inlineStr">
        <x:is>
          <x:t xml:space="preserve">Noah Wilson</x:t>
        </x:is>
      </x:c>
      <x:c r="C11" t="inlineStr">
        <x:is>
          <x:t xml:space="preserve">N. Wilson</x:t>
        </x:is>
      </x:c>
      <x:c r="D11" s="64" t="n">
        <x:v>2080</x:v>
      </x:c>
      <x:c r="E11" s="64" t="n">
        <x:v>77</x:v>
      </x:c>
      <x:c r="F11" s="64" t="n">
        <x:f>D11+E11</x:f>
        <x:v>2157</x:v>
      </x:c>
      <x:c r="G11" t="n">
        <x:f>0.062*D11</x:f>
        <x:v>128.96</x:v>
      </x:c>
      <x:c r="H11" t="n">
        <x:f>0.0145*D11</x:f>
        <x:v>30.16</x:v>
      </x:c>
      <x:c r="I11" t="n">
        <x:f>0.18*D11</x:f>
        <x:v>374.4</x:v>
      </x:c>
      <x:c r="J11" t="n">
        <x:f>0.035*D11</x:f>
        <x:v>72.80000000000001</x:v>
      </x:c>
      <x:c r="K11" t="n">
        <x:f>0.0045*D11</x:f>
        <x:v>9.36</x:v>
      </x:c>
      <x:c r="L11" t="n">
        <x:f>0.0066*D11</x:f>
        <x:v>13.728</x:v>
      </x:c>
      <x:c r="M11" s="56" t="n">
        <x:v>0</x:v>
      </x:c>
      <x:c r="N11" s="56" t="n">
        <x:v>0</x:v>
      </x:c>
      <x:c r="O11" s="56" t="n">
        <x:v>0</x:v>
      </x:c>
      <x:c r="P11" t="n">
        <x:f>D11*Y11</x:f>
        <x:v>41.6</x:v>
      </x:c>
      <x:c r="Q11" s="56" t="n">
        <x:v>0</x:v>
      </x:c>
      <x:c r="R11" s="56" t="n">
        <x:v>196.15</x:v>
      </x:c>
      <x:c r="S11" s="56" t="n">
        <x:v>0</x:v>
      </x:c>
      <x:c r="T11" s="64" t="n">
        <x:f>SUM(G11:S11)</x:f>
        <x:v>867.1579999999999</x:v>
      </x:c>
      <x:c r="U11" s="64" t="n">
        <x:v>0</x:v>
      </x:c>
      <x:c r="V11" s="64" t="n">
        <x:f>F11-T11+U11</x:f>
        <x:v>1289.842</x:v>
      </x:c>
      <x:c r="W11" t="inlineStr">
        <x:is>
          <x:t xml:space="preserve">PAID</x:t>
        </x:is>
      </x:c>
      <x:c r="Y11" s="56" t="n">
        <x:v>0.02</x:v>
      </x:c>
      <x:c r="Z11" t="inlineStr">
        <x:is>
          <x:t xml:space="preserve">Driver 10</x:t>
        </x:is>
      </x:c>
      <x:c r="AA11" t="inlineStr">
        <x:is>
          <x:t xml:space="preserve">STL-010</x:t>
        </x:is>
      </x:c>
      <x:c r="AB11" t="inlineStr">
        <x:is>
          <x:t xml:space="preserve">READY</x:t>
        </x:is>
      </x:c>
      <x:c r="AC11" t="inlineStr">
        <x:is>
          <x:t xml:space="preserve">/documents/settlements/DRV-010_SETTLEMENT.pdf</x:t>
        </x:is>
      </x:c>
      <x:c r="AD11" t="inlineStr">
        <x:is>
          <x:t xml:space="preserve">/drivers/DRV-010.jpg</x:t>
        </x:is>
      </x:c>
    </x:row>
    <x:row r="12">
      <x:c r="A12" t="inlineStr">
        <x:is>
          <x:t xml:space="preserve">DRV-011</x:t>
        </x:is>
      </x:c>
      <x:c r="B12" t="inlineStr">
        <x:is>
          <x:t xml:space="preserve">Olivia Lee</x:t>
        </x:is>
      </x:c>
      <x:c r="C12" t="inlineStr">
        <x:is>
          <x:t xml:space="preserve">O. Lee</x:t>
        </x:is>
      </x:c>
      <x:c r="D12" s="64" t="n">
        <x:v>2010</x:v>
      </x:c>
      <x:c r="E12" s="64" t="n">
        <x:v>63</x:v>
      </x:c>
      <x:c r="F12" s="64" t="n">
        <x:f>D12+E12</x:f>
        <x:v>2073</x:v>
      </x:c>
      <x:c r="G12" t="n">
        <x:f>0.062*D12</x:f>
        <x:v>124.62</x:v>
      </x:c>
      <x:c r="H12" t="n">
        <x:f>0.0145*D12</x:f>
        <x:v>29.145000000000003</x:v>
      </x:c>
      <x:c r="I12" t="n">
        <x:f>0.18*D12</x:f>
        <x:v>361.8</x:v>
      </x:c>
      <x:c r="J12" t="n">
        <x:f>0.035*D12</x:f>
        <x:v>70.35000000000001</x:v>
      </x:c>
      <x:c r="K12" t="n">
        <x:f>0.0045*D12</x:f>
        <x:v>9.045</x:v>
      </x:c>
      <x:c r="L12" t="n">
        <x:f>0.0066*D12</x:f>
        <x:v>13.266</x:v>
      </x:c>
      <x:c r="M12" s="56" t="n">
        <x:v>50.51</x:v>
      </x:c>
      <x:c r="N12" s="56" t="n">
        <x:v>0</x:v>
      </x:c>
      <x:c r="O12" s="56" t="n">
        <x:v>0</x:v>
      </x:c>
      <x:c r="P12" t="n">
        <x:f>D12*Y12</x:f>
        <x:v>0</x:v>
      </x:c>
      <x:c r="Q12" s="56" t="n">
        <x:v>47.43</x:v>
      </x:c>
      <x:c r="R12" s="56" t="n">
        <x:v>0</x:v>
      </x:c>
      <x:c r="S12" s="56" t="n">
        <x:v>0</x:v>
      </x:c>
      <x:c r="T12" s="64" t="n">
        <x:f>SUM(G12:S12)</x:f>
        <x:v>706.1659999999999</x:v>
      </x:c>
      <x:c r="U12" s="64" t="n">
        <x:v>0</x:v>
      </x:c>
      <x:c r="V12" s="64" t="n">
        <x:f>F12-T12+U12</x:f>
        <x:v>1366.834</x:v>
      </x:c>
      <x:c r="W12" t="inlineStr">
        <x:is>
          <x:t xml:space="preserve">PAID</x:t>
        </x:is>
      </x:c>
      <x:c r="Y12" s="56" t="n">
        <x:v>0</x:v>
      </x:c>
      <x:c r="Z12" t="inlineStr">
        <x:is>
          <x:t xml:space="preserve">Driver 11</x:t>
        </x:is>
      </x:c>
      <x:c r="AA12" t="inlineStr">
        <x:is>
          <x:t xml:space="preserve">STL-011</x:t>
        </x:is>
      </x:c>
      <x:c r="AB12" t="inlineStr">
        <x:is>
          <x:t xml:space="preserve">READY</x:t>
        </x:is>
      </x:c>
      <x:c r="AC12" t="inlineStr">
        <x:is>
          <x:t xml:space="preserve">/documents/settlements/DRV-011_SETTLEMENT.pdf</x:t>
        </x:is>
      </x:c>
      <x:c r="AD12" t="inlineStr">
        <x:is>
          <x:t xml:space="preserve">/drivers/DRV-011.jpg</x:t>
        </x:is>
      </x:c>
    </x:row>
    <x:row r="13">
      <x:c r="A13" t="inlineStr">
        <x:is>
          <x:t xml:space="preserve">DRV-012</x:t>
        </x:is>
      </x:c>
      <x:c r="B13" t="inlineStr">
        <x:is>
          <x:t xml:space="preserve">Robert Johnson</x:t>
        </x:is>
      </x:c>
      <x:c r="C13" t="inlineStr">
        <x:is>
          <x:t xml:space="preserve">R. Johnson</x:t>
        </x:is>
      </x:c>
      <x:c r="D13" s="64" t="n">
        <x:v>2230</x:v>
      </x:c>
      <x:c r="E13" s="64" t="n">
        <x:v>69</x:v>
      </x:c>
      <x:c r="F13" s="64" t="n">
        <x:f>D13+E13</x:f>
        <x:v>2299</x:v>
      </x:c>
      <x:c r="G13" t="n">
        <x:f>0.062*D13</x:f>
        <x:v>138.26</x:v>
      </x:c>
      <x:c r="H13" t="n">
        <x:f>0.0145*D13</x:f>
        <x:v>32.335</x:v>
      </x:c>
      <x:c r="I13" t="n">
        <x:f>0.18*D13</x:f>
        <x:v>401.4</x:v>
      </x:c>
      <x:c r="J13" t="n">
        <x:f>0.035*D13</x:f>
        <x:v>78.05000000000001</x:v>
      </x:c>
      <x:c r="K13" t="n">
        <x:f>0.0045*D13</x:f>
        <x:v>10.034999999999998</x:v>
      </x:c>
      <x:c r="L13" t="n">
        <x:f>0.0066*D13</x:f>
        <x:v>14.718</x:v>
      </x:c>
      <x:c r="M13" s="56" t="n">
        <x:v>0</x:v>
      </x:c>
      <x:c r="N13" s="56" t="n">
        <x:v>0</x:v>
      </x:c>
      <x:c r="O13" s="56" t="n">
        <x:v>0</x:v>
      </x:c>
      <x:c r="P13" t="n">
        <x:f>D13*Y13</x:f>
        <x:v>66.89999999999999</x:v>
      </x:c>
      <x:c r="Q13" s="56" t="n">
        <x:v>48.75</x:v>
      </x:c>
      <x:c r="R13" s="56" t="n">
        <x:v>0</x:v>
      </x:c>
      <x:c r="S13" s="56" t="n">
        <x:v>0</x:v>
      </x:c>
      <x:c r="T13" s="64" t="n">
        <x:f>SUM(G13:S13)</x:f>
        <x:v>790.448</x:v>
      </x:c>
      <x:c r="U13" s="64" t="n">
        <x:v>0</x:v>
      </x:c>
      <x:c r="V13" s="64" t="n">
        <x:f>F13-T13+U13</x:f>
        <x:v>1508.5520000000001</x:v>
      </x:c>
      <x:c r="W13" t="inlineStr">
        <x:is>
          <x:t xml:space="preserve">PENDING</x:t>
        </x:is>
      </x:c>
      <x:c r="X13" t="inlineStr">
        <x:is>
          <x:t xml:space="preserve">Document Review</x:t>
        </x:is>
      </x:c>
      <x:c r="Y13" s="56" t="n">
        <x:v>0.03</x:v>
      </x:c>
      <x:c r="Z13" t="inlineStr">
        <x:is>
          <x:t xml:space="preserve">Driver 12</x:t>
        </x:is>
      </x:c>
      <x:c r="AA13" t="inlineStr">
        <x:is>
          <x:t xml:space="preserve">STL-012</x:t>
        </x:is>
      </x:c>
      <x:c r="AB13" t="inlineStr">
        <x:is>
          <x:t xml:space="preserve">READY</x:t>
        </x:is>
      </x:c>
      <x:c r="AC13" t="inlineStr">
        <x:is>
          <x:t xml:space="preserve">/documents/settlements/DRV-012_SETTLEMENT.pdf</x:t>
        </x:is>
      </x:c>
      <x:c r="AD13" t="inlineStr">
        <x:is>
          <x:t xml:space="preserve">/drivers/DRV-012.jpg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12b481db2f634323"/>
    <x:tablePart xmlns:r="http://schemas.openxmlformats.org/officeDocument/2006/relationships" r:id="Rf921043bc26e425a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15" style="24" customWidth="1"/>
    <x:col min="5" max="5" width="10" style="24" customWidth="1"/>
    <x:col min="6" max="6" width="10" style="24" customWidth="1"/>
    <x:col min="7" max="7" width="21" style="24" customWidth="1"/>
    <x:col min="8" max="8" width="10" style="24" customWidth="1"/>
    <x:col min="9" max="9" width="25" style="24" customWidth="1"/>
    <x:col min="10" max="10" width="28" style="24" customWidth="1"/>
    <x:col min="11" max="11" width="22" style="24" customWidth="1"/>
    <x:col min="12" max="12" width="15" style="24" customWidth="1"/>
    <x:col min="13" max="13" width="19" style="24" customWidth="1"/>
    <x:col min="14" max="14" width="18" style="24" customWidth="1"/>
    <x:col min="15" max="15" width="14" style="24" customWidth="1"/>
    <x:col min="16" max="16" width="16" style="24" customWidth="1"/>
    <x:col min="17" max="17" width="14" style="24" customWidth="1"/>
    <x:col min="18" max="18" width="14" style="24" customWidth="1"/>
    <x:col min="19" max="19" width="16" style="24" customWidth="1"/>
    <x:col min="20" max="20" width="18" style="24" customWidth="1"/>
    <x:col min="21" max="21" width="20" style="24" customWidth="1"/>
    <x:col min="22" max="22" width="18" style="24" customWidth="1"/>
    <x:col min="23" max="23" width="32" style="24" customWidth="1"/>
  </x:cols>
  <x:sheetData>
    <x:row r="1">
      <x:c r="A1" s="49" t="inlineStr">
        <x:is>
          <x:t xml:space="preserve">Event ID</x:t>
        </x:is>
      </x:c>
      <x:c r="B1" s="49" t="inlineStr">
        <x:is>
          <x:t xml:space="preserve">Driver ID</x:t>
        </x:is>
      </x:c>
      <x:c r="C1" s="49" t="inlineStr">
        <x:is>
          <x:t xml:space="preserve">Driver Name</x:t>
        </x:is>
      </x:c>
      <x:c r="D1" s="49" t="inlineStr">
        <x:is>
          <x:t xml:space="preserve">Event Type</x:t>
        </x:is>
      </x:c>
      <x:c r="E1" s="49" t="inlineStr">
        <x:is>
          <x:t xml:space="preserve">Severity</x:t>
        </x:is>
      </x:c>
      <x:c r="F1" s="49" t="inlineStr">
        <x:is>
          <x:t xml:space="preserve">Status</x:t>
        </x:is>
      </x:c>
      <x:c r="G1" s="49" t="inlineStr">
        <x:is>
          <x:t xml:space="preserve">Timestamp</x:t>
        </x:is>
      </x:c>
      <x:c r="H1" s="49" t="inlineStr">
        <x:is>
          <x:t xml:space="preserve">Unit</x:t>
        </x:is>
      </x:c>
      <x:c r="I1" s="49" t="inlineStr">
        <x:is>
          <x:t xml:space="preserve">Location</x:t>
        </x:is>
      </x:c>
      <x:c r="J1" s="49" t="inlineStr">
        <x:is>
          <x:t xml:space="preserve">Details</x:t>
        </x:is>
      </x:c>
      <x:c r="K1" s="49" t="inlineStr">
        <x:is>
          <x:t xml:space="preserve">Driver Photo URL</x:t>
        </x:is>
      </x:c>
      <x:c r="L1" s="49" t="inlineStr">
        <x:is>
          <x:t xml:space="preserve">Export Status</x:t>
        </x:is>
      </x:c>
      <x:c r="M1" s="49" t="inlineStr">
        <x:is>
          <x:t xml:space="preserve">Event Photo URL</x:t>
        </x:is>
      </x:c>
      <x:c r="N1" s="49" t="inlineStr">
        <x:is>
          <x:t xml:space="preserve">Insurance Claim ID</x:t>
        </x:is>
      </x:c>
      <x:c r="O1" s="49" t="inlineStr">
        <x:is>
          <x:t xml:space="preserve">Claim Status</x:t>
        </x:is>
      </x:c>
      <x:c r="P1" s="49" t="inlineStr">
        <x:is>
          <x:t xml:space="preserve">Claim Type</x:t>
        </x:is>
      </x:c>
      <x:c r="Q1" s="49" t="inlineStr">
        <x:is>
          <x:t xml:space="preserve">Date of Loss</x:t>
        </x:is>
      </x:c>
      <x:c r="R1" s="49" t="inlineStr">
        <x:is>
          <x:t xml:space="preserve">Claim Amount</x:t>
        </x:is>
      </x:c>
      <x:c r="S1" s="49" t="inlineStr">
        <x:is>
          <x:t xml:space="preserve">Deductible Amount</x:t>
        </x:is>
      </x:c>
      <x:c r="T1" s="49" t="inlineStr">
        <x:is>
          <x:t xml:space="preserve">Adjuster Name</x:t>
        </x:is>
      </x:c>
      <x:c r="U1" s="49" t="inlineStr">
        <x:is>
          <x:t xml:space="preserve">Insurer Name</x:t>
        </x:is>
      </x:c>
      <x:c r="V1" s="49" t="inlineStr">
        <x:is>
          <x:t xml:space="preserve">Policy Number</x:t>
        </x:is>
      </x:c>
      <x:c r="W1" s="49" t="inlineStr">
        <x:is>
          <x:t xml:space="preserve">Claim Notes</x:t>
        </x:is>
      </x:c>
      <x:c r="X1" t="inlineStr">
        <x:is>
          <x:t xml:space="preserve">RFID Related?</x:t>
        </x:is>
      </x:c>
      <x:c r="Y1" t="inlineStr">
        <x:is>
          <x:t xml:space="preserve">Linked Load ID</x:t>
        </x:is>
      </x:c>
      <x:c r="Z1" t="inlineStr">
        <x:is>
          <x:t xml:space="preserve">Linked Driver Document</x:t>
        </x:is>
      </x:c>
      <x:c r="AA1" t="inlineStr">
        <x:is>
          <x:t xml:space="preserve">Claim Exposure Band</x:t>
        </x:is>
      </x:c>
      <x:c r="AB1" t="inlineStr">
        <x:is>
          <x:t xml:space="preserve">Insurance Claim Needed?</x:t>
        </x:is>
      </x:c>
    </x:row>
    <x:row r="2">
      <x:c r="A2" t="inlineStr">
        <x:is>
          <x:t xml:space="preserve">EVT-001</x:t>
        </x:is>
      </x:c>
      <x:c r="B2" t="inlineStr">
        <x:is>
          <x:t xml:space="preserve">DRV-010</x:t>
        </x:is>
      </x:c>
      <x:c r="C2" t="inlineStr">
        <x:is>
          <x:t xml:space="preserve">Noah Wilson</x:t>
        </x:is>
      </x:c>
      <x:c r="D2" t="inlineStr">
        <x:is>
          <x:t xml:space="preserve">HOS Violation</x:t>
        </x:is>
      </x:c>
      <x:c r="E2" t="inlineStr">
        <x:is>
          <x:t xml:space="preserve">CRITICAL</x:t>
        </x:is>
      </x:c>
      <x:c r="F2" t="inlineStr">
        <x:is>
          <x:t xml:space="preserve">OPEN</x:t>
        </x:is>
      </x:c>
      <x:c r="G2" s="65" t="n">
        <x:v>46103.34305555555</x:v>
      </x:c>
      <x:c r="H2" t="inlineStr">
        <x:is>
          <x:t xml:space="preserve">T-110</x:t>
        </x:is>
      </x:c>
      <x:c r="I2" t="inlineStr">
        <x:is>
          <x:t xml:space="preserve">I-40 near Nashville, TN</x:t>
        </x:is>
      </x:c>
      <x:c r="J2" t="inlineStr">
        <x:is>
          <x:t xml:space="preserve">Exceeded 11-hour driving limit</x:t>
        </x:is>
      </x:c>
      <x:c r="K2" t="inlineStr">
        <x:is>
          <x:t xml:space="preserve">/drivers/DRV-010.jpg</x:t>
        </x:is>
      </x:c>
      <x:c r="L2" t="inlineStr">
        <x:is>
          <x:t xml:space="preserve">READY</x:t>
        </x:is>
      </x:c>
      <x:c r="M2" t="inlineStr">
        <x:is>
          <x:t xml:space="preserve">/images/safety/EVT-001.jpg</x:t>
        </x:is>
      </x:c>
      <x:c r="N2" t="inlineStr">
        <x:is>
          <x:t xml:space="preserve">CLM-001-4872</x:t>
        </x:is>
      </x:c>
      <x:c r="O2" t="inlineStr">
        <x:is>
          <x:t xml:space="preserve">OPEN</x:t>
        </x:is>
      </x:c>
      <x:c r="P2" t="inlineStr">
        <x:is>
          <x:t xml:space="preserve">Property Damage</x:t>
        </x:is>
      </x:c>
      <x:c r="Q2" s="55" t="n">
        <x:v>46103</x:v>
      </x:c>
      <x:c r="R2" s="64" t="n">
        <x:v>9770.26</x:v>
      </x:c>
      <x:c r="S2" s="64" t="n">
        <x:v>500</x:v>
      </x:c>
      <x:c r="T2" t="inlineStr">
        <x:is>
          <x:t xml:space="preserve">Brandon Yu</x:t>
        </x:is>
      </x:c>
      <x:c r="U2" t="inlineStr">
        <x:is>
          <x:t xml:space="preserve">Progressive Commercial</x:t>
        </x:is>
      </x:c>
      <x:c r="V2" t="inlineStr">
        <x:is>
          <x:t xml:space="preserve">POL-272634</x:t>
        </x:is>
      </x:c>
      <x:c r="W2" t="inlineStr">
        <x:is>
          <x:t xml:space="preserve">Initial notice filed; reserve established</x:t>
        </x:is>
      </x:c>
      <x:c r="X2" t="inlineStr">
        <x:is>
          <x:t xml:space="preserve">NO</x:t>
        </x:is>
      </x:c>
      <x:c r="Y2" t="inlineStr">
        <x:is>
          <x:t xml:space="preserve">L-501</x:t>
        </x:is>
      </x:c>
      <x:c r="Z2" t="inlineStr">
        <x:is>
          <x:t xml:space="preserve">CDL</x:t>
        </x:is>
      </x:c>
      <x:c r="AA2" t="inlineStr">
        <x:is>
          <x:t xml:space="preserve">HIGH</x:t>
        </x:is>
      </x:c>
      <x:c r="AB2" t="inlineStr">
        <x:is>
          <x:t xml:space="preserve">YES</x:t>
        </x:is>
      </x:c>
    </x:row>
    <x:row r="3">
      <x:c r="A3" t="inlineStr">
        <x:is>
          <x:t xml:space="preserve">EVT-002</x:t>
        </x:is>
      </x:c>
      <x:c r="B3" t="inlineStr">
        <x:is>
          <x:t xml:space="preserve">DRV-006</x:t>
        </x:is>
      </x:c>
      <x:c r="C3" t="inlineStr">
        <x:is>
          <x:t xml:space="preserve">Marcus Chen</x:t>
        </x:is>
      </x:c>
      <x:c r="D3" t="inlineStr">
        <x:is>
          <x:t xml:space="preserve">Harsh Braking</x:t>
        </x:is>
      </x:c>
      <x:c r="E3" t="inlineStr">
        <x:is>
          <x:t xml:space="preserve">WARNING</x:t>
        </x:is>
      </x:c>
      <x:c r="F3" t="inlineStr">
        <x:is>
          <x:t xml:space="preserve">OPEN</x:t>
        </x:is>
      </x:c>
      <x:c r="G3" s="65" t="n">
        <x:v>46103.43819444445</x:v>
      </x:c>
      <x:c r="H3" t="inlineStr">
        <x:is>
          <x:t xml:space="preserve">T-111</x:t>
        </x:is>
      </x:c>
      <x:c r="I3" t="inlineStr">
        <x:is>
          <x:t xml:space="preserve">Mile Marker 212</x:t>
        </x:is>
      </x:c>
      <x:c r="J3" t="inlineStr">
        <x:is>
          <x:t xml:space="preserve">Sudden hard stop detected</x:t>
        </x:is>
      </x:c>
      <x:c r="K3" t="inlineStr">
        <x:is>
          <x:t xml:space="preserve">/drivers/DRV-006.jpg</x:t>
        </x:is>
      </x:c>
      <x:c r="L3" t="inlineStr">
        <x:is>
          <x:t xml:space="preserve">READY</x:t>
        </x:is>
      </x:c>
      <x:c r="M3" t="inlineStr">
        <x:is>
          <x:t xml:space="preserve">/images/safety/EVT-002.jpg</x:t>
        </x:is>
      </x:c>
      <x:c r="N3" t="inlineStr">
        <x:is>
          <x:t xml:space="preserve">CLM-002-7396</x:t>
        </x:is>
      </x:c>
      <x:c r="O3" t="inlineStr">
        <x:is>
          <x:t xml:space="preserve">UNDER_REVIEW</x:t>
        </x:is>
      </x:c>
      <x:c r="P3" t="inlineStr">
        <x:is>
          <x:t xml:space="preserve">Property Damage</x:t>
        </x:is>
      </x:c>
      <x:c r="Q3" s="55" t="n">
        <x:v>46103</x:v>
      </x:c>
      <x:c r="R3" s="64" t="n">
        <x:v>6563.99</x:v>
      </x:c>
      <x:c r="S3" s="64" t="n">
        <x:v>2500</x:v>
      </x:c>
      <x:c r="T3" t="inlineStr">
        <x:is>
          <x:t xml:space="preserve">Renee Collins</x:t>
        </x:is>
      </x:c>
      <x:c r="U3" t="inlineStr">
        <x:is>
          <x:t xml:space="preserve">Nationwide E&amp;S</x:t>
        </x:is>
      </x:c>
      <x:c r="V3" t="inlineStr">
        <x:is>
          <x:t xml:space="preserve">POL-262316</x:t>
        </x:is>
      </x:c>
      <x:c r="W3" t="inlineStr">
        <x:is>
          <x:t xml:space="preserve">Photos received; adjuster assigned</x:t>
        </x:is>
      </x:c>
      <x:c r="X3" t="inlineStr">
        <x:is>
          <x:t xml:space="preserve">NO</x:t>
        </x:is>
      </x:c>
      <x:c r="Y3" t="inlineStr">
        <x:is>
          <x:t xml:space="preserve">L-502</x:t>
        </x:is>
      </x:c>
      <x:c r="Z3" t="inlineStr">
        <x:is>
          <x:t xml:space="preserve">DQ File</x:t>
        </x:is>
      </x:c>
      <x:c r="AA3" t="inlineStr">
        <x:is>
          <x:t xml:space="preserve">HIGH</x:t>
        </x:is>
      </x:c>
      <x:c r="AB3" t="inlineStr">
        <x:is>
          <x:t xml:space="preserve">YES</x:t>
        </x:is>
      </x:c>
    </x:row>
    <x:row r="4">
      <x:c r="A4" t="inlineStr">
        <x:is>
          <x:t xml:space="preserve">EVT-003</x:t>
        </x:is>
      </x:c>
      <x:c r="B4" t="inlineStr">
        <x:is>
          <x:t xml:space="preserve">DRV-004</x:t>
        </x:is>
      </x:c>
      <x:c r="C4" t="inlineStr">
        <x:is>
          <x:t xml:space="preserve">Priya Patel</x:t>
        </x:is>
      </x:c>
      <x:c r="D4" t="inlineStr">
        <x:is>
          <x:t xml:space="preserve">Speeding</x:t>
        </x:is>
      </x:c>
      <x:c r="E4" t="inlineStr">
        <x:is>
          <x:t xml:space="preserve">CRITICAL</x:t>
        </x:is>
      </x:c>
      <x:c r="F4" t="inlineStr">
        <x:is>
          <x:t xml:space="preserve">OPEN</x:t>
        </x:is>
      </x:c>
      <x:c r="G4" s="65" t="n">
        <x:v>46103.45972222222</x:v>
      </x:c>
      <x:c r="H4" t="inlineStr">
        <x:is>
          <x:t xml:space="preserve">T-108</x:t>
        </x:is>
      </x:c>
      <x:c r="I4" t="inlineStr">
        <x:is>
          <x:t xml:space="preserve">Memphis, TN</x:t>
        </x:is>
      </x:c>
      <x:c r="J4" t="inlineStr">
        <x:is>
          <x:t xml:space="preserve">78 MPH in 55 MPH zone</x:t>
        </x:is>
      </x:c>
      <x:c r="K4" t="inlineStr">
        <x:is>
          <x:t xml:space="preserve">/drivers/DRV-004.jpg</x:t>
        </x:is>
      </x:c>
      <x:c r="L4" t="inlineStr">
        <x:is>
          <x:t xml:space="preserve">READY</x:t>
        </x:is>
      </x:c>
      <x:c r="M4" t="inlineStr">
        <x:is>
          <x:t xml:space="preserve">/images/safety/EVT-003.jpg</x:t>
        </x:is>
      </x:c>
      <x:c r="N4" t="inlineStr">
        <x:is>
          <x:t xml:space="preserve">CLM-003-5861</x:t>
        </x:is>
      </x:c>
      <x:c r="O4" t="inlineStr">
        <x:is>
          <x:t xml:space="preserve">OPEN</x:t>
        </x:is>
      </x:c>
      <x:c r="P4" t="inlineStr">
        <x:is>
          <x:t xml:space="preserve">Auto Liability</x:t>
        </x:is>
      </x:c>
      <x:c r="Q4" s="55" t="n">
        <x:v>46103</x:v>
      </x:c>
      <x:c r="R4" s="64" t="n">
        <x:v>11266.88</x:v>
      </x:c>
      <x:c r="S4" s="64" t="n">
        <x:v>2500</x:v>
      </x:c>
      <x:c r="T4" t="inlineStr">
        <x:is>
          <x:t xml:space="preserve">Kelly Moore</x:t>
        </x:is>
      </x:c>
      <x:c r="U4" t="inlineStr">
        <x:is>
          <x:t xml:space="preserve">Great West Casualty</x:t>
        </x:is>
      </x:c>
      <x:c r="V4" t="inlineStr">
        <x:is>
          <x:t xml:space="preserve">POL-159942</x:t>
        </x:is>
      </x:c>
      <x:c r="W4" t="inlineStr">
        <x:is>
          <x:t xml:space="preserve">Awaiting repair estimate and driver statement</x:t>
        </x:is>
      </x:c>
      <x:c r="X4" t="inlineStr">
        <x:is>
          <x:t xml:space="preserve">YES</x:t>
        </x:is>
      </x:c>
      <x:c r="Y4" t="inlineStr">
        <x:is>
          <x:t xml:space="preserve">L-503</x:t>
        </x:is>
      </x:c>
      <x:c r="Z4" t="inlineStr">
        <x:is>
          <x:t xml:space="preserve">MCSA-5876</x:t>
        </x:is>
      </x:c>
      <x:c r="AA4" t="inlineStr">
        <x:is>
          <x:t xml:space="preserve">HIGH</x:t>
        </x:is>
      </x:c>
      <x:c r="AB4" t="inlineStr">
        <x:is>
          <x:t xml:space="preserve">YES</x:t>
        </x:is>
      </x:c>
    </x:row>
    <x:row r="5">
      <x:c r="A5" t="inlineStr">
        <x:is>
          <x:t xml:space="preserve">EVT-004</x:t>
        </x:is>
      </x:c>
      <x:c r="B5" t="inlineStr">
        <x:is>
          <x:t xml:space="preserve">DRV-002</x:t>
        </x:is>
      </x:c>
      <x:c r="C5" t="inlineStr">
        <x:is>
          <x:t xml:space="preserve">Maria Lopez</x:t>
        </x:is>
      </x:c>
      <x:c r="D5" t="inlineStr">
        <x:is>
          <x:t xml:space="preserve">Geofence Exit</x:t>
        </x:is>
      </x:c>
      <x:c r="E5" t="inlineStr">
        <x:is>
          <x:t xml:space="preserve">WARNING</x:t>
        </x:is>
      </x:c>
      <x:c r="F5" t="inlineStr">
        <x:is>
          <x:t xml:space="preserve">REVIEWED</x:t>
        </x:is>
      </x:c>
      <x:c r="G5" s="65" t="n">
        <x:v>46103.49166666667</x:v>
      </x:c>
      <x:c r="H5" t="inlineStr">
        <x:is>
          <x:t xml:space="preserve">T-101</x:t>
        </x:is>
      </x:c>
      <x:c r="I5" t="inlineStr">
        <x:is>
          <x:t xml:space="preserve">Cleveland Yard</x:t>
        </x:is>
      </x:c>
      <x:c r="J5" t="inlineStr">
        <x:is>
          <x:t xml:space="preserve">Exited designated yard area</x:t>
        </x:is>
      </x:c>
      <x:c r="K5" t="inlineStr">
        <x:is>
          <x:t xml:space="preserve">/drivers/DRV-002.jpg</x:t>
        </x:is>
      </x:c>
      <x:c r="L5" t="inlineStr">
        <x:is>
          <x:t xml:space="preserve">READY</x:t>
        </x:is>
      </x:c>
      <x:c r="M5" t="inlineStr">
        <x:is>
          <x:t xml:space="preserve">/images/safety/EVT-004.jpg</x:t>
        </x:is>
      </x:c>
      <x:c r="Q5" s="55" t="n"/>
      <x:c r="R5" s="64" t="n"/>
      <x:c r="S5" s="64" t="n"/>
      <x:c r="X5" t="inlineStr">
        <x:is>
          <x:t xml:space="preserve">NO</x:t>
        </x:is>
      </x:c>
      <x:c r="Y5" t="inlineStr">
        <x:is>
          <x:t xml:space="preserve">L-504</x:t>
        </x:is>
      </x:c>
      <x:c r="Z5" t="inlineStr">
        <x:is>
          <x:t xml:space="preserve">MVR</x:t>
        </x:is>
      </x:c>
      <x:c r="AA5" t="inlineStr">
        <x:is>
          <x:t xml:space="preserve">NONE</x:t>
        </x:is>
      </x:c>
      <x:c r="AB5" t="inlineStr">
        <x:is>
          <x:t xml:space="preserve">NO</x:t>
        </x:is>
      </x:c>
    </x:row>
  </x:sheetData>
  <x:pageMargins left="0.7" right="0.7" top="0.75" bottom="0.75" header="0.3" footer="0.3"/>
  <x:tableParts count="2">
    <x:tablePart xmlns:r="http://schemas.openxmlformats.org/officeDocument/2006/relationships" r:id="Rb88c469234b84974"/>
    <x:tablePart xmlns:r="http://schemas.openxmlformats.org/officeDocument/2006/relationships" r:id="Re9a5af3735a54142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23" style="24" customWidth="1"/>
    <x:col min="5" max="5" width="10" style="24" customWidth="1"/>
    <x:col min="6" max="6" width="10" style="24" customWidth="1"/>
    <x:col min="7" max="7" width="21" style="24" customWidth="1"/>
    <x:col min="8" max="8" width="28" style="24" customWidth="1"/>
    <x:col min="9" max="9" width="22" style="24" customWidth="1"/>
    <x:col min="10" max="10" width="15" style="24" customWidth="1"/>
    <x:col min="11" max="11" width="22" style="24" customWidth="1"/>
    <x:col min="12" max="12" width="18" style="24" customWidth="1"/>
    <x:col min="13" max="13" width="14" style="24" customWidth="1"/>
    <x:col min="14" max="14" width="16" style="24" customWidth="1"/>
    <x:col min="15" max="15" width="14" style="24" customWidth="1"/>
    <x:col min="16" max="16" width="14" style="24" customWidth="1"/>
    <x:col min="17" max="17" width="16" style="24" customWidth="1"/>
    <x:col min="18" max="18" width="18" style="24" customWidth="1"/>
    <x:col min="19" max="19" width="20" style="24" customWidth="1"/>
    <x:col min="20" max="20" width="18" style="24" customWidth="1"/>
    <x:col min="21" max="21" width="32" style="24" customWidth="1"/>
  </x:cols>
  <x:sheetData>
    <x:row r="1">
      <x:c r="A1" s="49" t="str">
        <x:v>Event ID</x:v>
      </x:c>
      <x:c r="B1" s="49" t="str">
        <x:v>Driver ID</x:v>
      </x:c>
      <x:c r="C1" s="49" t="str">
        <x:v>Driver Name</x:v>
      </x:c>
      <x:c r="D1" s="49" t="str">
        <x:v>Event Type</x:v>
      </x:c>
      <x:c r="E1" s="49" t="str">
        <x:v>Severity</x:v>
      </x:c>
      <x:c r="F1" s="49" t="str">
        <x:v>Status</x:v>
      </x:c>
      <x:c r="G1" s="49" t="str">
        <x:v>Due Date</x:v>
      </x:c>
      <x:c r="H1" s="49" t="str">
        <x:v>Details</x:v>
      </x:c>
      <x:c r="I1" s="49" t="str">
        <x:v>Driver Photo URL</x:v>
      </x:c>
      <x:c r="J1" s="49" t="str">
        <x:v>Export Status</x:v>
      </x:c>
      <x:c r="K1" s="49" t="str">
        <x:v>Evidence Image URL</x:v>
      </x:c>
      <x:c r="L1" s="49" t="str">
        <x:v>Insurance Claim ID</x:v>
      </x:c>
      <x:c r="M1" s="49" t="str">
        <x:v>Claim Status</x:v>
      </x:c>
      <x:c r="N1" s="49" t="str">
        <x:v>Claim Type</x:v>
      </x:c>
      <x:c r="O1" s="49" t="str">
        <x:v>Date of Loss</x:v>
      </x:c>
      <x:c r="P1" s="49" t="str">
        <x:v>Claim Amount</x:v>
      </x:c>
      <x:c r="Q1" s="49" t="str">
        <x:v>Deductible Amount</x:v>
      </x:c>
      <x:c r="R1" s="49" t="str">
        <x:v>Adjuster Name</x:v>
      </x:c>
      <x:c r="S1" s="49" t="str">
        <x:v>Insurer Name</x:v>
      </x:c>
      <x:c r="T1" s="49" t="str">
        <x:v>Policy Number</x:v>
      </x:c>
      <x:c r="U1" s="49" t="str">
        <x:v>Claim Notes</x:v>
      </x:c>
      <x:c r="V1" t="str">
        <x:v>RFID Related?</x:v>
      </x:c>
      <x:c r="W1" t="str">
        <x:v>Linked Load ID</x:v>
      </x:c>
      <x:c r="X1" t="str">
        <x:v>Linked Driver Document</x:v>
      </x:c>
      <x:c r="Y1" t="str">
        <x:v>Claim Exposure Band</x:v>
      </x:c>
      <x:c r="Z1" t="str">
        <x:v>Insurance Claim Needed?</x:v>
      </x:c>
    </x:row>
    <x:row r="2">
      <x:c r="A2" t="str">
        <x:v>CMP-001</x:v>
      </x:c>
      <x:c r="B2" t="str">
        <x:v>DRV-002</x:v>
      </x:c>
      <x:c r="C2" t="str">
        <x:v>Maria Lopez</x:v>
      </x:c>
      <x:c r="D2" t="str">
        <x:v>Medical Certification Verified</x:v>
      </x:c>
      <x:c r="E2" t="str">
        <x:v>INFO</x:v>
      </x:c>
      <x:c r="F2" t="str">
        <x:v>CLOSED</x:v>
      </x:c>
      <x:c r="G2" s="113" t="n">
        <x:v>46596</x:v>
      </x:c>
      <x:c r="H2" t="str">
        <x:v>Medical card expiration updated to 2027-07-28 from driver_templates_expanded2.</x:v>
      </x:c>
      <x:c r="I2" t="str">
        <x:v>/drivers/DRV-002.jpg</x:v>
      </x:c>
      <x:c r="J2" t="str">
        <x:v>READY</x:v>
      </x:c>
      <x:c r="K2" t="str">
        <x:v>/images/compliance/DRV-002_MEDICAL_CARD_EXPIRING.jpg</x:v>
      </x:c>
      <x:c r="L2"/>
      <x:c r="M2"/>
      <x:c r="N2"/>
      <x:c r="O2" s="55"/>
      <x:c r="P2" s="64"/>
      <x:c r="Q2" s="64"/>
      <x:c r="R2"/>
      <x:c r="S2"/>
      <x:c r="T2"/>
      <x:c r="U2"/>
      <x:c r="V2" t="str">
        <x:v>NO</x:v>
      </x:c>
      <x:c r="W2" t="str">
        <x:v>L-501</x:v>
      </x:c>
      <x:c r="X2" t="str">
        <x:v>CDL</x:v>
      </x:c>
      <x:c r="Y2" t="str">
        <x:v>NONE</x:v>
      </x:c>
      <x:c r="Z2" t="str">
        <x:v>NO</x:v>
      </x:c>
    </x:row>
    <x:row r="3">
      <x:c r="A3" t="str">
        <x:v>CMP-002</x:v>
      </x:c>
      <x:c r="B3" t="str">
        <x:v>DRV-009</x:v>
      </x:c>
      <x:c r="C3" t="str">
        <x:v>Emma Brown</x:v>
      </x:c>
      <x:c r="D3" t="str">
        <x:v>Medical Certification Verified</x:v>
      </x:c>
      <x:c r="E3" t="str">
        <x:v>INFO</x:v>
      </x:c>
      <x:c r="F3" t="str">
        <x:v>CLOSED</x:v>
      </x:c>
      <x:c r="G3" s="113" t="n">
        <x:v>46645</x:v>
      </x:c>
      <x:c r="H3" t="str">
        <x:v>Medical card expiration updated to 2027-09-15 from driver_templates_expanded2.</x:v>
      </x:c>
      <x:c r="I3" t="str">
        <x:v>/drivers/DRV-009.jpg</x:v>
      </x:c>
      <x:c r="J3" t="str">
        <x:v>READY</x:v>
      </x:c>
      <x:c r="K3" t="str">
        <x:v>/images/compliance/DRV-009_MEDICAL_CARD_EXPIRING.jpg</x:v>
      </x:c>
      <x:c r="L3"/>
      <x:c r="M3"/>
      <x:c r="N3"/>
      <x:c r="O3" s="55"/>
      <x:c r="P3" s="64"/>
      <x:c r="Q3" s="64"/>
      <x:c r="R3"/>
      <x:c r="S3"/>
      <x:c r="T3"/>
      <x:c r="U3"/>
      <x:c r="V3" t="str">
        <x:v>NO</x:v>
      </x:c>
      <x:c r="W3" t="str">
        <x:v>L-502</x:v>
      </x:c>
      <x:c r="X3" t="str">
        <x:v>DQ File</x:v>
      </x:c>
      <x:c r="Y3" t="str">
        <x:v>NONE</x:v>
      </x:c>
      <x:c r="Z3" t="str">
        <x:v>NO</x:v>
      </x:c>
    </x:row>
    <x:row r="4">
      <x:c r="A4" t="str">
        <x:v>CMP-003</x:v>
      </x:c>
      <x:c r="B4" t="str">
        <x:v>DRV-004</x:v>
      </x:c>
      <x:c r="C4" t="str">
        <x:v>Priya Patel</x:v>
      </x:c>
      <x:c r="D4" t="str">
        <x:v>MVR Review Required</x:v>
      </x:c>
      <x:c r="E4" t="str">
        <x:v>CRITICAL</x:v>
      </x:c>
      <x:c r="F4" t="str">
        <x:v>OPEN</x:v>
      </x:c>
      <x:c r="G4" s="113" t="n">
        <x:v>46105</x:v>
      </x:c>
      <x:c r="H4" t="str">
        <x:v>Recent event requires manager review</x:v>
      </x:c>
      <x:c r="I4" t="str">
        <x:v>/drivers/DRV-004.jpg</x:v>
      </x:c>
      <x:c r="J4" t="str">
        <x:v>READY</x:v>
      </x:c>
      <x:c r="K4" t="str">
        <x:v>/images/compliance/DRV-004_MVR_REVIEW_REQUIRED.jpg</x:v>
      </x:c>
      <x:c r="L4" t="str">
        <x:v>CLM-003-3579</x:v>
      </x:c>
      <x:c r="M4" t="str">
        <x:v>OPEN</x:v>
      </x:c>
      <x:c r="N4" t="str">
        <x:v>Auto Liability</x:v>
      </x:c>
      <x:c r="O4" s="55" t="n">
        <x:v>46105</x:v>
      </x:c>
      <x:c r="P4" s="64" t="n">
        <x:v>15621.48</x:v>
      </x:c>
      <x:c r="Q4" s="64" t="n">
        <x:v>500</x:v>
      </x:c>
      <x:c r="R4" t="str">
        <x:v>Renee Collins</x:v>
      </x:c>
      <x:c r="S4" t="str">
        <x:v>Progressive Commercial</x:v>
      </x:c>
      <x:c r="T4" t="str">
        <x:v>POL-808011</x:v>
      </x:c>
      <x:c r="U4" t="str">
        <x:v>Photos received; adjuster assigned</x:v>
      </x:c>
      <x:c r="V4" t="str">
        <x:v>YES</x:v>
      </x:c>
      <x:c r="W4" t="str">
        <x:v>L-503</x:v>
      </x:c>
      <x:c r="X4" t="str">
        <x:v>MCSA-5876</x:v>
      </x:c>
      <x:c r="Y4" t="str">
        <x:v>HIGH</x:v>
      </x:c>
      <x:c r="Z4" t="str">
        <x:v>YES</x:v>
      </x:c>
    </x:row>
    <x:row r="5">
      <x:c r="A5" t="str">
        <x:v>CMP-004</x:v>
      </x:c>
      <x:c r="B5" t="str">
        <x:v>DRV-010</x:v>
      </x:c>
      <x:c r="C5" t="str">
        <x:v>Noah Wilson</x:v>
      </x:c>
      <x:c r="D5" t="str">
        <x:v>MVR Review Required</x:v>
      </x:c>
      <x:c r="E5" t="str">
        <x:v>CRITICAL</x:v>
      </x:c>
      <x:c r="F5" t="str">
        <x:v>OPEN</x:v>
      </x:c>
      <x:c r="G5" s="113" t="n">
        <x:v>46105</x:v>
      </x:c>
      <x:c r="H5" t="str">
        <x:v>Violation linked to safety event</x:v>
      </x:c>
      <x:c r="I5" t="str">
        <x:v>/drivers/DRV-010.jpg</x:v>
      </x:c>
      <x:c r="J5" t="str">
        <x:v>READY</x:v>
      </x:c>
      <x:c r="K5" t="str">
        <x:v>/images/compliance/DRV-010_MVR_REVIEW_REQUIRED.jpg</x:v>
      </x:c>
      <x:c r="L5" t="str">
        <x:v>CLM-004-7615</x:v>
      </x:c>
      <x:c r="M5" t="str">
        <x:v>OPEN</x:v>
      </x:c>
      <x:c r="N5" t="str">
        <x:v>Cargo Damage</x:v>
      </x:c>
      <x:c r="O5" s="55" t="n">
        <x:v>46105</x:v>
      </x:c>
      <x:c r="P5" s="64" t="n">
        <x:v>11262.7</x:v>
      </x:c>
      <x:c r="Q5" s="64" t="n">
        <x:v>500</x:v>
      </x:c>
      <x:c r="R5" t="str">
        <x:v>Renee Collins</x:v>
      </x:c>
      <x:c r="S5" t="str">
        <x:v>Progressive Commercial</x:v>
      </x:c>
      <x:c r="T5" t="str">
        <x:v>POL-539589</x:v>
      </x:c>
      <x:c r="U5" t="str">
        <x:v>Reviewing cargo shortage supporting docs</x:v>
      </x:c>
      <x:c r="V5" t="str">
        <x:v>NO</x:v>
      </x:c>
      <x:c r="W5" t="str">
        <x:v>L-504</x:v>
      </x:c>
      <x:c r="X5" t="str">
        <x:v>MVR</x:v>
      </x:c>
      <x:c r="Y5" t="str">
        <x:v>HIGH</x:v>
      </x:c>
      <x:c r="Z5" t="str">
        <x:v>YES</x:v>
      </x:c>
    </x:row>
  </x:sheetData>
  <x:pageMargins left="0.7" right="0.7" top="0.75" bottom="0.75" header="0.3" footer="0.3"/>
  <x:tableParts count="2">
    <x:tablePart xmlns:r="http://schemas.openxmlformats.org/officeDocument/2006/relationships" r:id="Rc887a14cee6646b8"/>
    <x:tablePart xmlns:r="http://schemas.openxmlformats.org/officeDocument/2006/relationships" r:id="Re2ff78286b084823"/>
  </x:tableParts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9" style="24" customWidth="1"/>
    <x:col min="2" max="2" width="15" style="24" customWidth="1"/>
    <x:col min="3" max="3" width="28" style="24" customWidth="1"/>
  </x:cols>
  <x:sheetData>
    <x:row r="1">
      <x:c r="A1" s="49" t="inlineStr">
        <x:is>
          <x:t xml:space="preserve">Category</x:t>
        </x:is>
      </x:c>
      <x:c r="B1" s="49" t="inlineStr">
        <x:is>
          <x:t xml:space="preserve">Allowed Value</x:t>
        </x:is>
      </x:c>
      <x:c r="C1" s="49" t="inlineStr">
        <x:is>
          <x:t xml:space="preserve">Notes</x:t>
        </x:is>
      </x:c>
    </x:row>
    <x:row r="2">
      <x:c r="A2" t="inlineStr">
        <x:is>
          <x:t xml:space="preserve">Load Status</x:t>
        </x:is>
      </x:c>
      <x:c r="B2" t="inlineStr">
        <x:is>
          <x:t xml:space="preserve">UNASSIGNED</x:t>
        </x:is>
      </x:c>
      <x:c r="C2" t="inlineStr">
        <x:is>
          <x:t xml:space="preserve">No driver assigned</x:t>
        </x:is>
      </x:c>
    </x:row>
    <x:row r="3">
      <x:c r="A3" t="inlineStr">
        <x:is>
          <x:t xml:space="preserve">Load Status</x:t>
        </x:is>
      </x:c>
      <x:c r="B3" t="inlineStr">
        <x:is>
          <x:t xml:space="preserve">ASSIGNED</x:t>
        </x:is>
      </x:c>
      <x:c r="C3" t="inlineStr">
        <x:is>
          <x:t xml:space="preserve">Driver assigned, not yet moving</x:t>
        </x:is>
      </x:c>
    </x:row>
    <x:row r="4">
      <x:c r="A4" t="inlineStr">
        <x:is>
          <x:t xml:space="preserve">Load Status</x:t>
        </x:is>
      </x:c>
      <x:c r="B4" t="inlineStr">
        <x:is>
          <x:t xml:space="preserve">IN_TRANSIT</x:t>
        </x:is>
      </x:c>
      <x:c r="C4" t="inlineStr">
        <x:is>
          <x:t xml:space="preserve">Load moving</x:t>
        </x:is>
      </x:c>
    </x:row>
    <x:row r="5">
      <x:c r="A5" t="inlineStr">
        <x:is>
          <x:t xml:space="preserve">Load Status</x:t>
        </x:is>
      </x:c>
      <x:c r="B5" t="inlineStr">
        <x:is>
          <x:t xml:space="preserve">DELIVERED</x:t>
        </x:is>
      </x:c>
      <x:c r="C5" t="inlineStr">
        <x:is>
          <x:t xml:space="preserve">Delivered complete</x:t>
        </x:is>
      </x:c>
    </x:row>
    <x:row r="6">
      <x:c r="A6" t="inlineStr">
        <x:is>
          <x:t xml:space="preserve">Load Status</x:t>
        </x:is>
      </x:c>
      <x:c r="B6" t="inlineStr">
        <x:is>
          <x:t xml:space="preserve">PENDING</x:t>
        </x:is>
      </x:c>
      <x:c r="C6" t="inlineStr">
        <x:is>
          <x:t xml:space="preserve">Waiting on POD or review</x:t>
        </x:is>
      </x:c>
    </x:row>
    <x:row r="7">
      <x:c r="A7" t="inlineStr">
        <x:is>
          <x:t xml:space="preserve">Settlement Status</x:t>
        </x:is>
      </x:c>
      <x:c r="B7" t="inlineStr">
        <x:is>
          <x:t xml:space="preserve">PAID</x:t>
        </x:is>
      </x:c>
      <x:c r="C7" t="inlineStr">
        <x:is>
          <x:t xml:space="preserve">Processed and complete</x:t>
        </x:is>
      </x:c>
    </x:row>
    <x:row r="8">
      <x:c r="A8" t="inlineStr">
        <x:is>
          <x:t xml:space="preserve">Settlement Status</x:t>
        </x:is>
      </x:c>
      <x:c r="B8" t="inlineStr">
        <x:is>
          <x:t xml:space="preserve">PENDING</x:t>
        </x:is>
      </x:c>
      <x:c r="C8" t="inlineStr">
        <x:is>
          <x:t xml:space="preserve">Open for processing</x:t>
        </x:is>
      </x:c>
    </x:row>
    <x:row r="9">
      <x:c r="A9" t="inlineStr">
        <x:is>
          <x:t xml:space="preserve">Settlement Status</x:t>
        </x:is>
      </x:c>
      <x:c r="B9" t="inlineStr">
        <x:is>
          <x:t xml:space="preserve">ON_HOLD</x:t>
        </x:is>
      </x:c>
      <x:c r="C9" t="inlineStr">
        <x:is>
          <x:t xml:space="preserve">Blocked by issue</x:t>
        </x:is>
      </x:c>
    </x:row>
    <x:row r="10">
      <x:c r="A10" t="inlineStr">
        <x:is>
          <x:t xml:space="preserve">Doc Status</x:t>
        </x:is>
      </x:c>
      <x:c r="B10" t="inlineStr">
        <x:is>
          <x:t xml:space="preserve">VALID</x:t>
        </x:is>
      </x:c>
      <x:c r="C10" t="inlineStr">
        <x:is>
          <x:t xml:space="preserve">No issue</x:t>
        </x:is>
      </x:c>
    </x:row>
    <x:row r="11">
      <x:c r="A11" t="inlineStr">
        <x:is>
          <x:t xml:space="preserve">Doc Status</x:t>
        </x:is>
      </x:c>
      <x:c r="B11" t="inlineStr">
        <x:is>
          <x:t xml:space="preserve">EXPIRING_SOON</x:t>
        </x:is>
      </x:c>
      <x:c r="C11" t="inlineStr">
        <x:is>
          <x:t xml:space="preserve">Within 30 days</x:t>
        </x:is>
      </x:c>
    </x:row>
    <x:row r="12">
      <x:c r="A12" t="inlineStr">
        <x:is>
          <x:t xml:space="preserve">Doc Status</x:t>
        </x:is>
      </x:c>
      <x:c r="B12" t="inlineStr">
        <x:is>
          <x:t xml:space="preserve">EXPIRED</x:t>
        </x:is>
      </x:c>
      <x:c r="C12" t="inlineStr">
        <x:is>
          <x:t xml:space="preserve">Past due</x:t>
        </x:is>
      </x:c>
    </x:row>
    <x:row r="13">
      <x:c r="A13" t="inlineStr">
        <x:is>
          <x:t xml:space="preserve">Review Status</x:t>
        </x:is>
      </x:c>
      <x:c r="B13" t="inlineStr">
        <x:is>
          <x:t xml:space="preserve">OPEN</x:t>
        </x:is>
      </x:c>
      <x:c r="C13" t="inlineStr">
        <x:is>
          <x:t xml:space="preserve">Needs review</x:t>
        </x:is>
      </x:c>
    </x:row>
    <x:row r="14">
      <x:c r="A14" t="inlineStr">
        <x:is>
          <x:t xml:space="preserve">Review Status</x:t>
        </x:is>
      </x:c>
      <x:c r="B14" t="inlineStr">
        <x:is>
          <x:t xml:space="preserve">REVIEWED</x:t>
        </x:is>
      </x:c>
      <x:c r="C14" t="inlineStr">
        <x:is>
          <x:t xml:space="preserve">Reviewed by ops</x:t>
        </x:is>
      </x:c>
    </x:row>
    <x:row r="15">
      <x:c r="A15" t="inlineStr">
        <x:is>
          <x:t xml:space="preserve">Review Status</x:t>
        </x:is>
      </x:c>
      <x:c r="B15" t="inlineStr">
        <x:is>
          <x:t xml:space="preserve">CLOSED</x:t>
        </x:is>
      </x:c>
      <x:c r="C15" t="inlineStr">
        <x:is>
          <x:t xml:space="preserve">Resolved</x:t>
        </x:is>
      </x:c>
    </x:row>
    <x:row r="16">
      <x:c r="A16" t="inlineStr">
        <x:is>
          <x:t xml:space="preserve">Compliance Status</x:t>
        </x:is>
      </x:c>
      <x:c r="B16" t="inlineStr">
        <x:is>
          <x:t xml:space="preserve">COMPLIANT</x:t>
        </x:is>
      </x:c>
      <x:c r="C16" t="inlineStr">
        <x:is>
          <x:t xml:space="preserve">No active issue</x:t>
        </x:is>
      </x:c>
    </x:row>
    <x:row r="17">
      <x:c r="A17" t="inlineStr">
        <x:is>
          <x:t xml:space="preserve">Compliance Status</x:t>
        </x:is>
      </x:c>
      <x:c r="B17" t="inlineStr">
        <x:is>
          <x:t xml:space="preserve">WATCH</x:t>
        </x:is>
      </x:c>
      <x:c r="C17" t="inlineStr">
        <x:is>
          <x:t xml:space="preserve">Needs attention soon</x:t>
        </x:is>
      </x:c>
    </x:row>
    <x:row r="18">
      <x:c r="A18" t="inlineStr">
        <x:is>
          <x:t xml:space="preserve">Compliance Status</x:t>
        </x:is>
      </x:c>
      <x:c r="B18" t="inlineStr">
        <x:is>
          <x:t xml:space="preserve">NON_COMPLIANT</x:t>
        </x:is>
      </x:c>
      <x:c r="C18" t="inlineStr">
        <x:is>
          <x:t xml:space="preserve">Action required</x:t>
        </x:is>
      </x:c>
    </x:row>
    <x:row r="19">
      <x:c r="A19" t="inlineStr">
        <x:is>
          <x:t xml:space="preserve">Safety Severity</x:t>
        </x:is>
      </x:c>
      <x:c r="B19" t="inlineStr">
        <x:is>
          <x:t xml:space="preserve">CRITICAL</x:t>
        </x:is>
      </x:c>
      <x:c r="C19" t="inlineStr">
        <x:is>
          <x:t xml:space="preserve">Red</x:t>
        </x:is>
      </x:c>
    </x:row>
    <x:row r="20">
      <x:c r="A20" t="inlineStr">
        <x:is>
          <x:t xml:space="preserve">Safety Severity</x:t>
        </x:is>
      </x:c>
      <x:c r="B20" t="inlineStr">
        <x:is>
          <x:t xml:space="preserve">WARNING</x:t>
        </x:is>
      </x:c>
      <x:c r="C20" t="inlineStr">
        <x:is>
          <x:t xml:space="preserve">Amber</x:t>
        </x:is>
      </x:c>
    </x:row>
    <x:row r="21">
      <x:c r="A21" t="inlineStr">
        <x:is>
          <x:t xml:space="preserve">Safety Severity</x:t>
        </x:is>
      </x:c>
      <x:c r="B21" t="inlineStr">
        <x:is>
          <x:t xml:space="preserve">NORMAL</x:t>
        </x:is>
      </x:c>
      <x:c r="C21" t="inlineStr">
        <x:is>
          <x:t xml:space="preserve">Teal/green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dfb5717403e408a"/>
  </x:tableParts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1" style="24" customWidth="1"/>
    <x:col min="2" max="2" width="14" style="24" customWidth="1"/>
    <x:col min="3" max="3" width="20" style="24" customWidth="1"/>
    <x:col min="4" max="4" width="15" style="24" customWidth="1"/>
    <x:col min="5" max="5" width="17" style="24" customWidth="1"/>
    <x:col min="6" max="6" width="21" style="24" customWidth="1"/>
    <x:col min="7" max="7" width="25" style="24" customWidth="1"/>
    <x:col min="8" max="8" width="21" style="24" customWidth="1"/>
    <x:col min="9" max="9" width="34" style="24" customWidth="1"/>
    <x:col min="10" max="10" width="34" style="24" customWidth="1"/>
    <x:col min="11" max="11" width="34" style="24" customWidth="1"/>
    <x:col min="12" max="12" width="34" style="24" customWidth="1"/>
    <x:col min="13" max="13" width="34" style="24" customWidth="1"/>
    <x:col min="14" max="14" width="34" style="24" customWidth="1"/>
    <x:col min="15" max="15" width="34" style="24" customWidth="1"/>
    <x:col min="16" max="16" width="28" style="24" customWidth="1"/>
  </x:cols>
  <x:sheetData>
    <x:row r="1">
      <x:c r="A1" s="124" t="str">
        <x:v>Driver ID</x:v>
      </x:c>
      <x:c r="B1" s="124" t="str">
        <x:v>Full Name</x:v>
      </x:c>
      <x:c r="C1" s="124" t="str">
        <x:v>Photo URL</x:v>
      </x:c>
      <x:c r="D1" s="124" t="str">
        <x:v>Primary Truck</x:v>
      </x:c>
      <x:c r="E1" s="124" t="str">
        <x:v>Compliance Tier</x:v>
      </x:c>
      <x:c r="F1" s="124" t="str">
        <x:v>CDL Expiration Date</x:v>
      </x:c>
      <x:c r="G1" s="124" t="str">
        <x:v>Medical Card Expiration</x:v>
      </x:c>
      <x:c r="H1" s="124" t="str">
        <x:v>MVR Expiration</x:v>
      </x:c>
      <x:c r="I1" s="124" t="str">
        <x:v>CDL URL</x:v>
      </x:c>
      <x:c r="J1" s="124" t="str">
        <x:v>MVR URL</x:v>
      </x:c>
      <x:c r="K1" s="124" t="str">
        <x:v>Medical URL</x:v>
      </x:c>
      <x:c r="L1" s="124" t="str">
        <x:v>W9 URL</x:v>
      </x:c>
      <x:c r="M1" s="124" t="str">
        <x:v>I9 URL</x:v>
      </x:c>
      <x:c r="N1" s="124" t="str">
        <x:v>FMCSA URL</x:v>
      </x:c>
      <x:c r="O1" s="124" t="str">
        <x:v>Bank Info URL</x:v>
      </x:c>
      <x:c r="P1" s="124" t="str">
        <x:v>Compliance Status</x:v>
      </x:c>
      <x:c r="Q1" s="118"/>
      <x:c r="R1" s="118"/>
      <x:c r="S1" s="118"/>
      <x:c r="T1" s="118"/>
      <x:c r="U1" s="118"/>
    </x:row>
    <x:row r="2">
      <x:c r="A2" t="str">
        <x:v>DRV-001</x:v>
      </x:c>
      <x:c r="B2" t="str">
        <x:v>John Carter</x:v>
      </x:c>
      <x:c r="C2" t="str">
        <x:v>/drivers/DRV-001.jpg</x:v>
      </x:c>
      <x:c r="D2" t="str">
        <x:v>T-102</x:v>
      </x:c>
      <x:c r="E2" t="str">
        <x:v>NON_COMPLIANT</x:v>
      </x:c>
      <x:c r="F2" s="113" t="n">
        <x:v>46621</x:v>
      </x:c>
      <x:c r="G2" s="113" t="n">
        <x:v>46638</x:v>
      </x:c>
      <x:c r="H2" s="113" t="n">
        <x:v>46677</x:v>
      </x:c>
      <x:c r="I2" s="63" t="str">
        <x:v>/documents/drivers/DRV-001_CDL.pdf</x:v>
      </x:c>
      <x:c r="J2" s="63" t="str">
        <x:v>/documents/drivers/DRV-001_MVR.pdf</x:v>
      </x:c>
      <x:c r="K2" s="63" t="str">
        <x:v>/documents/drivers/DRV-001_MEDICAL.pdf</x:v>
      </x:c>
      <x:c r="L2" s="63" t="str">
        <x:v>/documents/drivers/DRV-001_W9.pdf</x:v>
      </x:c>
      <x:c r="M2" s="63" t="str">
        <x:v>/documents/drivers/DRV-001_I9.pdf</x:v>
      </x:c>
      <x:c r="N2" s="63" t="str">
        <x:v>/documents/drivers/DRV-001_FMCSA.pdf</x:v>
      </x:c>
      <x:c r="O2" s="63" t="str">
        <x:v>/documents/drivers/DRV-001_BANK_INFO.pdf</x:v>
      </x:c>
      <x:c r="P2" s="63" t="str">
        <x:v>⚠️ TRUCK NEEDS SERVICE</x:v>
      </x:c>
    </x:row>
    <x:row r="3">
      <x:c r="A3" t="str">
        <x:v>DRV-002</x:v>
      </x:c>
      <x:c r="B3" t="str">
        <x:v>Maria Lopez</x:v>
      </x:c>
      <x:c r="C3" t="str">
        <x:v>/drivers/DRV-002.jpg</x:v>
      </x:c>
      <x:c r="D3" t="str">
        <x:v>T-122</x:v>
      </x:c>
      <x:c r="E3" t="str">
        <x:v>NON_COMPLIANT</x:v>
      </x:c>
      <x:c r="F3" s="113" t="n">
        <x:v>46518</x:v>
      </x:c>
      <x:c r="G3" s="113" t="n">
        <x:v>46596</x:v>
      </x:c>
      <x:c r="H3" s="113" t="n">
        <x:v>46455</x:v>
      </x:c>
      <x:c r="I3" s="63" t="str">
        <x:v>/documents/drivers/DRV-002_CDL.pdf</x:v>
      </x:c>
      <x:c r="J3" s="63" t="str">
        <x:v>/documents/drivers/DRV-002_MVR.pdf</x:v>
      </x:c>
      <x:c r="K3" s="63" t="str">
        <x:v>/documents/drivers/DRV-002_MEDICAL.pdf</x:v>
      </x:c>
      <x:c r="L3" s="63" t="str">
        <x:v>/documents/drivers/DRV-002_W9.pdf</x:v>
      </x:c>
      <x:c r="M3" s="63" t="str">
        <x:v>/documents/drivers/DRV-002_I9.pdf</x:v>
      </x:c>
      <x:c r="N3" s="63" t="str">
        <x:v>/documents/drivers/DRV-002_FMCSA.pdf</x:v>
      </x:c>
      <x:c r="O3" s="63" t="str">
        <x:v>/documents/drivers/DRV-002_BANK_INFO.pdf</x:v>
      </x:c>
      <x:c r="P3" s="63" t="str">
        <x:v>⚠️ TRUCK NEEDS SERVICE</x:v>
      </x:c>
    </x:row>
    <x:row r="4">
      <x:c r="A4" t="str">
        <x:v>DRV-003</x:v>
      </x:c>
      <x:c r="B4" t="str">
        <x:v>Alex Kim</x:v>
      </x:c>
      <x:c r="C4" t="str">
        <x:v>/drivers/DRV-003.jpg</x:v>
      </x:c>
      <x:c r="D4" t="str">
        <x:v>T-107</x:v>
      </x:c>
      <x:c r="E4" t="str">
        <x:v>NON_COMPLIANT</x:v>
      </x:c>
      <x:c r="F4" s="113" t="n">
        <x:v>46420</x:v>
      </x:c>
      <x:c r="G4" s="113" t="n">
        <x:v>46659</x:v>
      </x:c>
      <x:c r="H4" s="113" t="n">
        <x:v>46449</x:v>
      </x:c>
      <x:c r="I4" s="63" t="str">
        <x:v>/documents/drivers/DRV-003_CDL.pdf</x:v>
      </x:c>
      <x:c r="J4" s="63" t="str">
        <x:v>/documents/drivers/DRV-003_MVR.pdf</x:v>
      </x:c>
      <x:c r="K4" s="63" t="str">
        <x:v>/documents/drivers/DRV-003_MEDICAL.pdf</x:v>
      </x:c>
      <x:c r="L4" s="63" t="str">
        <x:v>/documents/drivers/DRV-003_W9.pdf</x:v>
      </x:c>
      <x:c r="M4" s="63" t="str">
        <x:v>/documents/drivers/DRV-003_I9.pdf</x:v>
      </x:c>
      <x:c r="N4" s="63" t="str">
        <x:v>/documents/drivers/DRV-003_FMCSA.pdf</x:v>
      </x:c>
      <x:c r="O4" s="63" t="str">
        <x:v>/documents/drivers/DRV-003_BANK_INFO.pdf</x:v>
      </x:c>
      <x:c r="P4" s="63" t="str">
        <x:v>⚠️ TRUCK NEEDS SERVICE</x:v>
      </x:c>
    </x:row>
    <x:row r="5">
      <x:c r="A5" t="str">
        <x:v>DRV-004</x:v>
      </x:c>
      <x:c r="B5" t="str">
        <x:v>Priya Patel</x:v>
      </x:c>
      <x:c r="C5" t="str">
        <x:v>/drivers/DRV-004.jpg</x:v>
      </x:c>
      <x:c r="D5" t="str">
        <x:v>T-108</x:v>
      </x:c>
      <x:c r="E5" t="str">
        <x:v>NON_COMPLIANT</x:v>
      </x:c>
      <x:c r="F5" s="113" t="n">
        <x:v>46739</x:v>
      </x:c>
      <x:c r="G5" s="113" t="n">
        <x:v>46486</x:v>
      </x:c>
      <x:c r="H5" s="113" t="n">
        <x:v>46452</x:v>
      </x:c>
      <x:c r="I5" s="63" t="str">
        <x:v>/documents/drivers/DRV-004_CDL.pdf</x:v>
      </x:c>
      <x:c r="J5" s="63" t="str">
        <x:v>/documents/drivers/DRV-004_MVR.pdf</x:v>
      </x:c>
      <x:c r="K5" s="63" t="str">
        <x:v>/documents/drivers/DRV-004_MEDICAL.pdf</x:v>
      </x:c>
      <x:c r="L5" s="63" t="str">
        <x:v>/documents/drivers/DRV-004_W9.pdf</x:v>
      </x:c>
      <x:c r="M5" s="63" t="str">
        <x:v>/documents/drivers/DRV-004_I9.pdf</x:v>
      </x:c>
      <x:c r="N5" s="63" t="str">
        <x:v>/documents/drivers/DRV-004_FMCSA.pdf</x:v>
      </x:c>
      <x:c r="O5" s="63" t="str">
        <x:v>/documents/drivers/DRV-004_BANK_INFO.pdf</x:v>
      </x:c>
      <x:c r="P5" s="63" t="str">
        <x:v>⚠️ TRUCK NEEDS SERVICE</x:v>
      </x:c>
    </x:row>
    <x:row r="6">
      <x:c r="A6" t="str">
        <x:v>DRV-005</x:v>
      </x:c>
      <x:c r="B6" t="str">
        <x:v>Kenji Tanaka</x:v>
      </x:c>
      <x:c r="C6" t="str">
        <x:v>/drivers/DRV-005.jpg</x:v>
      </x:c>
      <x:c r="D6" t="str">
        <x:v>T-104</x:v>
      </x:c>
      <x:c r="E6" t="str">
        <x:v>NON_COMPLIANT</x:v>
      </x:c>
      <x:c r="F6" s="113" t="n">
        <x:v>46577</x:v>
      </x:c>
      <x:c r="G6" s="113" t="n">
        <x:v>46496</x:v>
      </x:c>
      <x:c r="H6" s="113" t="n">
        <x:v>46478</x:v>
      </x:c>
      <x:c r="I6" s="63" t="str">
        <x:v>/documents/drivers/DRV-005_CDL.pdf</x:v>
      </x:c>
      <x:c r="J6" s="63" t="str">
        <x:v>/documents/drivers/DRV-005_MVR.pdf</x:v>
      </x:c>
      <x:c r="K6" s="63" t="str">
        <x:v>/documents/drivers/DRV-005_MEDICAL.pdf</x:v>
      </x:c>
      <x:c r="L6" s="63" t="str">
        <x:v>/documents/drivers/DRV-005_W9.pdf</x:v>
      </x:c>
      <x:c r="M6" s="63" t="str">
        <x:v>/documents/drivers/DRV-005_I9.pdf</x:v>
      </x:c>
      <x:c r="N6" s="63" t="str">
        <x:v>/documents/drivers/DRV-005_FMCSA.pdf</x:v>
      </x:c>
      <x:c r="O6" s="63" t="str">
        <x:v>/documents/drivers/DRV-005_BANK_INFO.pdf</x:v>
      </x:c>
      <x:c r="P6" s="63" t="str">
        <x:v>⚠️ TRUCK NEEDS SERVICE</x:v>
      </x:c>
    </x:row>
    <x:row r="7">
      <x:c r="A7" t="str">
        <x:v>DRV-006</x:v>
      </x:c>
      <x:c r="B7" t="str">
        <x:v>Marcus Chen</x:v>
      </x:c>
      <x:c r="C7" t="str">
        <x:v>/drivers/DRV-006.jpg</x:v>
      </x:c>
      <x:c r="D7" t="str">
        <x:v>T-103</x:v>
      </x:c>
      <x:c r="E7" t="str">
        <x:v>NON_COMPLIANT</x:v>
      </x:c>
      <x:c r="F7" s="113" t="n">
        <x:v>46556</x:v>
      </x:c>
      <x:c r="G7" s="113" t="n">
        <x:v>46394</x:v>
      </x:c>
      <x:c r="H7" s="113" t="n">
        <x:v>46455</x:v>
      </x:c>
      <x:c r="I7" s="63" t="str">
        <x:v>/documents/drivers/DRV-006_CDL.pdf</x:v>
      </x:c>
      <x:c r="J7" s="63" t="str">
        <x:v>/documents/drivers/DRV-006_MVR.pdf</x:v>
      </x:c>
      <x:c r="K7" s="63" t="str">
        <x:v>/documents/drivers/DRV-006_MEDICAL.pdf</x:v>
      </x:c>
      <x:c r="L7" s="63" t="str">
        <x:v>/documents/drivers/DRV-006_W9.pdf</x:v>
      </x:c>
      <x:c r="M7" s="63" t="str">
        <x:v>/documents/drivers/DRV-006_I9.pdf</x:v>
      </x:c>
      <x:c r="N7" s="63" t="str">
        <x:v>/documents/drivers/DRV-006_FMCSA.pdf</x:v>
      </x:c>
      <x:c r="O7" s="63" t="str">
        <x:v>/documents/drivers/DRV-006_BANK_INFO.pdf</x:v>
      </x:c>
      <x:c r="P7" s="63" t="str">
        <x:v>⚠️ TRUCK NEEDS SERVICE</x:v>
      </x:c>
    </x:row>
    <x:row r="8">
      <x:c r="A8" t="str">
        <x:v>DRV-007</x:v>
      </x:c>
      <x:c r="B8" t="str">
        <x:v>Sofia Gomez</x:v>
      </x:c>
      <x:c r="C8" t="str">
        <x:v>/drivers/DRV-007.jpg</x:v>
      </x:c>
      <x:c r="D8" t="str">
        <x:v>T-111</x:v>
      </x:c>
      <x:c r="E8" t="str">
        <x:v>NON_COMPLIANT</x:v>
      </x:c>
      <x:c r="F8" s="113" t="n">
        <x:v>46530</x:v>
      </x:c>
      <x:c r="G8" s="113" t="n">
        <x:v>46469</x:v>
      </x:c>
      <x:c r="H8" s="113" t="n">
        <x:v>46456</x:v>
      </x:c>
      <x:c r="I8" s="63" t="str">
        <x:v>/documents/drivers/DRV-007_CDL.pdf</x:v>
      </x:c>
      <x:c r="J8" s="63" t="str">
        <x:v>/documents/drivers/DRV-007_MVR.pdf</x:v>
      </x:c>
      <x:c r="K8" s="63" t="str">
        <x:v>/documents/drivers/DRV-007_MEDICAL.pdf</x:v>
      </x:c>
      <x:c r="L8" s="63" t="str">
        <x:v>/documents/drivers/DRV-007_W9.pdf</x:v>
      </x:c>
      <x:c r="M8" s="63" t="str">
        <x:v>/documents/drivers/DRV-007_I9.pdf</x:v>
      </x:c>
      <x:c r="N8" s="63" t="str">
        <x:v>/documents/drivers/DRV-007_FMCSA.pdf</x:v>
      </x:c>
      <x:c r="O8" s="63" t="str">
        <x:v>/documents/drivers/DRV-007_BANK_INFO.pdf</x:v>
      </x:c>
      <x:c r="P8" s="63" t="str">
        <x:v>READY</x:v>
      </x:c>
    </x:row>
    <x:row r="9">
      <x:c r="A9" t="str">
        <x:v>DRV-008</x:v>
      </x:c>
      <x:c r="B9" t="str">
        <x:v>Liam Smith</x:v>
      </x:c>
      <x:c r="C9" t="str">
        <x:v>/drivers/DRV-008.jpg</x:v>
      </x:c>
      <x:c r="D9" t="str">
        <x:v>T-106</x:v>
      </x:c>
      <x:c r="E9" t="str">
        <x:v>NON_COMPLIANT</x:v>
      </x:c>
      <x:c r="F9" s="113" t="n">
        <x:v>46620</x:v>
      </x:c>
      <x:c r="G9" s="113" t="n">
        <x:v>46670</x:v>
      </x:c>
      <x:c r="H9" s="113" t="n">
        <x:v>46452</x:v>
      </x:c>
      <x:c r="I9" s="63" t="str">
        <x:v>/documents/drivers/DRV-008_CDL.pdf</x:v>
      </x:c>
      <x:c r="J9" s="63" t="str">
        <x:v>/documents/drivers/DRV-008_MVR.pdf</x:v>
      </x:c>
      <x:c r="K9" s="63" t="str">
        <x:v>/documents/drivers/DRV-008_MEDICAL.pdf</x:v>
      </x:c>
      <x:c r="L9" s="63" t="str">
        <x:v>/documents/drivers/DRV-008_W9.pdf</x:v>
      </x:c>
      <x:c r="M9" s="63" t="str">
        <x:v>/documents/drivers/DRV-008_I9.pdf</x:v>
      </x:c>
      <x:c r="N9" s="63" t="str">
        <x:v>/documents/drivers/DRV-008_FMCSA.pdf</x:v>
      </x:c>
      <x:c r="O9" s="63" t="str">
        <x:v>/documents/drivers/DRV-008_BANK_INFO.pdf</x:v>
      </x:c>
      <x:c r="P9" s="63" t="str">
        <x:v>⚠️ TRUCK NEEDS SERVICE</x:v>
      </x:c>
    </x:row>
    <x:row r="10">
      <x:c r="A10" t="str">
        <x:v>DRV-009</x:v>
      </x:c>
      <x:c r="B10" t="str">
        <x:v>Emma Brown</x:v>
      </x:c>
      <x:c r="C10" t="str">
        <x:v>/drivers/DRV-009.jpg</x:v>
      </x:c>
      <x:c r="D10" t="str">
        <x:v>T-109</x:v>
      </x:c>
      <x:c r="E10" t="str">
        <x:v>NON_COMPLIANT</x:v>
      </x:c>
      <x:c r="F10" s="113" t="n">
        <x:v>46424</x:v>
      </x:c>
      <x:c r="G10" s="113" t="n">
        <x:v>46645</x:v>
      </x:c>
      <x:c r="H10" s="113" t="n">
        <x:v>46451</x:v>
      </x:c>
      <x:c r="I10" s="63" t="str">
        <x:v>/documents/drivers/DRV-009_CDL.pdf</x:v>
      </x:c>
      <x:c r="J10" s="63" t="str">
        <x:v>/documents/drivers/DRV-009_MVR.pdf</x:v>
      </x:c>
      <x:c r="K10" s="63" t="str">
        <x:v>/documents/drivers/DRV-009_MEDICAL.pdf</x:v>
      </x:c>
      <x:c r="L10" s="63" t="str">
        <x:v>/documents/drivers/DRV-009_W9.pdf</x:v>
      </x:c>
      <x:c r="M10" s="63" t="str">
        <x:v>/documents/drivers/DRV-009_I9.pdf</x:v>
      </x:c>
      <x:c r="N10" s="63" t="str">
        <x:v>/documents/drivers/DRV-009_FMCSA.pdf</x:v>
      </x:c>
      <x:c r="O10" s="63" t="str">
        <x:v>/documents/drivers/DRV-009_BANK_INFO.pdf</x:v>
      </x:c>
      <x:c r="P10" s="63" t="str">
        <x:v>⚠️ TRUCK NEEDS SERVICE</x:v>
      </x:c>
    </x:row>
    <x:row r="11">
      <x:c r="A11" t="str">
        <x:v>DRV-010</x:v>
      </x:c>
      <x:c r="B11" t="str">
        <x:v>Noah Wilson</x:v>
      </x:c>
      <x:c r="C11" t="str">
        <x:v>/drivers/DRV-010.jpg</x:v>
      </x:c>
      <x:c r="D11" t="str">
        <x:v>T-105</x:v>
      </x:c>
      <x:c r="E11" t="str">
        <x:v>COMPLIANT</x:v>
      </x:c>
      <x:c r="F11" s="113" t="n">
        <x:v>46647</x:v>
      </x:c>
      <x:c r="G11" s="113" t="n">
        <x:v>46752</x:v>
      </x:c>
      <x:c r="H11" s="113" t="n">
        <x:v>46481</x:v>
      </x:c>
      <x:c r="I11" s="63" t="str">
        <x:v>/documents/drivers/DRV-010_CDL.pdf</x:v>
      </x:c>
      <x:c r="J11" s="63" t="str">
        <x:v>/documents/drivers/DRV-010_MVR.pdf</x:v>
      </x:c>
      <x:c r="K11" s="63" t="str">
        <x:v>/documents/drivers/DRV-010_MEDICAL.pdf</x:v>
      </x:c>
      <x:c r="L11" s="63" t="str">
        <x:v>/documents/drivers/DRV-010_W9.pdf</x:v>
      </x:c>
      <x:c r="M11" s="63" t="str">
        <x:v>/documents/drivers/DRV-010_I9.pdf</x:v>
      </x:c>
      <x:c r="N11" s="63" t="str">
        <x:v>/documents/drivers/DRV-010_FMCSA.pdf</x:v>
      </x:c>
      <x:c r="O11" s="63" t="str">
        <x:v>/documents/drivers/DRV-010_BANK_INFO.pdf</x:v>
      </x:c>
      <x:c r="P11" s="63" t="str">
        <x:v>READY</x:v>
      </x:c>
    </x:row>
    <x:row r="12">
      <x:c r="A12" t="str">
        <x:v>DRV-011</x:v>
      </x:c>
      <x:c r="B12" t="str">
        <x:v>Olivia Lee</x:v>
      </x:c>
      <x:c r="C12" t="str">
        <x:v>/drivers/DRV-011.jpg</x:v>
      </x:c>
      <x:c r="D12" t="str">
        <x:v>T-114</x:v>
      </x:c>
      <x:c r="E12" t="str">
        <x:v>COMPLIANT</x:v>
      </x:c>
      <x:c r="F12" s="113" t="n">
        <x:v>46566</x:v>
      </x:c>
      <x:c r="G12" s="113" t="n">
        <x:v>46499</x:v>
      </x:c>
      <x:c r="H12" s="113" t="n">
        <x:v>46484</x:v>
      </x:c>
      <x:c r="I12" s="63" t="str">
        <x:v>/documents/drivers/DRV-011_CDL.pdf</x:v>
      </x:c>
      <x:c r="J12" s="63" t="str">
        <x:v>/documents/drivers/DRV-011_MVR.pdf</x:v>
      </x:c>
      <x:c r="K12" s="63" t="str">
        <x:v>/documents/drivers/DRV-011_MEDICAL.pdf</x:v>
      </x:c>
      <x:c r="L12" s="63" t="str">
        <x:v>/documents/drivers/DRV-011_W9.pdf</x:v>
      </x:c>
      <x:c r="M12" s="63" t="str">
        <x:v>/documents/drivers/DRV-011_I9.pdf</x:v>
      </x:c>
      <x:c r="N12" s="63" t="str">
        <x:v>/documents/drivers/DRV-011_FMCSA.pdf</x:v>
      </x:c>
      <x:c r="O12" s="63" t="str">
        <x:v>/documents/drivers/DRV-011_BANK_INFO.pdf</x:v>
      </x:c>
      <x:c r="P12" s="63" t="str">
        <x:v>READY</x:v>
      </x:c>
    </x:row>
    <x:row r="13">
      <x:c r="A13" t="str">
        <x:v>DRV-012</x:v>
      </x:c>
      <x:c r="B13" t="str">
        <x:v>Robert Johnson</x:v>
      </x:c>
      <x:c r="C13" t="str">
        <x:v>/drivers/DRV-012.jpg</x:v>
      </x:c>
      <x:c r="D13" t="str">
        <x:v>T-106</x:v>
      </x:c>
      <x:c r="E13" t="str">
        <x:v>NON_COMPLIANT</x:v>
      </x:c>
      <x:c r="F13" s="113" t="n">
        <x:v>46706</x:v>
      </x:c>
      <x:c r="G13" s="113" t="n">
        <x:v>46609</x:v>
      </x:c>
      <x:c r="H13" s="113" t="n">
        <x:v>46519</x:v>
      </x:c>
      <x:c r="I13" s="63" t="str">
        <x:v>/documents/drivers/DRV-012_CDL.pdf</x:v>
      </x:c>
      <x:c r="J13" s="63" t="str">
        <x:v>/documents/drivers/DRV-012_MVR.pdf</x:v>
      </x:c>
      <x:c r="K13" s="63" t="str">
        <x:v>/documents/drivers/DRV-012_MEDICAL.pdf</x:v>
      </x:c>
      <x:c r="L13" s="63" t="str">
        <x:v>/documents/drivers/DRV-012_W9.pdf</x:v>
      </x:c>
      <x:c r="M13" s="63" t="str">
        <x:v>/documents/drivers/DRV-012_I9.pdf</x:v>
      </x:c>
      <x:c r="N13" s="63" t="str">
        <x:v>/documents/drivers/DRV-012_FMCSA.pdf</x:v>
      </x:c>
      <x:c r="O13" s="63" t="str">
        <x:v>/documents/drivers/DRV-012_BANK_INFO.pdf</x:v>
      </x:c>
      <x:c r="P13" s="63" t="str">
        <x:v>READY</x:v>
      </x:c>
    </x:row>
  </x:sheetData>
  <x:pageMargins left="0.7" right="0.7" top="0.75" bottom="0.75" header="0.3" footer="0.3"/>
  <x:tableParts count="1">
    <x:tablePart xmlns:r="http://schemas.openxmlformats.org/officeDocument/2006/relationships" r:id="Rfc809b2c02b144c4"/>
  </x:tableParts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5" style="24" customWidth="1"/>
    <x:col min="2" max="2" width="11" style="24" customWidth="1"/>
    <x:col min="3" max="3" width="14" style="24" customWidth="1"/>
    <x:col min="4" max="4" width="11" style="24" customWidth="1"/>
    <x:col min="5" max="5" width="18" style="24" customWidth="1"/>
    <x:col min="6" max="6" width="13" style="24" customWidth="1"/>
    <x:col min="7" max="7" width="14" style="24" customWidth="1"/>
    <x:col min="8" max="8" width="10" style="24" customWidth="1"/>
    <x:col min="9" max="9" width="19" style="24" customWidth="1"/>
    <x:col min="10" max="10" width="15" style="24" customWidth="1"/>
    <x:col min="11" max="11" width="34" style="24" customWidth="1"/>
    <x:col min="12" max="12" width="20" style="24" customWidth="1"/>
  </x:cols>
  <x:sheetData>
    <x:row r="1">
      <x:c r="A1" s="66" t="inlineStr">
        <x:is>
          <x:t xml:space="preserve">Settlement ID</x:t>
        </x:is>
      </x:c>
      <x:c r="B1" s="66" t="inlineStr">
        <x:is>
          <x:t xml:space="preserve">Driver ID</x:t>
        </x:is>
      </x:c>
      <x:c r="C1" s="66" t="inlineStr">
        <x:is>
          <x:t xml:space="preserve">Full Name</x:t>
        </x:is>
      </x:c>
      <x:c r="D1" s="66" t="inlineStr">
        <x:is>
          <x:t xml:space="preserve">Gross Pay</x:t>
        </x:is>
      </x:c>
      <x:c r="E1" s="66" t="inlineStr">
        <x:is>
          <x:t xml:space="preserve">Total Deductions</x:t>
        </x:is>
      </x:c>
      <x:c r="F1" s="66" t="inlineStr">
        <x:is>
          <x:t xml:space="preserve">Fuel Reimb.</x:t>
        </x:is>
      </x:c>
      <x:c r="G1" s="66" t="inlineStr">
        <x:is>
          <x:t xml:space="preserve">Net Pay</x:t>
        </x:is>
      </x:c>
      <x:c r="H1" s="66" t="inlineStr">
        <x:is>
          <x:t xml:space="preserve">Status</x:t>
        </x:is>
      </x:c>
      <x:c r="I1" s="66" t="inlineStr">
        <x:is>
          <x:t xml:space="preserve">Pending Reason</x:t>
        </x:is>
      </x:c>
      <x:c r="J1" s="66" t="inlineStr">
        <x:is>
          <x:t xml:space="preserve">Export Status</x:t>
        </x:is>
      </x:c>
      <x:c r="K1" s="66" t="inlineStr">
        <x:is>
          <x:t xml:space="preserve">Settlement URL</x:t>
        </x:is>
      </x:c>
      <x:c r="L1" s="66" t="inlineStr">
        <x:is>
          <x:t xml:space="preserve">Driver Photo URL</x:t>
        </x:is>
      </x:c>
    </x:row>
    <x:row r="2">
      <x:c r="A2" t="inlineStr">
        <x:is>
          <x:t xml:space="preserve">STL-001</x:t>
        </x:is>
      </x:c>
      <x:c r="B2" t="inlineStr">
        <x:is>
          <x:t xml:space="preserve">DRV-001</x:t>
        </x:is>
      </x:c>
      <x:c r="C2" t="inlineStr">
        <x:is>
          <x:t xml:space="preserve">John Carter</x:t>
        </x:is>
      </x:c>
      <x:c r="D2" s="64">
        <x:f>D2+E2</x:f>
      </x:c>
      <x:c r="E2" s="64" t="n">
        <x:f>SUM(G2:S2)</x:f>
        <x:v>0</x:v>
      </x:c>
      <x:c r="F2" s="64" t="n">
        <x:v>0</x:v>
      </x:c>
      <x:c r="G2" s="64" t="n">
        <x:f>F2-T2+U2</x:f>
        <x:v>0</x:v>
      </x:c>
      <x:c r="H2" t="inlineStr">
        <x:is>
          <x:t xml:space="preserve">PAID</x:t>
        </x:is>
      </x:c>
      <x:c r="J2" t="inlineStr">
        <x:is>
          <x:t xml:space="preserve">READY</x:t>
        </x:is>
      </x:c>
      <x:c r="K2" t="inlineStr">
        <x:is>
          <x:t xml:space="preserve">/documents/settlements/DRV-001_SETTLEMENT.pdf</x:t>
        </x:is>
      </x:c>
      <x:c r="L2" t="inlineStr">
        <x:is>
          <x:t xml:space="preserve">/drivers/DRV-001.jpg</x:t>
        </x:is>
      </x:c>
    </x:row>
    <x:row r="3">
      <x:c r="A3" t="inlineStr">
        <x:is>
          <x:t xml:space="preserve">STL-002</x:t>
        </x:is>
      </x:c>
      <x:c r="B3" t="inlineStr">
        <x:is>
          <x:t xml:space="preserve">DRV-002</x:t>
        </x:is>
      </x:c>
      <x:c r="C3" t="inlineStr">
        <x:is>
          <x:t xml:space="preserve">Maria Lopez</x:t>
        </x:is>
      </x:c>
      <x:c r="D3" s="64">
        <x:f>D3+E3</x:f>
      </x:c>
      <x:c r="E3" s="64" t="n">
        <x:f>SUM(G3:S3)</x:f>
        <x:v>120</x:v>
      </x:c>
      <x:c r="F3" s="64" t="n">
        <x:v>120</x:v>
      </x:c>
      <x:c r="G3" s="64" t="n">
        <x:f>F3-T3+U3</x:f>
        <x:v>120</x:v>
      </x:c>
      <x:c r="H3" t="inlineStr">
        <x:is>
          <x:t xml:space="preserve">PENDING</x:t>
        </x:is>
      </x:c>
      <x:c r="I3" t="inlineStr">
        <x:is>
          <x:t xml:space="preserve">Awaiting Receipts</x:t>
        </x:is>
      </x:c>
      <x:c r="J3" t="inlineStr">
        <x:is>
          <x:t xml:space="preserve">READY</x:t>
        </x:is>
      </x:c>
      <x:c r="K3" t="inlineStr">
        <x:is>
          <x:t xml:space="preserve">/documents/settlements/DRV-002_SETTLEMENT.pdf</x:t>
        </x:is>
      </x:c>
      <x:c r="L3" t="inlineStr">
        <x:is>
          <x:t xml:space="preserve">/drivers/DRV-002.jpg</x:t>
        </x:is>
      </x:c>
    </x:row>
    <x:row r="4">
      <x:c r="A4" t="inlineStr">
        <x:is>
          <x:t xml:space="preserve">STL-003</x:t>
        </x:is>
      </x:c>
      <x:c r="B4" t="inlineStr">
        <x:is>
          <x:t xml:space="preserve">DRV-003</x:t>
        </x:is>
      </x:c>
      <x:c r="C4" t="inlineStr">
        <x:is>
          <x:t xml:space="preserve">Alex Kim</x:t>
        </x:is>
      </x:c>
      <x:c r="D4" s="64">
        <x:f>D4+E4</x:f>
      </x:c>
      <x:c r="E4" s="64" t="n">
        <x:f>SUM(G4:S4)</x:f>
        <x:v>0</x:v>
      </x:c>
      <x:c r="F4" s="64" t="n">
        <x:v>0</x:v>
      </x:c>
      <x:c r="G4" s="64" t="n">
        <x:f>F4-T4+U4</x:f>
        <x:v>0</x:v>
      </x:c>
      <x:c r="H4" t="inlineStr">
        <x:is>
          <x:t xml:space="preserve">PAID</x:t>
        </x:is>
      </x:c>
      <x:c r="J4" t="inlineStr">
        <x:is>
          <x:t xml:space="preserve">READY</x:t>
        </x:is>
      </x:c>
      <x:c r="K4" t="inlineStr">
        <x:is>
          <x:t xml:space="preserve">/documents/settlements/DRV-003_SETTLEMENT.pdf</x:t>
        </x:is>
      </x:c>
      <x:c r="L4" t="inlineStr">
        <x:is>
          <x:t xml:space="preserve">/drivers/DRV-003.jpg</x:t>
        </x:is>
      </x:c>
    </x:row>
    <x:row r="5">
      <x:c r="A5" t="inlineStr">
        <x:is>
          <x:t xml:space="preserve">STL-004</x:t>
        </x:is>
      </x:c>
      <x:c r="B5" t="inlineStr">
        <x:is>
          <x:t xml:space="preserve">DRV-004</x:t>
        </x:is>
      </x:c>
      <x:c r="C5" t="inlineStr">
        <x:is>
          <x:t xml:space="preserve">Priya Patel</x:t>
        </x:is>
      </x:c>
      <x:c r="D5" s="64">
        <x:f>D5+E5</x:f>
      </x:c>
      <x:c r="E5" s="64" t="n">
        <x:f>SUM(G5:S5)</x:f>
        <x:v>150</x:v>
      </x:c>
      <x:c r="F5" s="64" t="n">
        <x:v>150</x:v>
      </x:c>
      <x:c r="G5" s="64" t="n">
        <x:f>F5-T5+U5</x:f>
        <x:v>150</x:v>
      </x:c>
      <x:c r="H5" t="inlineStr">
        <x:is>
          <x:t xml:space="preserve">PENDING</x:t>
        </x:is>
      </x:c>
      <x:c r="I5" t="inlineStr">
        <x:is>
          <x:t xml:space="preserve">Awaiting Receipts</x:t>
        </x:is>
      </x:c>
      <x:c r="J5" t="inlineStr">
        <x:is>
          <x:t xml:space="preserve">READY</x:t>
        </x:is>
      </x:c>
      <x:c r="K5" t="inlineStr">
        <x:is>
          <x:t xml:space="preserve">/documents/settlements/DRV-004_SETTLEMENT.pdf</x:t>
        </x:is>
      </x:c>
      <x:c r="L5" t="inlineStr">
        <x:is>
          <x:t xml:space="preserve">/drivers/DRV-004.jpg</x:t>
        </x:is>
      </x:c>
    </x:row>
    <x:row r="6">
      <x:c r="A6" t="inlineStr">
        <x:is>
          <x:t xml:space="preserve">STL-005</x:t>
        </x:is>
      </x:c>
      <x:c r="B6" t="inlineStr">
        <x:is>
          <x:t xml:space="preserve">DRV-005</x:t>
        </x:is>
      </x:c>
      <x:c r="C6" t="inlineStr">
        <x:is>
          <x:t xml:space="preserve">Kenji Tanaka</x:t>
        </x:is>
      </x:c>
      <x:c r="D6" s="64">
        <x:f>D6+E6</x:f>
      </x:c>
      <x:c r="E6" s="64" t="n">
        <x:f>SUM(G6:S6)</x:f>
        <x:v>0</x:v>
      </x:c>
      <x:c r="F6" s="64" t="n">
        <x:v>0</x:v>
      </x:c>
      <x:c r="G6" s="64" t="n">
        <x:f>F6-T6+U6</x:f>
        <x:v>0</x:v>
      </x:c>
      <x:c r="H6" t="inlineStr">
        <x:is>
          <x:t xml:space="preserve">PENDING</x:t>
        </x:is>
      </x:c>
      <x:c r="I6" t="inlineStr">
        <x:is>
          <x:t xml:space="preserve">Load Verification</x:t>
        </x:is>
      </x:c>
      <x:c r="J6" t="inlineStr">
        <x:is>
          <x:t xml:space="preserve">READY</x:t>
        </x:is>
      </x:c>
      <x:c r="K6" t="inlineStr">
        <x:is>
          <x:t xml:space="preserve">/documents/settlements/DRV-005_SETTLEMENT.pdf</x:t>
        </x:is>
      </x:c>
      <x:c r="L6" t="inlineStr">
        <x:is>
          <x:t xml:space="preserve">/drivers/DRV-005.jpg</x:t>
        </x:is>
      </x:c>
    </x:row>
    <x:row r="7">
      <x:c r="A7" t="inlineStr">
        <x:is>
          <x:t xml:space="preserve">STL-006</x:t>
        </x:is>
      </x:c>
      <x:c r="B7" t="inlineStr">
        <x:is>
          <x:t xml:space="preserve">DRV-006</x:t>
        </x:is>
      </x:c>
      <x:c r="C7" t="inlineStr">
        <x:is>
          <x:t xml:space="preserve">Marcus Chen</x:t>
        </x:is>
      </x:c>
      <x:c r="D7" s="64">
        <x:f>D7+E7</x:f>
      </x:c>
      <x:c r="E7" s="64" t="n">
        <x:f>SUM(G7:S7)</x:f>
        <x:v>0</x:v>
      </x:c>
      <x:c r="F7" s="64" t="n">
        <x:v>0</x:v>
      </x:c>
      <x:c r="G7" s="64" t="n">
        <x:f>F7-T7+U7</x:f>
        <x:v>0</x:v>
      </x:c>
      <x:c r="H7" t="inlineStr">
        <x:is>
          <x:t xml:space="preserve">PAID</x:t>
        </x:is>
      </x:c>
      <x:c r="J7" t="inlineStr">
        <x:is>
          <x:t xml:space="preserve">READY</x:t>
        </x:is>
      </x:c>
      <x:c r="K7" t="inlineStr">
        <x:is>
          <x:t xml:space="preserve">/documents/settlements/DRV-006_SETTLEMENT.pdf</x:t>
        </x:is>
      </x:c>
      <x:c r="L7" t="inlineStr">
        <x:is>
          <x:t xml:space="preserve">/drivers/DRV-006.jpg</x:t>
        </x:is>
      </x:c>
    </x:row>
    <x:row r="8">
      <x:c r="A8" t="inlineStr">
        <x:is>
          <x:t xml:space="preserve">STL-007</x:t>
        </x:is>
      </x:c>
      <x:c r="B8" t="inlineStr">
        <x:is>
          <x:t xml:space="preserve">DRV-007</x:t>
        </x:is>
      </x:c>
      <x:c r="C8" t="inlineStr">
        <x:is>
          <x:t xml:space="preserve">Sofia Gomez</x:t>
        </x:is>
      </x:c>
      <x:c r="D8" s="64">
        <x:f>D8+E8</x:f>
      </x:c>
      <x:c r="E8" s="64" t="n">
        <x:f>SUM(G8:S8)</x:f>
        <x:v>0</x:v>
      </x:c>
      <x:c r="F8" s="64" t="n">
        <x:v>0</x:v>
      </x:c>
      <x:c r="G8" s="64" t="n">
        <x:f>F8-T8+U8</x:f>
        <x:v>0</x:v>
      </x:c>
      <x:c r="H8" t="inlineStr">
        <x:is>
          <x:t xml:space="preserve">PAID</x:t>
        </x:is>
      </x:c>
      <x:c r="J8" t="inlineStr">
        <x:is>
          <x:t xml:space="preserve">READY</x:t>
        </x:is>
      </x:c>
      <x:c r="K8" t="inlineStr">
        <x:is>
          <x:t xml:space="preserve">/documents/settlements/DRV-007_SETTLEMENT.pdf</x:t>
        </x:is>
      </x:c>
      <x:c r="L8" t="inlineStr">
        <x:is>
          <x:t xml:space="preserve">/drivers/DRV-007.jpg</x:t>
        </x:is>
      </x:c>
    </x:row>
    <x:row r="9">
      <x:c r="A9" t="inlineStr">
        <x:is>
          <x:t xml:space="preserve">STL-008</x:t>
        </x:is>
      </x:c>
      <x:c r="B9" t="inlineStr">
        <x:is>
          <x:t xml:space="preserve">DRV-008</x:t>
        </x:is>
      </x:c>
      <x:c r="C9" t="inlineStr">
        <x:is>
          <x:t xml:space="preserve">Liam Smith</x:t>
        </x:is>
      </x:c>
      <x:c r="D9" s="64">
        <x:f>D9+E9</x:f>
      </x:c>
      <x:c r="E9" s="64" t="n">
        <x:f>SUM(G9:S9)</x:f>
        <x:v>0</x:v>
      </x:c>
      <x:c r="F9" s="64" t="n">
        <x:v>0</x:v>
      </x:c>
      <x:c r="G9" s="64" t="n">
        <x:f>F9-T9+U9</x:f>
        <x:v>0</x:v>
      </x:c>
      <x:c r="H9" t="inlineStr">
        <x:is>
          <x:t xml:space="preserve">PENDING</x:t>
        </x:is>
      </x:c>
      <x:c r="I9" t="inlineStr">
        <x:is>
          <x:t xml:space="preserve">Load Verification</x:t>
        </x:is>
      </x:c>
      <x:c r="J9" t="inlineStr">
        <x:is>
          <x:t xml:space="preserve">READY</x:t>
        </x:is>
      </x:c>
      <x:c r="K9" t="inlineStr">
        <x:is>
          <x:t xml:space="preserve">/documents/settlements/DRV-008_SETTLEMENT.pdf</x:t>
        </x:is>
      </x:c>
      <x:c r="L9" t="inlineStr">
        <x:is>
          <x:t xml:space="preserve">/drivers/DRV-008.jpg</x:t>
        </x:is>
      </x:c>
    </x:row>
    <x:row r="10">
      <x:c r="A10" t="inlineStr">
        <x:is>
          <x:t xml:space="preserve">STL-009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s="64">
        <x:f>D10+E10</x:f>
      </x:c>
      <x:c r="E10" s="64" t="n">
        <x:f>SUM(G10:S10)</x:f>
        <x:v>0</x:v>
      </x:c>
      <x:c r="F10" s="64" t="n">
        <x:v>0</x:v>
      </x:c>
      <x:c r="G10" s="64" t="n">
        <x:f>F10-T10+U10</x:f>
        <x:v>0</x:v>
      </x:c>
      <x:c r="H10" t="inlineStr">
        <x:is>
          <x:t xml:space="preserve">PAID</x:t>
        </x:is>
      </x:c>
      <x:c r="J10" t="inlineStr">
        <x:is>
          <x:t xml:space="preserve">READY</x:t>
        </x:is>
      </x:c>
      <x:c r="K10" t="inlineStr">
        <x:is>
          <x:t xml:space="preserve">/documents/settlements/DRV-009_SETTLEMENT.pdf</x:t>
        </x:is>
      </x:c>
      <x:c r="L10" t="inlineStr">
        <x:is>
          <x:t xml:space="preserve">/drivers/DRV-009.jpg</x:t>
        </x:is>
      </x:c>
    </x:row>
    <x:row r="11">
      <x:c r="A11" t="inlineStr">
        <x:is>
          <x:t xml:space="preserve">STL-010</x:t>
        </x:is>
      </x:c>
      <x:c r="B11" t="inlineStr">
        <x:is>
          <x:t xml:space="preserve">DRV-010</x:t>
        </x:is>
      </x:c>
      <x:c r="C11" t="inlineStr">
        <x:is>
          <x:t xml:space="preserve">Noah Wilson</x:t>
        </x:is>
      </x:c>
      <x:c r="D11" s="64">
        <x:f>D11+E11</x:f>
      </x:c>
      <x:c r="E11" s="64" t="n">
        <x:f>SUM(G11:S11)</x:f>
        <x:v>0</x:v>
      </x:c>
      <x:c r="F11" s="64" t="n">
        <x:v>0</x:v>
      </x:c>
      <x:c r="G11" s="64" t="n">
        <x:f>F11-T11+U11</x:f>
        <x:v>0</x:v>
      </x:c>
      <x:c r="H11" t="inlineStr">
        <x:is>
          <x:t xml:space="preserve">PAID</x:t>
        </x:is>
      </x:c>
      <x:c r="J11" t="inlineStr">
        <x:is>
          <x:t xml:space="preserve">READY</x:t>
        </x:is>
      </x:c>
      <x:c r="K11" t="inlineStr">
        <x:is>
          <x:t xml:space="preserve">/documents/settlements/DRV-010_SETTLEMENT.pdf</x:t>
        </x:is>
      </x:c>
      <x:c r="L11" t="inlineStr">
        <x:is>
          <x:t xml:space="preserve">/drivers/DRV-010.jpg</x:t>
        </x:is>
      </x:c>
    </x:row>
    <x:row r="12">
      <x:c r="A12" t="inlineStr">
        <x:is>
          <x:t xml:space="preserve">STL-011</x:t>
        </x:is>
      </x:c>
      <x:c r="B12" t="inlineStr">
        <x:is>
          <x:t xml:space="preserve">DRV-011</x:t>
        </x:is>
      </x:c>
      <x:c r="C12" t="inlineStr">
        <x:is>
          <x:t xml:space="preserve">Olivia Lee</x:t>
        </x:is>
      </x:c>
      <x:c r="D12" s="64">
        <x:f>D12+E12</x:f>
      </x:c>
      <x:c r="E12" s="64" t="n">
        <x:f>SUM(G12:S12)</x:f>
        <x:v>0</x:v>
      </x:c>
      <x:c r="F12" s="64" t="n">
        <x:v>0</x:v>
      </x:c>
      <x:c r="G12" s="64" t="n">
        <x:f>F12-T12+U12</x:f>
        <x:v>0</x:v>
      </x:c>
      <x:c r="H12" t="inlineStr">
        <x:is>
          <x:t xml:space="preserve">PAID</x:t>
        </x:is>
      </x:c>
      <x:c r="J12" t="inlineStr">
        <x:is>
          <x:t xml:space="preserve">READY</x:t>
        </x:is>
      </x:c>
      <x:c r="K12" t="inlineStr">
        <x:is>
          <x:t xml:space="preserve">/documents/settlements/DRV-011_SETTLEMENT.pdf</x:t>
        </x:is>
      </x:c>
      <x:c r="L12" t="inlineStr">
        <x:is>
          <x:t xml:space="preserve">/drivers/DRV-011.jpg</x:t>
        </x:is>
      </x:c>
    </x:row>
    <x:row r="13">
      <x:c r="A13" t="inlineStr">
        <x:is>
          <x:t xml:space="preserve">STL-012</x:t>
        </x:is>
      </x:c>
      <x:c r="B13" t="inlineStr">
        <x:is>
          <x:t xml:space="preserve">DRV-012</x:t>
        </x:is>
      </x:c>
      <x:c r="C13" t="inlineStr">
        <x:is>
          <x:t xml:space="preserve">Robert Johnson</x:t>
        </x:is>
      </x:c>
      <x:c r="D13" s="64">
        <x:f>D13+E13</x:f>
      </x:c>
      <x:c r="E13" s="64" t="n">
        <x:f>SUM(G13:S13)</x:f>
        <x:v>0</x:v>
      </x:c>
      <x:c r="F13" s="64" t="n">
        <x:v>0</x:v>
      </x:c>
      <x:c r="G13" s="64" t="n">
        <x:f>F13-T13+U13</x:f>
        <x:v>0</x:v>
      </x:c>
      <x:c r="H13" t="inlineStr">
        <x:is>
          <x:t xml:space="preserve">PENDING</x:t>
        </x:is>
      </x:c>
      <x:c r="I13" t="inlineStr">
        <x:is>
          <x:t xml:space="preserve">Document Review</x:t>
        </x:is>
      </x:c>
      <x:c r="J13" t="inlineStr">
        <x:is>
          <x:t xml:space="preserve">READY</x:t>
        </x:is>
      </x:c>
      <x:c r="K13" t="inlineStr">
        <x:is>
          <x:t xml:space="preserve">/documents/settlements/DRV-012_SETTLEMENT.pdf</x:t>
        </x:is>
      </x:c>
      <x:c r="L13" t="inlineStr">
        <x:is>
          <x:t xml:space="preserve">/drivers/DRV-012.jpg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9300b16803741d3"/>
  </x:tableParts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0" style="24" customWidth="1"/>
    <x:col min="2" max="2" width="11" style="24" customWidth="1"/>
    <x:col min="3" max="3" width="14" style="24" customWidth="1"/>
    <x:col min="4" max="4" width="10" style="24" customWidth="1"/>
    <x:col min="5" max="5" width="10" style="24" customWidth="1"/>
    <x:col min="6" max="6" width="14" style="24" customWidth="1"/>
    <x:col min="7" max="7" width="13" style="24" customWidth="1"/>
    <x:col min="8" max="8" width="20" style="24" customWidth="1"/>
    <x:col min="9" max="9" width="28" style="24" customWidth="1"/>
    <x:col min="10" max="10" width="23" style="24" customWidth="1"/>
    <x:col min="11" max="11" width="17" style="24" customWidth="1"/>
    <x:col min="12" max="12" width="15" style="24" customWidth="1"/>
    <x:col min="13" max="13" width="28" style="24" customWidth="1"/>
    <x:col min="14" max="14" width="16" style="24" customWidth="1"/>
    <x:col min="15" max="15" width="32" style="24" customWidth="1"/>
    <x:col min="16" max="16" width="32" style="24" customWidth="1"/>
    <x:col min="17" max="17" width="32" style="24" customWidth="1"/>
    <x:col min="18" max="18" width="32" style="24" customWidth="1"/>
    <x:col min="19" max="19" width="20" style="24" customWidth="1"/>
    <x:col min="20" max="20" width="18" style="24" customWidth="1"/>
    <x:col min="21" max="21" width="20" style="24" customWidth="1"/>
    <x:col min="22" max="22" width="22" style="24" customWidth="1"/>
    <x:col min="23" max="23" width="20" style="24" customWidth="1"/>
    <x:col min="24" max="24" width="18" style="24" customWidth="1"/>
    <x:col min="25" max="25" width="20" style="24" customWidth="1"/>
    <x:col min="26" max="26" width="16" style="24" customWidth="1"/>
    <x:col min="27" max="27" width="22" style="24" customWidth="1"/>
    <x:col min="28" max="28" width="28" style="24" customWidth="1"/>
    <x:col min="29" max="29" width="16" style="24" customWidth="1"/>
    <x:col min="30" max="30" width="12" style="24" customWidth="1"/>
    <x:col min="31" max="31" width="18" style="24" customWidth="1"/>
    <x:col min="32" max="32" width="22" style="24" customWidth="1"/>
    <x:col min="33" max="33" width="28" style="24" customWidth="1"/>
    <x:col min="34" max="34" width="16" style="24" customWidth="1"/>
    <x:col min="35" max="35" width="12" style="24" customWidth="1"/>
    <x:col min="36" max="36" width="18" style="24" customWidth="1"/>
    <x:col min="37" max="37" width="18" style="24" customWidth="1"/>
    <x:col min="38" max="38" width="14" style="24" customWidth="1"/>
    <x:col min="39" max="39" width="12" style="24" customWidth="1"/>
    <x:col min="40" max="40" width="12" style="24" customWidth="1"/>
    <x:col min="41" max="41" width="14" style="24" customWidth="1"/>
    <x:col min="42" max="42" width="20" style="24" customWidth="1"/>
    <x:col min="43" max="43" width="16" style="24" customWidth="1"/>
    <x:col min="44" max="44" width="14" style="24" customWidth="1"/>
    <x:col min="45" max="45" width="20" style="24" customWidth="1"/>
    <x:col min="46" max="46" width="14" style="24" customWidth="1"/>
    <x:col min="47" max="47" width="18" style="24" customWidth="1"/>
    <x:col min="48" max="48" width="20" style="24" customWidth="1"/>
    <x:col min="49" max="49" width="20" style="24" customWidth="1"/>
    <x:col min="50" max="50" width="22" style="24" customWidth="1"/>
    <x:col min="51" max="51" width="16" style="24" customWidth="1"/>
    <x:col min="52" max="52" width="18" style="24" customWidth="1"/>
    <x:col min="53" max="53" width="18" style="24" customWidth="1"/>
    <x:col min="54" max="54" width="14" style="24" customWidth="1"/>
    <x:col min="55" max="55" width="16" style="24" customWidth="1"/>
    <x:col min="56" max="56" width="14" style="24" customWidth="1"/>
    <x:col min="57" max="57" width="14" style="24" customWidth="1"/>
    <x:col min="58" max="58" width="16" style="24" customWidth="1"/>
    <x:col min="59" max="59" width="18" style="24" customWidth="1"/>
    <x:col min="60" max="60" width="20" style="24" customWidth="1"/>
    <x:col min="61" max="61" width="18" style="24" customWidth="1"/>
  </x:cols>
  <x:sheetData>
    <x:row r="1">
      <x:c r="A1" s="66" t="inlineStr">
        <x:is>
          <x:t xml:space="preserve">Load ID</x:t>
        </x:is>
      </x:c>
      <x:c r="B1" s="66" t="inlineStr">
        <x:is>
          <x:t xml:space="preserve">Driver ID</x:t>
        </x:is>
      </x:c>
      <x:c r="C1" s="66" t="inlineStr">
        <x:is>
          <x:t xml:space="preserve">Driver Name</x:t>
        </x:is>
      </x:c>
      <x:c r="D1" s="66" t="inlineStr">
        <x:is>
          <x:t xml:space="preserve">Asset ID</x:t>
        </x:is>
      </x:c>
      <x:c r="E1" s="66" t="inlineStr">
        <x:is>
          <x:t xml:space="preserve">Revenue</x:t>
        </x:is>
      </x:c>
      <x:c r="F1" s="66" t="inlineStr">
        <x:is>
          <x:t xml:space="preserve">Backhaul Pay</x:t>
        </x:is>
      </x:c>
      <x:c r="G1" s="66" t="inlineStr">
        <x:is>
          <x:t xml:space="preserve">Load Status</x:t>
        </x:is>
      </x:c>
      <x:c r="H1" s="66" t="inlineStr">
        <x:is>
          <x:t xml:space="preserve">Export Load Status</x:t>
        </x:is>
      </x:c>
      <x:c r="I1" s="66" t="inlineStr">
        <x:is>
          <x:t xml:space="preserve">Seal Status</x:t>
        </x:is>
      </x:c>
      <x:c r="J1" s="66" t="inlineStr">
        <x:is>
          <x:t xml:space="preserve">Seal Issue Type</x:t>
        </x:is>
      </x:c>
      <x:c r="K1" s="66" t="inlineStr">
        <x:is>
          <x:t xml:space="preserve">Photo Required?</x:t>
        </x:is>
      </x:c>
      <x:c r="L1" s="66" t="inlineStr">
        <x:is>
          <x:t xml:space="preserve">Review Status</x:t>
        </x:is>
      </x:c>
      <x:c r="M1" s="66" t="inlineStr">
        <x:is>
          <x:t xml:space="preserve">Exception Flag</x:t>
        </x:is>
      </x:c>
      <x:c r="N1" s="66" t="inlineStr">
        <x:is>
          <x:t xml:space="preserve">Revenue Status</x:t>
        </x:is>
      </x:c>
      <x:c r="O1" s="66" t="inlineStr">
        <x:is>
          <x:t xml:space="preserve">Rate Confirmation URL</x:t>
        </x:is>
      </x:c>
      <x:c r="P1" s="66" t="inlineStr">
        <x:is>
          <x:t xml:space="preserve">BOL URL</x:t>
        </x:is>
      </x:c>
      <x:c r="Q1" s="66" t="inlineStr">
        <x:is>
          <x:t xml:space="preserve">Pickup Seal Photo URL</x:t>
        </x:is>
      </x:c>
      <x:c r="R1" s="66" t="inlineStr">
        <x:is>
          <x:t xml:space="preserve">Delivery Seal Photo URL</x:t>
        </x:is>
      </x:c>
      <x:c r="S1" s="66" t="inlineStr">
        <x:is>
          <x:t xml:space="preserve">Driver Photo URL</x:t>
        </x:is>
      </x:c>
      <x:c r="T1" s="66" t="inlineStr">
        <x:is>
          <x:t xml:space="preserve">POD Image URL</x:t>
        </x:is>
      </x:c>
      <x:c r="U1" s="66" t="inlineStr">
        <x:is>
          <x:t xml:space="preserve">Pickup Image URL</x:t>
        </x:is>
      </x:c>
      <x:c r="V1" s="66" t="inlineStr">
        <x:is>
          <x:t xml:space="preserve">Delivery Image URL</x:t>
        </x:is>
      </x:c>
      <x:c r="W1" s="66" t="inlineStr">
        <x:is>
          <x:t xml:space="preserve">Lumper Image URL</x:t>
        </x:is>
      </x:c>
      <x:c r="X1" s="66" t="inlineStr">
        <x:is>
          <x:t xml:space="preserve">Dispatcher Name</x:t>
        </x:is>
      </x:c>
      <x:c r="Y1" s="66" t="inlineStr">
        <x:is>
          <x:t xml:space="preserve">Broker Name</x:t>
        </x:is>
      </x:c>
      <x:c r="Z1" s="66" t="inlineStr">
        <x:is>
          <x:t xml:space="preserve">Broker MC Number</x:t>
        </x:is>
      </x:c>
      <x:c r="AA1" s="66" t="inlineStr">
        <x:is>
          <x:t xml:space="preserve">Shipper Name</x:t>
        </x:is>
      </x:c>
      <x:c r="AB1" s="66" t="inlineStr">
        <x:is>
          <x:t xml:space="preserve">Pickup Address</x:t>
        </x:is>
      </x:c>
      <x:c r="AC1" s="66" t="inlineStr">
        <x:is>
          <x:t xml:space="preserve">Pickup City</x:t>
        </x:is>
      </x:c>
      <x:c r="AD1" s="66" t="inlineStr">
        <x:is>
          <x:t xml:space="preserve">Pickup State</x:t>
        </x:is>
      </x:c>
      <x:c r="AE1" s="66" t="inlineStr">
        <x:is>
          <x:t xml:space="preserve">Pickup Appointment</x:t>
        </x:is>
      </x:c>
      <x:c r="AF1" s="66" t="inlineStr">
        <x:is>
          <x:t xml:space="preserve">Consignee Name</x:t>
        </x:is>
      </x:c>
      <x:c r="AG1" s="66" t="inlineStr">
        <x:is>
          <x:t xml:space="preserve">Delivery Address</x:t>
        </x:is>
      </x:c>
      <x:c r="AH1" s="66" t="inlineStr">
        <x:is>
          <x:t xml:space="preserve">Delivery City</x:t>
        </x:is>
      </x:c>
      <x:c r="AI1" s="66" t="inlineStr">
        <x:is>
          <x:t xml:space="preserve">Delivery State</x:t>
        </x:is>
      </x:c>
      <x:c r="AJ1" s="66" t="inlineStr">
        <x:is>
          <x:t xml:space="preserve">Delivery Appointment</x:t>
        </x:is>
      </x:c>
      <x:c r="AK1" s="66" t="inlineStr">
        <x:is>
          <x:t xml:space="preserve">Commodity</x:t>
        </x:is>
      </x:c>
      <x:c r="AL1" s="66" t="inlineStr">
        <x:is>
          <x:t xml:space="preserve">Weight (lbs)</x:t>
        </x:is>
      </x:c>
      <x:c r="AM1" s="66" t="inlineStr">
        <x:is>
          <x:t xml:space="preserve">Pallet Count</x:t>
        </x:is>
      </x:c>
      <x:c r="AN1" s="66" t="inlineStr">
        <x:is>
          <x:t xml:space="preserve">Piece Count</x:t>
        </x:is>
      </x:c>
      <x:c r="AO1" s="66" t="inlineStr">
        <x:is>
          <x:t xml:space="preserve">Trailer Number</x:t>
        </x:is>
      </x:c>
      <x:c r="AP1" s="66" t="inlineStr">
        <x:is>
          <x:t xml:space="preserve">Rate Confirmation Number</x:t>
        </x:is>
      </x:c>
      <x:c r="AQ1" s="66" t="inlineStr">
        <x:is>
          <x:t xml:space="preserve">BOL Number</x:t>
        </x:is>
      </x:c>
      <x:c r="AR1" s="66" t="inlineStr">
        <x:is>
          <x:t xml:space="preserve">POD Received?</x:t>
        </x:is>
      </x:c>
      <x:c r="AS1" s="66" t="inlineStr">
        <x:is>
          <x:t xml:space="preserve">POD Received Timestamp</x:t>
        </x:is>
      </x:c>
      <x:c r="AT1" s="66" t="inlineStr">
        <x:is>
          <x:t xml:space="preserve">Lumper Amount</x:t>
        </x:is>
      </x:c>
      <x:c r="AU1" s="66" t="inlineStr">
        <x:is>
          <x:t xml:space="preserve">RFID Tag ID</x:t>
        </x:is>
      </x:c>
      <x:c r="AV1" s="66" t="inlineStr">
        <x:is>
          <x:t xml:space="preserve">RFID Pickup Read Time</x:t>
        </x:is>
      </x:c>
      <x:c r="AW1" s="66" t="inlineStr">
        <x:is>
          <x:t xml:space="preserve">RFID Delivery Read Time</x:t>
        </x:is>
      </x:c>
      <x:c r="AX1" s="66" t="inlineStr">
        <x:is>
          <x:t xml:space="preserve">RFID Reader Location</x:t>
        </x:is>
      </x:c>
      <x:c r="AY1" s="66" t="inlineStr">
        <x:is>
          <x:t xml:space="preserve">RFID Scan Status</x:t>
        </x:is>
      </x:c>
      <x:c r="AZ1" s="66" t="inlineStr">
        <x:is>
          <x:t xml:space="preserve">RFID Exception</x:t>
        </x:is>
      </x:c>
      <x:c r="BA1" s="66" t="inlineStr">
        <x:is>
          <x:t xml:space="preserve">Insurance Claim ID</x:t>
        </x:is>
      </x:c>
      <x:c r="BB1" s="66" t="inlineStr">
        <x:is>
          <x:t xml:space="preserve">Claim Status</x:t>
        </x:is>
      </x:c>
      <x:c r="BC1" s="66" t="inlineStr">
        <x:is>
          <x:t xml:space="preserve">Claim Type</x:t>
        </x:is>
      </x:c>
      <x:c r="BD1" s="66" t="inlineStr">
        <x:is>
          <x:t xml:space="preserve">Date of Loss</x:t>
        </x:is>
      </x:c>
      <x:c r="BE1" s="66" t="inlineStr">
        <x:is>
          <x:t xml:space="preserve">Claim Amount</x:t>
        </x:is>
      </x:c>
      <x:c r="BF1" s="66" t="inlineStr">
        <x:is>
          <x:t xml:space="preserve">Deductible Amount</x:t>
        </x:is>
      </x:c>
      <x:c r="BG1" s="66" t="inlineStr">
        <x:is>
          <x:t xml:space="preserve">Adjuster Name</x:t>
        </x:is>
      </x:c>
      <x:c r="BH1" s="66" t="inlineStr">
        <x:is>
          <x:t xml:space="preserve">Insurer Name</x:t>
        </x:is>
      </x:c>
      <x:c r="BI1" s="66" t="inlineStr">
        <x:is>
          <x:t xml:space="preserve">Policy Number</x:t>
        </x:is>
      </x:c>
      <x:c r="BJ1" t="inlineStr">
        <x:is>
          <x:t xml:space="preserve">Origin</x:t>
        </x:is>
      </x:c>
      <x:c r="BK1" t="inlineStr">
        <x:is>
          <x:t xml:space="preserve">Destination</x:t>
        </x:is>
      </x:c>
      <x:c r="BL1" t="inlineStr">
        <x:is>
          <x:t xml:space="preserve">Pickup Date</x:t>
        </x:is>
      </x:c>
      <x:c r="BM1" t="inlineStr">
        <x:is>
          <x:t xml:space="preserve">Delivery Date</x:t>
        </x:is>
      </x:c>
      <x:c r="BN1" t="inlineStr">
        <x:is>
          <x:t xml:space="preserve">Pickup Time Window</x:t>
        </x:is>
      </x:c>
      <x:c r="BO1" t="inlineStr">
        <x:is>
          <x:t xml:space="preserve">Delivery Time Window</x:t>
        </x:is>
      </x:c>
      <x:c r="BP1" t="inlineStr">
        <x:is>
          <x:t xml:space="preserve">Total Pay</x:t>
        </x:is>
      </x:c>
      <x:c r="BQ1" t="inlineStr">
        <x:is>
          <x:t xml:space="preserve">Linehaul Rate</x:t>
        </x:is>
      </x:c>
      <x:c r="BR1" t="inlineStr">
        <x:is>
          <x:t xml:space="preserve">Fuel Surcharge</x:t>
        </x:is>
      </x:c>
      <x:c r="BS1" t="inlineStr">
        <x:is>
          <x:t xml:space="preserve">Detention Pay</x:t>
        </x:is>
      </x:c>
      <x:c r="BT1" t="inlineStr">
        <x:is>
          <x:t xml:space="preserve">Accessorial Pay</x:t>
        </x:is>
      </x:c>
      <x:c r="BU1" t="inlineStr">
        <x:is>
          <x:t xml:space="preserve">Miles</x:t>
        </x:is>
      </x:c>
      <x:c r="BV1" t="inlineStr">
        <x:is>
          <x:t xml:space="preserve">Broker Load Number</x:t>
        </x:is>
      </x:c>
      <x:c r="BW1" t="inlineStr">
        <x:is>
          <x:t xml:space="preserve">Customer PO Number</x:t>
        </x:is>
      </x:c>
      <x:c r="BX1" t="inlineStr">
        <x:is>
          <x:t xml:space="preserve">POD Status</x:t>
        </x:is>
      </x:c>
      <x:c r="BY1" t="inlineStr">
        <x:is>
          <x:t xml:space="preserve">POD URL</x:t>
        </x:is>
      </x:c>
      <x:c r="BZ1" t="inlineStr">
        <x:is>
          <x:t xml:space="preserve">POD Signed By</x:t>
        </x:is>
      </x:c>
      <x:c r="CA1" t="inlineStr">
        <x:is>
          <x:t xml:space="preserve">BOL Status</x:t>
        </x:is>
      </x:c>
      <x:c r="CB1" t="inlineStr">
        <x:is>
          <x:t xml:space="preserve">BOL Generated Date</x:t>
        </x:is>
      </x:c>
      <x:c r="CC1" t="inlineStr">
        <x:is>
          <x:t xml:space="preserve">Rate Confirmation Status</x:t>
        </x:is>
      </x:c>
      <x:c r="CD1" t="inlineStr">
        <x:is>
          <x:t xml:space="preserve">Rate Confirmation Date</x:t>
        </x:is>
      </x:c>
      <x:c r="CE1" t="inlineStr">
        <x:is>
          <x:t xml:space="preserve">RFID Trailer Tag ID</x:t>
        </x:is>
      </x:c>
      <x:c r="CF1" t="inlineStr">
        <x:is>
          <x:t xml:space="preserve">RFID Cargo Tag ID</x:t>
        </x:is>
      </x:c>
      <x:c r="CG1" t="inlineStr">
        <x:is>
          <x:t xml:space="preserve">RFID Last Scan Time</x:t>
        </x:is>
      </x:c>
      <x:c r="CH1" t="inlineStr">
        <x:is>
          <x:t xml:space="preserve">RFID Last Scan Location</x:t>
        </x:is>
      </x:c>
      <x:c r="CI1" t="inlineStr">
        <x:is>
          <x:t xml:space="preserve">Insurance Required?</x:t>
        </x:is>
      </x:c>
      <x:c r="CJ1" t="inlineStr">
        <x:is>
          <x:t xml:space="preserve">Claim Notes</x:t>
        </x:is>
      </x:c>
      <x:c r="CK1" t="inlineStr">
        <x:is>
          <x:t xml:space="preserve">Claim Reserve Amount</x:t>
        </x:is>
      </x:c>
      <x:c r="CL1" t="inlineStr">
        <x:is>
          <x:t xml:space="preserve">Estimated Claim Exposure</x:t>
        </x:is>
      </x:c>
      <x:c r="CM1" t="inlineStr">
        <x:is>
          <x:t xml:space="preserve">Insurance Coverage Type</x:t>
        </x:is>
      </x:c>
      <x:c r="CN1" t="inlineStr">
        <x:is>
          <x:t xml:space="preserve">Incident Report Linked?</x:t>
        </x:is>
      </x:c>
      <x:c r="CO1" t="inlineStr">
        <x:is>
          <x:t xml:space="preserve">Proof Bundle Complete?</x:t>
        </x:is>
      </x:c>
      <x:c r="CP1" t="inlineStr">
        <x:is>
          <x:t xml:space="preserve">Total Revenue</x:t>
        </x:is>
      </x:c>
      <x:c r="CQ1" t="inlineStr">
        <x:is>
          <x:t xml:space="preserve">Driver Pay</x:t>
        </x:is>
      </x:c>
      <x:c r="CR1" t="inlineStr">
        <x:is>
          <x:t xml:space="preserve">Settlement Hold?</x:t>
        </x:is>
      </x:c>
      <x:c r="CS1" t="inlineStr">
        <x:is>
          <x:t xml:space="preserve">Settlement Hold Reason</x:t>
        </x:is>
      </x:c>
      <x:c r="CT1" t="inlineStr">
        <x:is>
          <x:t xml:space="preserve">Proof Status</x:t>
        </x:is>
      </x:c>
      <x:c r="CU1" t="inlineStr">
        <x:is>
          <x:t xml:space="preserve">Origin State</x:t>
        </x:is>
      </x:c>
      <x:c r="CV1" t="inlineStr">
        <x:is>
          <x:t xml:space="preserve">Destination State</x:t>
        </x:is>
      </x:c>
    </x:row>
    <x:row r="2">
      <x:c r="A2" t="inlineStr">
        <x:is>
          <x:t xml:space="preserve">L-501</x:t>
        </x:is>
      </x:c>
      <x:c r="B2" t="inlineStr">
        <x:is>
          <x:t xml:space="preserve">DRV-001</x:t>
        </x:is>
      </x:c>
      <x:c r="C2" t="inlineStr">
        <x:is>
          <x:t xml:space="preserve">John Carter</x:t>
        </x:is>
      </x:c>
      <x:c r="D2" t="inlineStr">
        <x:is>
          <x:t xml:space="preserve">T-102</x:t>
        </x:is>
      </x:c>
      <x:c r="E2" s="64" t="n">
        <x:v>2000</x:v>
      </x:c>
      <x:c r="F2" s="64" t="n">
        <x:v>65</x:v>
      </x:c>
      <x:c r="G2" t="inlineStr">
        <x:is>
          <x:t xml:space="preserve">DELIVERED</x:t>
        </x:is>
      </x:c>
      <x:c r="H2" t="inlineStr">
        <x:is>
          <x:t xml:space="preserve">DELIVERED</x:t>
        </x:is>
      </x:c>
      <x:c r="I2" t="str">
        <x:f>IF(L2="","PENDING",IF(L2&lt;&gt;J2,"MISMATCH","VERIFIED"))</x:f>
        <x:v>MISMATCH</x:v>
      </x:c>
      <x:c r="J2" t="inlineStr">
        <x:is>
          <x:t xml:space="preserve">SEAL_MISMATCH</x:t>
        </x:is>
      </x:c>
      <x:c r="K2" t="inlineStr">
        <x:is>
          <x:t xml:space="preserve">YES</x:t>
        </x:is>
      </x:c>
      <x:c r="L2" t="inlineStr">
        <x:is>
          <x:t xml:space="preserve">OPEN</x:t>
        </x:is>
      </x:c>
      <x:c r="M2">
        <x:f>IF(N2="MISMATCH","SEAL_MISMATCH",IF(OR(K2="",M2=""),"PHOTO_MISSING",""))</x:f>
      </x:c>
      <x:c r="N2" t="inlineStr">
        <x:is>
          <x:t xml:space="preserve">READY</x:t>
        </x:is>
      </x:c>
      <x:c r="O2" t="inlineStr">
        <x:is>
          <x:t xml:space="preserve">/documents/loads/L-501_RC.pdf</x:t>
        </x:is>
      </x:c>
      <x:c r="P2" t="inlineStr">
        <x:is>
          <x:t xml:space="preserve">/documents/loads/L-501_BOL.pdf</x:t>
        </x:is>
      </x:c>
      <x:c r="Q2" t="inlineStr">
        <x:is>
          <x:t xml:space="preserve">/documents/loads/L-501_PICKUP_SEAL.jpg</x:t>
        </x:is>
      </x:c>
      <x:c r="R2" t="inlineStr">
        <x:is>
          <x:t xml:space="preserve">/documents/loads/L-501_DELIVERY_SEAL.jpg</x:t>
        </x:is>
      </x:c>
      <x:c r="S2" t="inlineStr">
        <x:is>
          <x:t xml:space="preserve">/drivers/DRV-001.jpg</x:t>
        </x:is>
      </x:c>
      <x:c r="T2" t="inlineStr">
        <x:is>
          <x:t xml:space="preserve">/images/pod/L-501_POD.jpg</x:t>
        </x:is>
      </x:c>
      <x:c r="U2" t="inlineStr">
        <x:is>
          <x:t xml:space="preserve">/images/pickup/L-501_PICKUP.jpg</x:t>
        </x:is>
      </x:c>
      <x:c r="V2" t="inlineStr">
        <x:is>
          <x:t xml:space="preserve">/images/delivery/L-501_DELIVERY.jpg</x:t>
        </x:is>
      </x:c>
      <x:c r="W2" t="inlineStr">
        <x:is>
          <x:t xml:space="preserve">/images/lumper/L-501_LUMPER.jpg</x:t>
        </x:is>
      </x:c>
      <x:c r="X2" t="inlineStr">
        <x:is>
          <x:t xml:space="preserve">Tina Brooks</x:t>
        </x:is>
      </x:c>
      <x:c r="Y2" t="inlineStr">
        <x:is>
          <x:t xml:space="preserve">BlueLine Logistics</x:t>
        </x:is>
      </x:c>
      <x:c r="Z2" t="inlineStr">
        <x:is>
          <x:t xml:space="preserve">MC-782104</x:t>
        </x:is>
      </x:c>
      <x:c r="AA2" t="inlineStr">
        <x:is>
          <x:t xml:space="preserve">Peachtree Foods</x:t>
        </x:is>
      </x:c>
      <x:c r="AB2" t="inlineStr">
        <x:is>
          <x:t xml:space="preserve">1450 Industrial Pkwy</x:t>
        </x:is>
      </x:c>
      <x:c r="AC2" t="inlineStr">
        <x:is>
          <x:t xml:space="preserve">Atlanta</x:t>
        </x:is>
      </x:c>
      <x:c r="AD2" t="inlineStr">
        <x:is>
          <x:t xml:space="preserve">GA</x:t>
        </x:is>
      </x:c>
      <x:c r="AE2" s="57" t="n">
        <x:v>45839.41666666666</x:v>
      </x:c>
      <x:c r="AF2" t="inlineStr">
        <x:is>
          <x:t xml:space="preserve">Desert Valley Grocers</x:t>
        </x:is>
      </x:c>
      <x:c r="AG2" t="inlineStr">
        <x:is>
          <x:t xml:space="preserve">504 Mesa Park</x:t>
        </x:is>
      </x:c>
      <x:c r="AH2" t="inlineStr">
        <x:is>
          <x:t xml:space="preserve">Phoenix</x:t>
        </x:is>
      </x:c>
      <x:c r="AI2" t="inlineStr">
        <x:is>
          <x:t xml:space="preserve">AZ</x:t>
        </x:is>
      </x:c>
      <x:c r="AJ2" s="57" t="n">
        <x:v>45842.75</x:v>
      </x:c>
      <x:c r="AK2" t="inlineStr">
        <x:is>
          <x:t xml:space="preserve">Frozen foods</x:t>
        </x:is>
      </x:c>
      <x:c r="AL2" s="68" t="n">
        <x:v>26024</x:v>
      </x:c>
      <x:c r="AM2" s="68" t="n">
        <x:v>19</x:v>
      </x:c>
      <x:c r="AN2" s="68" t="n">
        <x:v>456</x:v>
      </x:c>
      <x:c r="AO2" t="inlineStr">
        <x:is>
          <x:t xml:space="preserve">TRL-2854</x:t>
        </x:is>
      </x:c>
      <x:c r="AP2" t="inlineStr">
        <x:is>
          <x:t xml:space="preserve">RC-501-204</x:t>
        </x:is>
      </x:c>
      <x:c r="AQ2" t="inlineStr">
        <x:is>
          <x:t xml:space="preserve">BOL-501-9935</x:t>
        </x:is>
      </x:c>
      <x:c r="AR2" t="inlineStr">
        <x:is>
          <x:t xml:space="preserve">YES</x:t>
        </x:is>
      </x:c>
      <x:c r="AS2" s="57" t="n">
        <x:v>45842.79166666666</x:v>
      </x:c>
      <x:c r="AT2" s="64" t="n">
        <x:v>315</x:v>
      </x:c>
      <x:c r="AU2" t="inlineStr">
        <x:is>
          <x:t xml:space="preserve">RFID-501-65302</x:t>
        </x:is>
      </x:c>
      <x:c r="AV2" s="57" t="n">
        <x:v>45839.42152777778</x:v>
      </x:c>
      <x:c r="AW2" s="57" t="n">
        <x:v>45842.75763888889</x:v>
      </x:c>
      <x:c r="AX2" t="inlineStr">
        <x:is>
          <x:t xml:space="preserve">Atlanta Yard Gate 1</x:t>
        </x:is>
      </x:c>
      <x:c r="AY2" t="inlineStr">
        <x:is>
          <x:t xml:space="preserve">VERIFIED</x:t>
        </x:is>
      </x:c>
      <x:c r="AZ2" t="inlineStr">
        <x:is>
          <x:t xml:space="preserve"/>
        </x:is>
      </x:c>
      <x:c r="BA2" t="inlineStr">
        <x:is>
          <x:t xml:space="preserve"/>
        </x:is>
      </x:c>
      <x:c r="BB2" t="inlineStr">
        <x:is>
          <x:t xml:space="preserve">NO_CLAIM</x:t>
        </x:is>
      </x:c>
      <x:c r="BC2" t="inlineStr">
        <x:is>
          <x:t xml:space="preserve"/>
        </x:is>
      </x:c>
      <x:c r="BD2" s="55" t="n"/>
      <x:c r="BE2" s="64" t="n">
        <x:v>0</x:v>
      </x:c>
      <x:c r="BF2" s="64" t="n">
        <x:v>500</x:v>
      </x:c>
      <x:c r="BG2" t="inlineStr">
        <x:is>
          <x:t xml:space="preserve"/>
        </x:is>
      </x:c>
      <x:c r="BH2" t="inlineStr">
        <x:is>
          <x:t xml:space="preserve">Progressive Commercial</x:t>
        </x:is>
      </x:c>
      <x:c r="BI2" t="inlineStr">
        <x:is>
          <x:t xml:space="preserve">POL-660002</x:t>
        </x:is>
      </x:c>
      <x:c r="BJ2" t="inlineStr">
        <x:is>
          <x:t xml:space="preserve">Acme Distribution - Cleveland, OH</x:t>
        </x:is>
      </x:c>
      <x:c r="BK2" t="inlineStr">
        <x:is>
          <x:t xml:space="preserve">Metro Fulfillment - Dallas, TX</x:t>
        </x:is>
      </x:c>
      <x:c r="BL2" s="55" t="n">
        <x:v>46204</x:v>
      </x:c>
      <x:c r="BM2" s="55" t="n">
        <x:v>46205</x:v>
      </x:c>
      <x:c r="BN2" t="inlineStr">
        <x:is>
          <x:t xml:space="preserve">10:00-13:00</x:t>
        </x:is>
      </x:c>
      <x:c r="BO2" t="inlineStr">
        <x:is>
          <x:t xml:space="preserve">09:00-13:00</x:t>
        </x:is>
      </x:c>
      <x:c r="BP2" s="64" t="n">
        <x:v>2065</x:v>
      </x:c>
      <x:c r="BQ2" s="64" t="n">
        <x:v>1640</x:v>
      </x:c>
      <x:c r="BR2" s="64" t="n">
        <x:v>240</x:v>
      </x:c>
      <x:c r="BS2" s="64" t="n">
        <x:v>0</x:v>
      </x:c>
      <x:c r="BT2" s="64" t="n">
        <x:v>120</x:v>
      </x:c>
      <x:c r="BU2" t="n">
        <x:v>240</x:v>
      </x:c>
      <x:c r="BV2" t="inlineStr">
        <x:is>
          <x:t xml:space="preserve">BLN-100500</x:t>
        </x:is>
      </x:c>
      <x:c r="BW2" t="inlineStr">
        <x:is>
          <x:t xml:space="preserve">PO-84000</x:t>
        </x:is>
      </x:c>
      <x:c r="BX2" t="inlineStr">
        <x:is>
          <x:t xml:space="preserve">RECEIVED</x:t>
        </x:is>
      </x:c>
      <x:c r="BY2" t="inlineStr">
        <x:is>
          <x:t xml:space="preserve">/images/pod/L-501_POD.jpg</x:t>
        </x:is>
      </x:c>
      <x:c r="BZ2" t="inlineStr">
        <x:is>
          <x:t xml:space="preserve">Warehouse Clerk</x:t>
        </x:is>
      </x:c>
      <x:c r="CA2" t="inlineStr">
        <x:is>
          <x:t xml:space="preserve">UPLOADED</x:t>
        </x:is>
      </x:c>
      <x:c r="CB2" s="55" t="n">
        <x:v>46204</x:v>
      </x:c>
      <x:c r="CC2" t="inlineStr">
        <x:is>
          <x:t xml:space="preserve">UPLOADED</x:t>
        </x:is>
      </x:c>
      <x:c r="CD2" s="55" t="n">
        <x:v>46203</x:v>
      </x:c>
      <x:c r="CE2" t="inlineStr">
        <x:is>
          <x:t xml:space="preserve">TRAIL-2002</x:t>
        </x:is>
      </x:c>
      <x:c r="CF2" t="inlineStr">
        <x:is>
          <x:t xml:space="preserve">CARGO-5002</x:t>
        </x:is>
      </x:c>
      <x:c r="CG2" s="57" t="n">
        <x:v>46205.42708333334</x:v>
      </x:c>
      <x:c r="CH2" t="inlineStr">
        <x:is>
          <x:t xml:space="preserve">Dock Door 3</x:t>
        </x:is>
      </x:c>
      <x:c r="CI2" t="inlineStr">
        <x:is>
          <x:t xml:space="preserve">NO</x:t>
        </x:is>
      </x:c>
      <x:c r="CJ2" t="inlineStr">
        <x:is>
          <x:t xml:space="preserve">No active claim</x:t>
        </x:is>
      </x:c>
      <x:c r="CK2" s="64" t="n">
        <x:v>0</x:v>
      </x:c>
      <x:c r="CL2" s="64" t="n">
        <x:v>0</x:v>
      </x:c>
      <x:c r="CM2" t="inlineStr">
        <x:is>
          <x:t xml:space="preserve">Motor Truck Cargo</x:t>
        </x:is>
      </x:c>
      <x:c r="CN2" t="inlineStr">
        <x:is>
          <x:t xml:space="preserve">NO</x:t>
        </x:is>
      </x:c>
      <x:c r="CO2" t="inlineStr">
        <x:is>
          <x:t xml:space="preserve">YES</x:t>
        </x:is>
      </x:c>
      <x:c r="CP2" s="64" t="n">
        <x:v>2065</x:v>
      </x:c>
      <x:c r="CQ2" s="64" t="n">
        <x:v>560</x:v>
      </x:c>
      <x:c r="CR2" t="inlineStr">
        <x:is>
          <x:t xml:space="preserve">NO</x:t>
        </x:is>
      </x:c>
      <x:c r="CS2" t="inlineStr">
        <x:is>
          <x:t xml:space="preserve"/>
        </x:is>
      </x:c>
      <x:c r="CT2" t="inlineStr">
        <x:is>
          <x:t xml:space="preserve">COMPLETE</x:t>
        </x:is>
      </x:c>
      <x:c r="CU2" t="inlineStr">
        <x:is>
          <x:t xml:space="preserve">GA</x:t>
        </x:is>
      </x:c>
      <x:c r="CV2" t="inlineStr">
        <x:is>
          <x:t xml:space="preserve">AZ</x:t>
        </x:is>
      </x:c>
    </x:row>
    <x:row r="3">
      <x:c r="A3" t="inlineStr">
        <x:is>
          <x:t xml:space="preserve">L-502</x:t>
        </x:is>
      </x:c>
      <x:c r="B3" t="inlineStr">
        <x:is>
          <x:t xml:space="preserve">DRV-002</x:t>
        </x:is>
      </x:c>
      <x:c r="C3" t="inlineStr">
        <x:is>
          <x:t xml:space="preserve">Maria Lopez</x:t>
        </x:is>
      </x:c>
      <x:c r="D3" t="inlineStr">
        <x:is>
          <x:t xml:space="preserve">T-101</x:t>
        </x:is>
      </x:c>
      <x:c r="E3" s="64" t="n">
        <x:v>1800</x:v>
      </x:c>
      <x:c r="F3" s="64" t="n">
        <x:v>95</x:v>
      </x:c>
      <x:c r="G3" t="inlineStr">
        <x:is>
          <x:t xml:space="preserve">IN_TRANSIT</x:t>
        </x:is>
      </x:c>
      <x:c r="H3" t="inlineStr">
        <x:is>
          <x:t xml:space="preserve">IN_TRANSIT</x:t>
        </x:is>
      </x:c>
      <x:c r="I3" t="str">
        <x:f>IF(L3="","PENDING",IF(L3&lt;&gt;J3,"MISMATCH","VERIFIED"))</x:f>
        <x:v>MISMATCH</x:v>
      </x:c>
      <x:c r="J3" t="inlineStr">
        <x:is>
          <x:t xml:space="preserve">VERIFIED</x:t>
        </x:is>
      </x:c>
      <x:c r="K3" t="inlineStr">
        <x:is>
          <x:t xml:space="preserve">NO</x:t>
        </x:is>
      </x:c>
      <x:c r="L3" t="inlineStr">
        <x:is>
          <x:t xml:space="preserve">CLOSED</x:t>
        </x:is>
      </x:c>
      <x:c r="M3">
        <x:f>IF(N3="MISMATCH","SEAL_MISMATCH",IF(OR(K3="",M3=""),"PHOTO_MISSING",""))</x:f>
      </x:c>
      <x:c r="N3" t="inlineStr">
        <x:is>
          <x:t xml:space="preserve">PENDING</x:t>
        </x:is>
      </x:c>
      <x:c r="O3" t="inlineStr">
        <x:is>
          <x:t xml:space="preserve">/documents/loads/L-502_RC.pdf</x:t>
        </x:is>
      </x:c>
      <x:c r="P3" t="inlineStr">
        <x:is>
          <x:t xml:space="preserve">/documents/loads/L-502_BOL.pdf</x:t>
        </x:is>
      </x:c>
      <x:c r="Q3" t="inlineStr">
        <x:is>
          <x:t xml:space="preserve">/documents/loads/L-502_PICKUP_SEAL.jpg</x:t>
        </x:is>
      </x:c>
      <x:c r="R3" t="inlineStr">
        <x:is>
          <x:t xml:space="preserve">/documents/loads/L-502_DELIVERY_SEAL.jpg</x:t>
        </x:is>
      </x:c>
      <x:c r="S3" t="inlineStr">
        <x:is>
          <x:t xml:space="preserve">/drivers/DRV-002.jpg</x:t>
        </x:is>
      </x:c>
      <x:c r="T3" t="inlineStr">
        <x:is>
          <x:t xml:space="preserve">/images/pod/L-502_POD.jpg</x:t>
        </x:is>
      </x:c>
      <x:c r="U3" t="inlineStr">
        <x:is>
          <x:t xml:space="preserve">/images/pickup/L-502_PICKUP.jpg</x:t>
        </x:is>
      </x:c>
      <x:c r="V3" t="inlineStr">
        <x:is>
          <x:t xml:space="preserve">/images/delivery/L-502_DELIVERY.jpg</x:t>
        </x:is>
      </x:c>
      <x:c r="W3" t="inlineStr">
        <x:is>
          <x:t xml:space="preserve">/images/lumper/L-502_LUMPER.jpg</x:t>
        </x:is>
      </x:c>
      <x:c r="X3" t="inlineStr">
        <x:is>
          <x:t xml:space="preserve">Jamal Reeves</x:t>
        </x:is>
      </x:c>
      <x:c r="Y3" t="inlineStr">
        <x:is>
          <x:t xml:space="preserve">Summit Freight</x:t>
        </x:is>
      </x:c>
      <x:c r="Z3" t="inlineStr">
        <x:is>
          <x:t xml:space="preserve">MC-641255</x:t>
        </x:is>
      </x:c>
      <x:c r="AA3" t="inlineStr">
        <x:is>
          <x:t xml:space="preserve">Lakeside Plastics</x:t>
        </x:is>
      </x:c>
      <x:c r="AB3" t="inlineStr">
        <x:is>
          <x:t xml:space="preserve">880 Harbor Dr</x:t>
        </x:is>
      </x:c>
      <x:c r="AC3" t="inlineStr">
        <x:is>
          <x:t xml:space="preserve">Cleveland</x:t>
        </x:is>
      </x:c>
      <x:c r="AD3" t="inlineStr">
        <x:is>
          <x:t xml:space="preserve">OH</x:t>
        </x:is>
      </x:c>
      <x:c r="AE3" s="57" t="n">
        <x:v>45841.5</x:v>
      </x:c>
      <x:c r="AF3" t="inlineStr">
        <x:is>
          <x:t xml:space="preserve">Great Lakes Foods</x:t>
        </x:is>
      </x:c>
      <x:c r="AG3" t="inlineStr">
        <x:is>
          <x:t xml:space="preserve">109 Shoreline Dr</x:t>
        </x:is>
      </x:c>
      <x:c r="AH3" t="inlineStr">
        <x:is>
          <x:t xml:space="preserve">Detroit</x:t>
        </x:is>
      </x:c>
      <x:c r="AI3" t="inlineStr">
        <x:is>
          <x:t xml:space="preserve">MI</x:t>
        </x:is>
      </x:c>
      <x:c r="AJ3" s="57" t="n">
        <x:v>45845.08333333334</x:v>
      </x:c>
      <x:c r="AK3" t="inlineStr">
        <x:is>
          <x:t xml:space="preserve">Dry groceries</x:t>
        </x:is>
      </x:c>
      <x:c r="AL3" s="68" t="n">
        <x:v>40981</x:v>
      </x:c>
      <x:c r="AM3" s="68" t="n">
        <x:v>25</x:v>
      </x:c>
      <x:c r="AN3" s="68" t="n">
        <x:v>675</x:v>
      </x:c>
      <x:c r="AO3" t="inlineStr">
        <x:is>
          <x:t xml:space="preserve">TRL-2559</x:t>
        </x:is>
      </x:c>
      <x:c r="AP3" t="inlineStr">
        <x:is>
          <x:t xml:space="preserve">RC-502-703</x:t>
        </x:is>
      </x:c>
      <x:c r="AQ3" t="inlineStr">
        <x:is>
          <x:t xml:space="preserve">BOL-502-5557</x:t>
        </x:is>
      </x:c>
      <x:c r="AR3" t="inlineStr">
        <x:is>
          <x:t xml:space="preserve">PENDING</x:t>
        </x:is>
      </x:c>
      <x:c r="AS3" s="57" t="n">
        <x:v>46207.45833333334</x:v>
      </x:c>
      <x:c r="AT3" s="64" t="n">
        <x:v>0</x:v>
      </x:c>
      <x:c r="AU3" t="inlineStr">
        <x:is>
          <x:t xml:space="preserve">RFID-502-30926</x:t>
        </x:is>
      </x:c>
      <x:c r="AV3" s="57" t="n">
        <x:v>45841.52222222222</x:v>
      </x:c>
      <x:c r="AW3" s="57" t="n">
        <x:v>46207.41666666666</x:v>
      </x:c>
      <x:c r="AX3" t="inlineStr">
        <x:is>
          <x:t xml:space="preserve">Cleveland Yard Gate 3</x:t>
        </x:is>
      </x:c>
      <x:c r="AY3" t="inlineStr">
        <x:is>
          <x:t xml:space="preserve">PENDING_DELIVERY</x:t>
        </x:is>
      </x:c>
      <x:c r="AZ3" t="inlineStr">
        <x:is>
          <x:t xml:space="preserve"/>
        </x:is>
      </x:c>
      <x:c r="BA3" t="inlineStr">
        <x:is>
          <x:t xml:space="preserve"/>
        </x:is>
      </x:c>
      <x:c r="BB3" t="inlineStr">
        <x:is>
          <x:t xml:space="preserve">NO_CLAIM</x:t>
        </x:is>
      </x:c>
      <x:c r="BC3" t="inlineStr">
        <x:is>
          <x:t xml:space="preserve"/>
        </x:is>
      </x:c>
      <x:c r="BD3" s="55" t="n"/>
      <x:c r="BE3" s="64" t="n">
        <x:v>0</x:v>
      </x:c>
      <x:c r="BF3" s="64" t="n">
        <x:v>500</x:v>
      </x:c>
      <x:c r="BG3" t="inlineStr">
        <x:is>
          <x:t xml:space="preserve"/>
        </x:is>
      </x:c>
      <x:c r="BH3" t="inlineStr">
        <x:is>
          <x:t xml:space="preserve">Great West Casualty</x:t>
        </x:is>
      </x:c>
      <x:c r="BI3" t="inlineStr">
        <x:is>
          <x:t xml:space="preserve">POL-660003</x:t>
        </x:is>
      </x:c>
      <x:c r="BJ3" t="inlineStr">
        <x:is>
          <x:t xml:space="preserve">Midwest Foods - Chicago, IL</x:t>
        </x:is>
      </x:c>
      <x:c r="BK3" t="inlineStr">
        <x:is>
          <x:t xml:space="preserve">South Hub DC - Memphis, TN</x:t>
        </x:is>
      </x:c>
      <x:c r="BL3" s="55" t="n">
        <x:v>46206</x:v>
      </x:c>
      <x:c r="BM3" s="55" t="n">
        <x:v>46207</x:v>
      </x:c>
      <x:c r="BN3" t="inlineStr">
        <x:is>
          <x:t xml:space="preserve">08:00-11:00</x:t>
        </x:is>
      </x:c>
      <x:c r="BO3" t="inlineStr">
        <x:is>
          <x:t xml:space="preserve">10:00-14:00</x:t>
        </x:is>
      </x:c>
      <x:c r="BP3" s="64" t="n">
        <x:v>1895</x:v>
      </x:c>
      <x:c r="BQ3" s="64" t="n">
        <x:v>1476</x:v>
      </x:c>
      <x:c r="BR3" s="64" t="n">
        <x:v>216</x:v>
      </x:c>
      <x:c r="BS3" s="64" t="n">
        <x:v>50</x:v>
      </x:c>
      <x:c r="BT3" s="64" t="n">
        <x:v>58</x:v>
      </x:c>
      <x:c r="BU3" t="n">
        <x:v>297</x:v>
      </x:c>
      <x:c r="BV3" t="inlineStr">
        <x:is>
          <x:t xml:space="preserve">BLN-100501</x:t>
        </x:is>
      </x:c>
      <x:c r="BW3" t="inlineStr">
        <x:is>
          <x:t xml:space="preserve">PO-84001</x:t>
        </x:is>
      </x:c>
      <x:c r="BX3" t="inlineStr">
        <x:is>
          <x:t xml:space="preserve">PENDING</x:t>
        </x:is>
      </x:c>
      <x:c r="BY3" t="inlineStr">
        <x:is>
          <x:t xml:space="preserve">/images/pod/L-502_POD.jpg</x:t>
        </x:is>
      </x:c>
      <x:c r="BZ3" t="inlineStr">
        <x:is>
          <x:t xml:space="preserve">Receiver</x:t>
        </x:is>
      </x:c>
      <x:c r="CA3" t="inlineStr">
        <x:is>
          <x:t xml:space="preserve">UPLOADED</x:t>
        </x:is>
      </x:c>
      <x:c r="CB3" s="55" t="n">
        <x:v>46206</x:v>
      </x:c>
      <x:c r="CC3" t="inlineStr">
        <x:is>
          <x:t xml:space="preserve">UPLOADED</x:t>
        </x:is>
      </x:c>
      <x:c r="CD3" s="55" t="n">
        <x:v>46205</x:v>
      </x:c>
      <x:c r="CE3" t="inlineStr">
        <x:is>
          <x:t xml:space="preserve">TRAIL-2003</x:t>
        </x:is>
      </x:c>
      <x:c r="CF3" t="inlineStr">
        <x:is>
          <x:t xml:space="preserve">CARGO-5003</x:t>
        </x:is>
      </x:c>
      <x:c r="CG3" s="57" t="n">
        <x:v>46207.42708333334</x:v>
      </x:c>
      <x:c r="CH3" t="inlineStr">
        <x:is>
          <x:t xml:space="preserve">Yard Gate A</x:t>
        </x:is>
      </x:c>
      <x:c r="CI3" t="inlineStr">
        <x:is>
          <x:t xml:space="preserve">NO</x:t>
        </x:is>
      </x:c>
      <x:c r="CJ3" t="inlineStr">
        <x:is>
          <x:t xml:space="preserve">No active claim</x:t>
        </x:is>
      </x:c>
      <x:c r="CK3" s="64" t="n">
        <x:v>0</x:v>
      </x:c>
      <x:c r="CL3" s="64" t="n">
        <x:v>0</x:v>
      </x:c>
      <x:c r="CM3" t="inlineStr">
        <x:is>
          <x:t xml:space="preserve">Auto Liability</x:t>
        </x:is>
      </x:c>
      <x:c r="CN3" t="inlineStr">
        <x:is>
          <x:t xml:space="preserve">NO</x:t>
        </x:is>
      </x:c>
      <x:c r="CO3" t="inlineStr">
        <x:is>
          <x:t xml:space="preserve">YES</x:t>
        </x:is>
      </x:c>
      <x:c r="CP3" s="64" t="n">
        <x:v>1895</x:v>
      </x:c>
      <x:c r="CQ3" s="64" t="n">
        <x:v>504</x:v>
      </x:c>
      <x:c r="CR3" t="inlineStr">
        <x:is>
          <x:t xml:space="preserve">NO</x:t>
        </x:is>
      </x:c>
      <x:c r="CS3" t="inlineStr">
        <x:is>
          <x:t xml:space="preserve"/>
        </x:is>
      </x:c>
      <x:c r="CT3" t="inlineStr">
        <x:is>
          <x:t xml:space="preserve">COMPLETE</x:t>
        </x:is>
      </x:c>
      <x:c r="CU3" t="inlineStr">
        <x:is>
          <x:t xml:space="preserve">OH</x:t>
        </x:is>
      </x:c>
      <x:c r="CV3" t="inlineStr">
        <x:is>
          <x:t xml:space="preserve">MI</x:t>
        </x:is>
      </x:c>
    </x:row>
    <x:row r="4">
      <x:c r="A4" t="inlineStr">
        <x:is>
          <x:t xml:space="preserve">L-503</x:t>
        </x:is>
      </x:c>
      <x:c r="B4" t="inlineStr">
        <x:is>
          <x:t xml:space="preserve">DRV-003</x:t>
        </x:is>
      </x:c>
      <x:c r="C4" t="inlineStr">
        <x:is>
          <x:t xml:space="preserve">Alex Kim</x:t>
        </x:is>
      </x:c>
      <x:c r="D4" t="inlineStr">
        <x:is>
          <x:t xml:space="preserve">T-107</x:t>
        </x:is>
      </x:c>
      <x:c r="E4" s="64" t="n">
        <x:v>2100</x:v>
      </x:c>
      <x:c r="F4" s="64" t="n">
        <x:v>45</x:v>
      </x:c>
      <x:c r="G4" t="inlineStr">
        <x:is>
          <x:t xml:space="preserve">DELIVERED</x:t>
        </x:is>
      </x:c>
      <x:c r="H4" t="inlineStr">
        <x:is>
          <x:t xml:space="preserve">DELIVERED</x:t>
        </x:is>
      </x:c>
      <x:c r="I4" t="str">
        <x:f>IF(L4="","PENDING",IF(L4&lt;&gt;J4,"MISMATCH","VERIFIED"))</x:f>
        <x:v>MISMATCH</x:v>
      </x:c>
      <x:c r="J4" t="inlineStr">
        <x:is>
          <x:t xml:space="preserve">MISSING_DELIVERY_SEAL</x:t>
        </x:is>
      </x:c>
      <x:c r="K4" t="inlineStr">
        <x:is>
          <x:t xml:space="preserve">YES</x:t>
        </x:is>
      </x:c>
      <x:c r="L4" t="inlineStr">
        <x:is>
          <x:t xml:space="preserve">OPEN</x:t>
        </x:is>
      </x:c>
      <x:c r="M4">
        <x:f>IF(N4="MISMATCH","SEAL_MISMATCH",IF(OR(K4="",M4=""),"PHOTO_MISSING",""))</x:f>
      </x:c>
      <x:c r="N4" t="inlineStr">
        <x:is>
          <x:t xml:space="preserve">READY</x:t>
        </x:is>
      </x:c>
      <x:c r="O4" t="inlineStr">
        <x:is>
          <x:t xml:space="preserve">/documents/loads/L-503_RC.pdf</x:t>
        </x:is>
      </x:c>
      <x:c r="P4" t="inlineStr">
        <x:is>
          <x:t xml:space="preserve">/documents/loads/L-503_BOL.pdf</x:t>
        </x:is>
      </x:c>
      <x:c r="Q4" t="inlineStr">
        <x:is>
          <x:t xml:space="preserve">/documents/loads/L-503_PICKUP_SEAL.jpg</x:t>
        </x:is>
      </x:c>
      <x:c r="R4" t="inlineStr">
        <x:is>
          <x:t xml:space="preserve">/documents/loads/L-503_DELIVERY_SEAL.jpg</x:t>
        </x:is>
      </x:c>
      <x:c r="S4" t="inlineStr">
        <x:is>
          <x:t xml:space="preserve">/drivers/DRV-003.jpg</x:t>
        </x:is>
      </x:c>
      <x:c r="T4" t="inlineStr">
        <x:is>
          <x:t xml:space="preserve">/images/pod/L-503_POD.jpg</x:t>
        </x:is>
      </x:c>
      <x:c r="U4" t="inlineStr">
        <x:is>
          <x:t xml:space="preserve">/images/pickup/L-503_PICKUP.jpg</x:t>
        </x:is>
      </x:c>
      <x:c r="V4" t="inlineStr">
        <x:is>
          <x:t xml:space="preserve">/images/delivery/L-503_DELIVERY.jpg</x:t>
        </x:is>
      </x:c>
      <x:c r="W4" t="inlineStr">
        <x:is>
          <x:t xml:space="preserve">/images/lumper/L-503_LUMPER.jpg</x:t>
        </x:is>
      </x:c>
      <x:c r="X4" t="inlineStr">
        <x:is>
          <x:t xml:space="preserve">Morgan Patel</x:t>
        </x:is>
      </x:c>
      <x:c r="Y4" t="inlineStr">
        <x:is>
          <x:t xml:space="preserve">IronRoute Transport</x:t>
        </x:is>
      </x:c>
      <x:c r="Z4" t="inlineStr">
        <x:is>
          <x:t xml:space="preserve">MC-518903</x:t>
        </x:is>
      </x:c>
      <x:c r="AA4" t="inlineStr">
        <x:is>
          <x:t xml:space="preserve">Midwest Paper Co.</x:t>
        </x:is>
      </x:c>
      <x:c r="AB4" t="inlineStr">
        <x:is>
          <x:t xml:space="preserve">2210 Mill Rd</x:t>
        </x:is>
      </x:c>
      <x:c r="AC4" t="inlineStr">
        <x:is>
          <x:t xml:space="preserve">Columbus</x:t>
        </x:is>
      </x:c>
      <x:c r="AD4" t="inlineStr">
        <x:is>
          <x:t xml:space="preserve">OH</x:t>
        </x:is>
      </x:c>
      <x:c r="AE4" s="57" t="n">
        <x:v>45843.625</x:v>
      </x:c>
      <x:c r="AF4" t="inlineStr">
        <x:is>
          <x:t xml:space="preserve">Capital Retail Hub</x:t>
        </x:is>
      </x:c>
      <x:c r="AG4" t="inlineStr">
        <x:is>
          <x:t xml:space="preserve">755 Market Loop</x:t>
        </x:is>
      </x:c>
      <x:c r="AH4" t="inlineStr">
        <x:is>
          <x:t xml:space="preserve">Indianapolis</x:t>
        </x:is>
      </x:c>
      <x:c r="AI4" t="inlineStr">
        <x:is>
          <x:t xml:space="preserve">IN</x:t>
        </x:is>
      </x:c>
      <x:c r="AJ4" s="57" t="n">
        <x:v>45845.04166666666</x:v>
      </x:c>
      <x:c r="AK4" t="inlineStr">
        <x:is>
          <x:t xml:space="preserve">Plastic resins</x:t>
        </x:is>
      </x:c>
      <x:c r="AL4" s="68" t="n">
        <x:v>21169</x:v>
      </x:c>
      <x:c r="AM4" s="68" t="n">
        <x:v>23</x:v>
      </x:c>
      <x:c r="AN4" s="68" t="n">
        <x:v>1081</x:v>
      </x:c>
      <x:c r="AO4" t="inlineStr">
        <x:is>
          <x:t xml:space="preserve">TRL-2452</x:t>
        </x:is>
      </x:c>
      <x:c r="AP4" t="inlineStr">
        <x:is>
          <x:t xml:space="preserve">RC-503-718</x:t>
        </x:is>
      </x:c>
      <x:c r="AQ4" t="inlineStr">
        <x:is>
          <x:t xml:space="preserve">BOL-503-5333</x:t>
        </x:is>
      </x:c>
      <x:c r="AR4" t="inlineStr">
        <x:is>
          <x:t xml:space="preserve">YES</x:t>
        </x:is>
      </x:c>
      <x:c r="AS4" s="57" t="n">
        <x:v>45845.08333333334</x:v>
      </x:c>
      <x:c r="AT4" s="64" t="n">
        <x:v>240</x:v>
      </x:c>
      <x:c r="AU4" t="inlineStr">
        <x:is>
          <x:t xml:space="preserve">RFID-503-80284</x:t>
        </x:is>
      </x:c>
      <x:c r="AV4" s="57" t="n">
        <x:v>45843.63333333333</x:v>
      </x:c>
      <x:c r="AW4" s="57" t="n">
        <x:v>45845.08958333333</x:v>
      </x:c>
      <x:c r="AX4" t="inlineStr">
        <x:is>
          <x:t xml:space="preserve">Columbus Yard Gate 4</x:t>
        </x:is>
      </x:c>
      <x:c r="AY4" t="inlineStr">
        <x:is>
          <x:t xml:space="preserve">VERIFIED</x:t>
        </x:is>
      </x:c>
      <x:c r="AZ4" t="inlineStr">
        <x:is>
          <x:t xml:space="preserve">MISREAD_AT_GATE</x:t>
        </x:is>
      </x:c>
      <x:c r="BA4" t="inlineStr">
        <x:is>
          <x:t xml:space="preserve">CLM-2026004</x:t>
        </x:is>
      </x:c>
      <x:c r="BB4" t="inlineStr">
        <x:is>
          <x:t xml:space="preserve">FILED</x:t>
        </x:is>
      </x:c>
      <x:c r="BC4" t="inlineStr">
        <x:is>
          <x:t xml:space="preserve">Seal Tampering</x:t>
        </x:is>
      </x:c>
      <x:c r="BD4" s="55" t="n">
        <x:v>46209</x:v>
      </x:c>
      <x:c r="BE4" s="64" t="n">
        <x:v>2500</x:v>
      </x:c>
      <x:c r="BF4" s="64" t="n">
        <x:v>500</x:v>
      </x:c>
      <x:c r="BG4" t="inlineStr">
        <x:is>
          <x:t xml:space="preserve">Jordan Patel</x:t>
        </x:is>
      </x:c>
      <x:c r="BH4" t="inlineStr">
        <x:is>
          <x:t xml:space="preserve">Travelers</x:t>
        </x:is>
      </x:c>
      <x:c r="BI4" t="inlineStr">
        <x:is>
          <x:t xml:space="preserve">POL-660004</x:t>
        </x:is>
      </x:c>
      <x:c r="BJ4" t="inlineStr">
        <x:is>
          <x:t xml:space="preserve">BlueLine Retail - Indianapolis, IN</x:t>
        </x:is>
      </x:c>
      <x:c r="BK4" t="inlineStr">
        <x:is>
          <x:t xml:space="preserve">Lakeside Grocery - Atlanta, GA</x:t>
        </x:is>
      </x:c>
      <x:c r="BL4" s="55" t="n">
        <x:v>46208</x:v>
      </x:c>
      <x:c r="BM4" s="55" t="n">
        <x:v>46209</x:v>
      </x:c>
      <x:c r="BN4" t="inlineStr">
        <x:is>
          <x:t xml:space="preserve">09:00-12:00</x:t>
        </x:is>
      </x:c>
      <x:c r="BO4" t="inlineStr">
        <x:is>
          <x:t xml:space="preserve">11:00-15:00</x:t>
        </x:is>
      </x:c>
      <x:c r="BP4" s="64" t="n">
        <x:v>2145</x:v>
      </x:c>
      <x:c r="BQ4" s="64" t="n">
        <x:v>1722</x:v>
      </x:c>
      <x:c r="BR4" s="64" t="n">
        <x:v>252</x:v>
      </x:c>
      <x:c r="BS4" s="64" t="n">
        <x:v>75</x:v>
      </x:c>
      <x:c r="BT4" s="64" t="n">
        <x:v>51</x:v>
      </x:c>
      <x:c r="BU4" t="n">
        <x:v>354</x:v>
      </x:c>
      <x:c r="BV4" t="inlineStr">
        <x:is>
          <x:t xml:space="preserve">BLN-100502</x:t>
        </x:is>
      </x:c>
      <x:c r="BW4" t="inlineStr">
        <x:is>
          <x:t xml:space="preserve">PO-84002</x:t>
        </x:is>
      </x:c>
      <x:c r="BX4" t="inlineStr">
        <x:is>
          <x:t xml:space="preserve">RECEIVED</x:t>
        </x:is>
      </x:c>
      <x:c r="BY4" t="inlineStr">
        <x:is>
          <x:t xml:space="preserve">/images/pod/L-503_POD.jpg</x:t>
        </x:is>
      </x:c>
      <x:c r="BZ4" t="inlineStr">
        <x:is>
          <x:t xml:space="preserve">Dock Supervisor</x:t>
        </x:is>
      </x:c>
      <x:c r="CA4" t="inlineStr">
        <x:is>
          <x:t xml:space="preserve">MISSING</x:t>
        </x:is>
      </x:c>
      <x:c r="CB4" s="55" t="n">
        <x:v>46208</x:v>
      </x:c>
      <x:c r="CC4" t="inlineStr">
        <x:is>
          <x:t xml:space="preserve">UPLOADED</x:t>
        </x:is>
      </x:c>
      <x:c r="CD4" s="55" t="n">
        <x:v>46207</x:v>
      </x:c>
      <x:c r="CE4" t="inlineStr">
        <x:is>
          <x:t xml:space="preserve">TRAIL-2004</x:t>
        </x:is>
      </x:c>
      <x:c r="CF4" t="inlineStr">
        <x:is>
          <x:t xml:space="preserve">CARGO-5004</x:t>
        </x:is>
      </x:c>
      <x:c r="CG4" s="57" t="n">
        <x:v>46209.42708333334</x:v>
      </x:c>
      <x:c r="CH4" t="inlineStr">
        <x:is>
          <x:t xml:space="preserve">Warehouse South</x:t>
        </x:is>
      </x:c>
      <x:c r="CI4" t="inlineStr">
        <x:is>
          <x:t xml:space="preserve">YES</x:t>
        </x:is>
      </x:c>
      <x:c r="CJ4" t="inlineStr">
        <x:is>
          <x:t xml:space="preserve">No active claim</x:t>
        </x:is>
      </x:c>
      <x:c r="CK4" s="64" t="n">
        <x:v>2125</x:v>
      </x:c>
      <x:c r="CL4" s="64" t="n">
        <x:v>2500</x:v>
      </x:c>
      <x:c r="CM4" t="inlineStr">
        <x:is>
          <x:t xml:space="preserve">General Liability</x:t>
        </x:is>
      </x:c>
      <x:c r="CN4" t="inlineStr">
        <x:is>
          <x:t xml:space="preserve">YES</x:t>
        </x:is>
      </x:c>
      <x:c r="CO4" t="inlineStr">
        <x:is>
          <x:t xml:space="preserve">NO</x:t>
        </x:is>
      </x:c>
      <x:c r="CP4" s="64" t="n">
        <x:v>2145</x:v>
      </x:c>
      <x:c r="CQ4" s="64" t="n">
        <x:v>588</x:v>
      </x:c>
      <x:c r="CR4" t="inlineStr">
        <x:is>
          <x:t xml:space="preserve">YES</x:t>
        </x:is>
      </x:c>
      <x:c r="CS4" t="inlineStr">
        <x:is>
          <x:t xml:space="preserve">Missing proof bundle</x:t>
        </x:is>
      </x:c>
      <x:c r="CT4" t="inlineStr">
        <x:is>
          <x:t xml:space="preserve">INCOMPLETE</x:t>
        </x:is>
      </x:c>
      <x:c r="CU4" t="inlineStr">
        <x:is>
          <x:t xml:space="preserve">OH</x:t>
        </x:is>
      </x:c>
      <x:c r="CV4" t="inlineStr">
        <x:is>
          <x:t xml:space="preserve">IN</x:t>
        </x:is>
      </x:c>
    </x:row>
    <x:row r="5">
      <x:c r="A5" t="inlineStr">
        <x:is>
          <x:t xml:space="preserve">L-504</x:t>
        </x:is>
      </x:c>
      <x:c r="B5" t="inlineStr">
        <x:is>
          <x:t xml:space="preserve">DRV-004</x:t>
        </x:is>
      </x:c>
      <x:c r="C5" t="inlineStr">
        <x:is>
          <x:t xml:space="preserve">Priya Patel</x:t>
        </x:is>
      </x:c>
      <x:c r="D5" t="inlineStr">
        <x:is>
          <x:t xml:space="preserve">T-108</x:t>
        </x:is>
      </x:c>
      <x:c r="E5" s="64" t="n">
        <x:v>1950</x:v>
      </x:c>
      <x:c r="F5" s="64" t="n">
        <x:v>88</x:v>
      </x:c>
      <x:c r="G5" t="inlineStr">
        <x:is>
          <x:t xml:space="preserve">PENDING</x:t>
        </x:is>
      </x:c>
      <x:c r="H5" t="inlineStr">
        <x:is>
          <x:t xml:space="preserve">PENDING</x:t>
        </x:is>
      </x:c>
      <x:c r="I5" t="str">
        <x:f>IF(L5="","PENDING",IF(L5&lt;&gt;J5,"MISMATCH","VERIFIED"))</x:f>
        <x:v>MISMATCH</x:v>
      </x:c>
      <x:c r="J5" t="inlineStr">
        <x:is>
          <x:t xml:space="preserve">SEAL_MISMATCH</x:t>
        </x:is>
      </x:c>
      <x:c r="K5" t="inlineStr">
        <x:is>
          <x:t xml:space="preserve">YES</x:t>
        </x:is>
      </x:c>
      <x:c r="L5" t="inlineStr">
        <x:is>
          <x:t xml:space="preserve">OPEN</x:t>
        </x:is>
      </x:c>
      <x:c r="M5">
        <x:f>IF(N5="MISMATCH","SEAL_MISMATCH",IF(OR(K5="",M5=""),"PHOTO_MISSING",""))</x:f>
      </x:c>
      <x:c r="N5" t="inlineStr">
        <x:is>
          <x:t xml:space="preserve">PENDING</x:t>
        </x:is>
      </x:c>
      <x:c r="O5" t="inlineStr">
        <x:is>
          <x:t xml:space="preserve">/documents/loads/L-504_RC.pdf</x:t>
        </x:is>
      </x:c>
      <x:c r="P5" t="inlineStr">
        <x:is>
          <x:t xml:space="preserve">/documents/loads/L-504_BOL.pdf</x:t>
        </x:is>
      </x:c>
      <x:c r="Q5" t="inlineStr">
        <x:is>
          <x:t xml:space="preserve">/documents/loads/L-504_PICKUP_SEAL.jpg</x:t>
        </x:is>
      </x:c>
      <x:c r="R5" t="inlineStr">
        <x:is>
          <x:t xml:space="preserve">/documents/loads/L-504_DELIVERY_SEAL.jpg</x:t>
        </x:is>
      </x:c>
      <x:c r="S5" t="inlineStr">
        <x:is>
          <x:t xml:space="preserve">/drivers/DRV-004.jpg</x:t>
        </x:is>
      </x:c>
      <x:c r="T5" t="inlineStr">
        <x:is>
          <x:t xml:space="preserve">/images/pod/L-504_POD.jpg</x:t>
        </x:is>
      </x:c>
      <x:c r="U5" t="inlineStr">
        <x:is>
          <x:t xml:space="preserve">/images/pickup/L-504_PICKUP.jpg</x:t>
        </x:is>
      </x:c>
      <x:c r="V5" t="inlineStr">
        <x:is>
          <x:t xml:space="preserve">/images/delivery/L-504_DELIVERY.jpg</x:t>
        </x:is>
      </x:c>
      <x:c r="W5" t="inlineStr">
        <x:is>
          <x:t xml:space="preserve">/images/lumper/L-504_LUMPER.jpg</x:t>
        </x:is>
      </x:c>
      <x:c r="X5" t="inlineStr">
        <x:is>
          <x:t xml:space="preserve">Avery Collins</x:t>
        </x:is>
      </x:c>
      <x:c r="Y5" t="inlineStr">
        <x:is>
          <x:t xml:space="preserve">NorthStar 3PL</x:t>
        </x:is>
      </x:c>
      <x:c r="Z5" t="inlineStr">
        <x:is>
          <x:t xml:space="preserve">MC-774221</x:t>
        </x:is>
      </x:c>
      <x:c r="AA5" t="inlineStr">
        <x:is>
          <x:t xml:space="preserve">Sunbelt Beverages</x:t>
        </x:is>
      </x:c>
      <x:c r="AB5" t="inlineStr">
        <x:is>
          <x:t xml:space="preserve">9900 Commerce Blvd</x:t>
        </x:is>
      </x:c>
      <x:c r="AC5" t="inlineStr">
        <x:is>
          <x:t xml:space="preserve">Charlotte</x:t>
        </x:is>
      </x:c>
      <x:c r="AD5" t="inlineStr">
        <x:is>
          <x:t xml:space="preserve">NC</x:t>
        </x:is>
      </x:c>
      <x:c r="AE5" s="57" t="n">
        <x:v>45845.70833333334</x:v>
      </x:c>
      <x:c r="AF5" t="inlineStr">
        <x:is>
          <x:t xml:space="preserve">Bayport Imports</x:t>
        </x:is>
      </x:c>
      <x:c r="AG5" t="inlineStr">
        <x:is>
          <x:t xml:space="preserve">330 Dockside Ln</x:t>
        </x:is>
      </x:c>
      <x:c r="AH5" t="inlineStr">
        <x:is>
          <x:t xml:space="preserve">Savannah</x:t>
        </x:is>
      </x:c>
      <x:c r="AI5" t="inlineStr">
        <x:is>
          <x:t xml:space="preserve">GA</x:t>
        </x:is>
      </x:c>
      <x:c r="AJ5" s="57" t="n">
        <x:v>45848.91666666666</x:v>
      </x:c>
      <x:c r="AK5" t="inlineStr">
        <x:is>
          <x:t xml:space="preserve">Building materials</x:t>
        </x:is>
      </x:c>
      <x:c r="AL5" s="68" t="n">
        <x:v>19501</x:v>
      </x:c>
      <x:c r="AM5" s="68" t="n">
        <x:v>19</x:v>
      </x:c>
      <x:c r="AN5" s="68" t="n">
        <x:v>836</x:v>
      </x:c>
      <x:c r="AO5" t="inlineStr">
        <x:is>
          <x:t xml:space="preserve">TRL-2396</x:t>
        </x:is>
      </x:c>
      <x:c r="AP5" t="inlineStr">
        <x:is>
          <x:t xml:space="preserve">RC-504-181</x:t>
        </x:is>
      </x:c>
      <x:c r="AQ5" t="inlineStr">
        <x:is>
          <x:t xml:space="preserve">BOL-504-4814</x:t>
        </x:is>
      </x:c>
      <x:c r="AR5" t="inlineStr">
        <x:is>
          <x:t xml:space="preserve">NO</x:t>
        </x:is>
      </x:c>
      <x:c r="AS5" s="57" t="n">
        <x:v>46211.45833333334</x:v>
      </x:c>
      <x:c r="AT5" s="64" t="n">
        <x:v>0</x:v>
      </x:c>
      <x:c r="AU5" t="inlineStr">
        <x:is>
          <x:t xml:space="preserve">RFID-504-59823</x:t>
        </x:is>
      </x:c>
      <x:c r="AV5" s="57" t="n">
        <x:v>45845.72361111111</x:v>
      </x:c>
      <x:c r="AW5" s="57" t="n">
        <x:v>46211.41666666666</x:v>
      </x:c>
      <x:c r="AX5" t="inlineStr">
        <x:is>
          <x:t xml:space="preserve">Charlotte Yard Gate 4</x:t>
        </x:is>
      </x:c>
      <x:c r="AY5" t="inlineStr">
        <x:is>
          <x:t xml:space="preserve">VERIFIED</x:t>
        </x:is>
      </x:c>
      <x:c r="AZ5" t="inlineStr">
        <x:is>
          <x:t xml:space="preserve">MISREAD</x:t>
        </x:is>
      </x:c>
      <x:c r="BA5" t="inlineStr">
        <x:is>
          <x:t xml:space="preserve">CLM-504-4432</x:t>
        </x:is>
      </x:c>
      <x:c r="BB5" t="inlineStr">
        <x:is>
          <x:t xml:space="preserve">SETTLED</x:t>
        </x:is>
      </x:c>
      <x:c r="BC5" t="inlineStr">
        <x:is>
          <x:t xml:space="preserve">Shortage</x:t>
        </x:is>
      </x:c>
      <x:c r="BD5" s="55" t="n">
        <x:v>45845</x:v>
      </x:c>
      <x:c r="BE5" s="64" t="n">
        <x:v>9110.389999999999</x:v>
      </x:c>
      <x:c r="BF5" s="64" t="n">
        <x:v>1500</x:v>
      </x:c>
      <x:c r="BG5" t="inlineStr">
        <x:is>
          <x:t xml:space="preserve">Kelly Moore</x:t>
        </x:is>
      </x:c>
      <x:c r="BH5" t="inlineStr">
        <x:is>
          <x:t xml:space="preserve">Travelers Inland Marine</x:t>
        </x:is>
      </x:c>
      <x:c r="BI5" t="inlineStr">
        <x:is>
          <x:t xml:space="preserve">POL-660086</x:t>
        </x:is>
      </x:c>
      <x:c r="BJ5" t="inlineStr">
        <x:is>
          <x:t xml:space="preserve">NorthStar Paper - Dallas, TX</x:t>
        </x:is>
      </x:c>
      <x:c r="BK5" t="inlineStr">
        <x:is>
          <x:t xml:space="preserve">Cleveland Receiver - St. Louis, MO</x:t>
        </x:is>
      </x:c>
      <x:c r="BL5" s="55" t="n">
        <x:v>46210</x:v>
      </x:c>
      <x:c r="BM5" s="55" t="n">
        <x:v>46211</x:v>
      </x:c>
      <x:c r="BN5" t="inlineStr">
        <x:is>
          <x:t xml:space="preserve">10:00-13:00</x:t>
        </x:is>
      </x:c>
      <x:c r="BO5" t="inlineStr">
        <x:is>
          <x:t xml:space="preserve">09:00-13:00</x:t>
        </x:is>
      </x:c>
      <x:c r="BP5" s="64" t="n">
        <x:v>2038</x:v>
      </x:c>
      <x:c r="BQ5" s="64" t="n">
        <x:v>1599</x:v>
      </x:c>
      <x:c r="BR5" s="64" t="n">
        <x:v>234</x:v>
      </x:c>
      <x:c r="BS5" s="64" t="n">
        <x:v>0</x:v>
      </x:c>
      <x:c r="BT5" s="64" t="n">
        <x:v>117</x:v>
      </x:c>
      <x:c r="BU5" t="n">
        <x:v>411</x:v>
      </x:c>
      <x:c r="BV5" t="inlineStr">
        <x:is>
          <x:t xml:space="preserve">BLN-100503</x:t>
        </x:is>
      </x:c>
      <x:c r="BW5" t="inlineStr">
        <x:is>
          <x:t xml:space="preserve">PO-84003</x:t>
        </x:is>
      </x:c>
      <x:c r="BX5" t="inlineStr">
        <x:is>
          <x:t xml:space="preserve">RECEIVED</x:t>
        </x:is>
      </x:c>
      <x:c r="BY5" t="inlineStr">
        <x:is>
          <x:t xml:space="preserve">/images/pod/L-504_POD.jpg</x:t>
        </x:is>
      </x:c>
      <x:c r="BZ5" t="inlineStr">
        <x:is>
          <x:t xml:space="preserve">Inventory Lead</x:t>
        </x:is>
      </x:c>
      <x:c r="CA5" t="inlineStr">
        <x:is>
          <x:t xml:space="preserve">UPLOADED</x:t>
        </x:is>
      </x:c>
      <x:c r="CB5" s="55" t="n">
        <x:v>46210</x:v>
      </x:c>
      <x:c r="CC5" t="inlineStr">
        <x:is>
          <x:t xml:space="preserve">UPLOADED</x:t>
        </x:is>
      </x:c>
      <x:c r="CD5" s="55" t="n">
        <x:v>46209</x:v>
      </x:c>
      <x:c r="CE5" t="inlineStr">
        <x:is>
          <x:t xml:space="preserve">TRAIL-2005</x:t>
        </x:is>
      </x:c>
      <x:c r="CF5" t="inlineStr">
        <x:is>
          <x:t xml:space="preserve">CARGO-5005</x:t>
        </x:is>
      </x:c>
      <x:c r="CG5" s="57" t="n">
        <x:v>46211.42708333334</x:v>
      </x:c>
      <x:c r="CH5" t="inlineStr">
        <x:is>
          <x:t xml:space="preserve">Crossdock Bay 2</x:t>
        </x:is>
      </x:c>
      <x:c r="CI5" t="inlineStr">
        <x:is>
          <x:t xml:space="preserve">YES</x:t>
        </x:is>
      </x:c>
      <x:c r="CJ5" t="inlineStr">
        <x:is>
          <x:t xml:space="preserve">Shortage under review</x:t>
        </x:is>
      </x:c>
      <x:c r="CK5" s="64" t="n">
        <x:v>7743.831499999999</x:v>
      </x:c>
      <x:c r="CL5" s="64" t="n">
        <x:v>7610.389999999999</x:v>
      </x:c>
      <x:c r="CM5" t="inlineStr">
        <x:is>
          <x:t xml:space="preserve">Motor Truck Cargo</x:t>
        </x:is>
      </x:c>
      <x:c r="CN5" t="inlineStr">
        <x:is>
          <x:t xml:space="preserve">YES</x:t>
        </x:is>
      </x:c>
      <x:c r="CO5" t="inlineStr">
        <x:is>
          <x:t xml:space="preserve">YES</x:t>
        </x:is>
      </x:c>
      <x:c r="CP5" s="64" t="n">
        <x:v>2038</x:v>
      </x:c>
      <x:c r="CQ5" s="64" t="n">
        <x:v>546</x:v>
      </x:c>
      <x:c r="CR5" t="inlineStr">
        <x:is>
          <x:t xml:space="preserve">NO</x:t>
        </x:is>
      </x:c>
      <x:c r="CS5" t="inlineStr">
        <x:is>
          <x:t xml:space="preserve"/>
        </x:is>
      </x:c>
      <x:c r="CT5" t="inlineStr">
        <x:is>
          <x:t xml:space="preserve">COMPLETE</x:t>
        </x:is>
      </x:c>
      <x:c r="CU5" t="inlineStr">
        <x:is>
          <x:t xml:space="preserve">NC</x:t>
        </x:is>
      </x:c>
      <x:c r="CV5" t="inlineStr">
        <x:is>
          <x:t xml:space="preserve">GA</x:t>
        </x:is>
      </x:c>
    </x:row>
    <x:row r="6">
      <x:c r="A6" t="inlineStr">
        <x:is>
          <x:t xml:space="preserve">L-505</x:t>
        </x:is>
      </x:c>
      <x:c r="B6" t="inlineStr">
        <x:is>
          <x:t xml:space="preserve">DRV-005</x:t>
        </x:is>
      </x:c>
      <x:c r="C6" t="inlineStr">
        <x:is>
          <x:t xml:space="preserve">Kenji Tanaka</x:t>
        </x:is>
      </x:c>
      <x:c r="D6" t="inlineStr">
        <x:is>
          <x:t xml:space="preserve">T-104</x:t>
        </x:is>
      </x:c>
      <x:c r="E6" s="64" t="n">
        <x:v>2200</x:v>
      </x:c>
      <x:c r="F6" s="64" t="n">
        <x:v>45</x:v>
      </x:c>
      <x:c r="G6" t="inlineStr">
        <x:is>
          <x:t xml:space="preserve">DELIVERED</x:t>
        </x:is>
      </x:c>
      <x:c r="H6" t="inlineStr">
        <x:is>
          <x:t xml:space="preserve">DELIVERED</x:t>
        </x:is>
      </x:c>
      <x:c r="I6" t="str">
        <x:f>IF(L6="","PENDING",IF(L6&lt;&gt;J6,"MISMATCH","VERIFIED"))</x:f>
        <x:v>MISMATCH</x:v>
      </x:c>
      <x:c r="J6" t="inlineStr">
        <x:is>
          <x:t xml:space="preserve">VERIFIED</x:t>
        </x:is>
      </x:c>
      <x:c r="K6" t="inlineStr">
        <x:is>
          <x:t xml:space="preserve">NO</x:t>
        </x:is>
      </x:c>
      <x:c r="L6" t="inlineStr">
        <x:is>
          <x:t xml:space="preserve">CLOSED</x:t>
        </x:is>
      </x:c>
      <x:c r="M6">
        <x:f>IF(N6="MISMATCH","SEAL_MISMATCH",IF(OR(K6="",M6=""),"PHOTO_MISSING",""))</x:f>
      </x:c>
      <x:c r="N6" t="inlineStr">
        <x:is>
          <x:t xml:space="preserve">READY</x:t>
        </x:is>
      </x:c>
      <x:c r="O6" t="inlineStr">
        <x:is>
          <x:t xml:space="preserve">/documents/loads/L-505_RC.pdf</x:t>
        </x:is>
      </x:c>
      <x:c r="P6" t="inlineStr">
        <x:is>
          <x:t xml:space="preserve">/documents/loads/L-505_BOL.pdf</x:t>
        </x:is>
      </x:c>
      <x:c r="Q6" t="inlineStr">
        <x:is>
          <x:t xml:space="preserve">/documents/loads/L-505_PICKUP_SEAL.jpg</x:t>
        </x:is>
      </x:c>
      <x:c r="R6" t="inlineStr">
        <x:is>
          <x:t xml:space="preserve">/documents/loads/L-505_DELIVERY_SEAL.jpg</x:t>
        </x:is>
      </x:c>
      <x:c r="S6" t="inlineStr">
        <x:is>
          <x:t xml:space="preserve">/drivers/DRV-005.jpg</x:t>
        </x:is>
      </x:c>
      <x:c r="T6" t="inlineStr">
        <x:is>
          <x:t xml:space="preserve">/images/pod/L-505_POD.jpg</x:t>
        </x:is>
      </x:c>
      <x:c r="U6" t="inlineStr">
        <x:is>
          <x:t xml:space="preserve">/images/pickup/L-505_PICKUP.jpg</x:t>
        </x:is>
      </x:c>
      <x:c r="V6" t="inlineStr">
        <x:is>
          <x:t xml:space="preserve">/images/delivery/L-505_DELIVERY.jpg</x:t>
        </x:is>
      </x:c>
      <x:c r="W6" t="inlineStr">
        <x:is>
          <x:t xml:space="preserve">/images/lumper/L-505_LUMPER.jpg</x:t>
        </x:is>
      </x:c>
      <x:c r="X6" t="inlineStr">
        <x:is>
          <x:t xml:space="preserve">Nina Harris</x:t>
        </x:is>
      </x:c>
      <x:c r="Y6" t="inlineStr">
        <x:is>
          <x:t xml:space="preserve">Pioneer Brokerage</x:t>
        </x:is>
      </x:c>
      <x:c r="Z6" t="inlineStr">
        <x:is>
          <x:t xml:space="preserve">MC-699114</x:t>
        </x:is>
      </x:c>
      <x:c r="AA6" t="inlineStr">
        <x:is>
          <x:t xml:space="preserve">Frontier Retail DC</x:t>
        </x:is>
      </x:c>
      <x:c r="AB6" t="inlineStr">
        <x:is>
          <x:t xml:space="preserve">5600 Warehouse Way</x:t>
        </x:is>
      </x:c>
      <x:c r="AC6" t="inlineStr">
        <x:is>
          <x:t xml:space="preserve">Dallas</x:t>
        </x:is>
      </x:c>
      <x:c r="AD6" t="inlineStr">
        <x:is>
          <x:t xml:space="preserve">TX</x:t>
        </x:is>
      </x:c>
      <x:c r="AE6" s="57" t="n">
        <x:v>45847.58333333334</x:v>
      </x:c>
      <x:c r="AF6" t="inlineStr">
        <x:is>
          <x:t xml:space="preserve">Metro Supply Chain</x:t>
        </x:is>
      </x:c>
      <x:c r="AG6" t="inlineStr">
        <x:is>
          <x:t xml:space="preserve">120 Junction Rd</x:t>
        </x:is>
      </x:c>
      <x:c r="AH6" t="inlineStr">
        <x:is>
          <x:t xml:space="preserve">Chicago</x:t>
        </x:is>
      </x:c>
      <x:c r="AI6" t="inlineStr">
        <x:is>
          <x:t xml:space="preserve">IL</x:t>
        </x:is>
      </x:c>
      <x:c r="AJ6" s="57" t="n">
        <x:v>45850</x:v>
      </x:c>
      <x:c r="AK6" t="inlineStr">
        <x:is>
          <x:t xml:space="preserve">Paper products</x:t>
        </x:is>
      </x:c>
      <x:c r="AL6" s="68" t="n">
        <x:v>26845</x:v>
      </x:c>
      <x:c r="AM6" s="68" t="n">
        <x:v>19</x:v>
      </x:c>
      <x:c r="AN6" s="68" t="n">
        <x:v>779</x:v>
      </x:c>
      <x:c r="AO6" t="inlineStr">
        <x:is>
          <x:t xml:space="preserve">TRL-2432</x:t>
        </x:is>
      </x:c>
      <x:c r="AP6" t="inlineStr">
        <x:is>
          <x:t xml:space="preserve">RC-505-963</x:t>
        </x:is>
      </x:c>
      <x:c r="AQ6" t="inlineStr">
        <x:is>
          <x:t xml:space="preserve">BOL-505-1916</x:t>
        </x:is>
      </x:c>
      <x:c r="AR6" t="inlineStr">
        <x:is>
          <x:t xml:space="preserve">YES</x:t>
        </x:is>
      </x:c>
      <x:c r="AS6" s="57" t="n">
        <x:v>45850.08333333334</x:v>
      </x:c>
      <x:c r="AT6" s="64" t="n">
        <x:v>0</x:v>
      </x:c>
      <x:c r="AU6" t="inlineStr">
        <x:is>
          <x:t xml:space="preserve">RFID-505-51347</x:t>
        </x:is>
      </x:c>
      <x:c r="AV6" s="57" t="n">
        <x:v>45847.60416666666</x:v>
      </x:c>
      <x:c r="AW6" s="57" t="n">
        <x:v>45850.01875</x:v>
      </x:c>
      <x:c r="AX6" t="inlineStr">
        <x:is>
          <x:t xml:space="preserve">Dallas Yard Gate 1</x:t>
        </x:is>
      </x:c>
      <x:c r="AY6" t="inlineStr">
        <x:is>
          <x:t xml:space="preserve">VERIFIED</x:t>
        </x:is>
      </x:c>
      <x:c r="AZ6" t="inlineStr">
        <x:is>
          <x:t xml:space="preserve"/>
        </x:is>
      </x:c>
      <x:c r="BA6" t="inlineStr">
        <x:is>
          <x:t xml:space="preserve"/>
        </x:is>
      </x:c>
      <x:c r="BB6" t="inlineStr">
        <x:is>
          <x:t xml:space="preserve">NO_CLAIM</x:t>
        </x:is>
      </x:c>
      <x:c r="BC6" t="inlineStr">
        <x:is>
          <x:t xml:space="preserve"/>
        </x:is>
      </x:c>
      <x:c r="BD6" s="55" t="n"/>
      <x:c r="BE6" s="64" t="n">
        <x:v>0</x:v>
      </x:c>
      <x:c r="BF6" s="64" t="n">
        <x:v>500</x:v>
      </x:c>
      <x:c r="BG6" t="inlineStr">
        <x:is>
          <x:t xml:space="preserve"/>
        </x:is>
      </x:c>
      <x:c r="BH6" t="inlineStr">
        <x:is>
          <x:t xml:space="preserve">Zurich</x:t>
        </x:is>
      </x:c>
      <x:c r="BI6" t="inlineStr">
        <x:is>
          <x:t xml:space="preserve">POL-660006</x:t>
        </x:is>
      </x:c>
      <x:c r="BJ6" t="inlineStr">
        <x:is>
          <x:t xml:space="preserve">Rapid Parts - Memphis, TN</x:t>
        </x:is>
      </x:c>
      <x:c r="BK6" t="inlineStr">
        <x:is>
          <x:t xml:space="preserve">Delta Retail DC - Nashville, TN</x:t>
        </x:is>
      </x:c>
      <x:c r="BL6" s="55" t="n">
        <x:v>46212</x:v>
      </x:c>
      <x:c r="BM6" s="55" t="n">
        <x:v>46213</x:v>
      </x:c>
      <x:c r="BN6" t="inlineStr">
        <x:is>
          <x:t xml:space="preserve">08:00-11:00</x:t>
        </x:is>
      </x:c>
      <x:c r="BO6" t="inlineStr">
        <x:is>
          <x:t xml:space="preserve">10:00-14:00</x:t>
        </x:is>
      </x:c>
      <x:c r="BP6" s="64" t="n">
        <x:v>2245</x:v>
      </x:c>
      <x:c r="BQ6" s="64" t="n">
        <x:v>1804</x:v>
      </x:c>
      <x:c r="BR6" s="64" t="n">
        <x:v>264</x:v>
      </x:c>
      <x:c r="BS6" s="64" t="n">
        <x:v>25</x:v>
      </x:c>
      <x:c r="BT6" s="64" t="n">
        <x:v>107</x:v>
      </x:c>
      <x:c r="BU6" t="n">
        <x:v>468</x:v>
      </x:c>
      <x:c r="BV6" t="inlineStr">
        <x:is>
          <x:t xml:space="preserve">BLN-100504</x:t>
        </x:is>
      </x:c>
      <x:c r="BW6" t="inlineStr">
        <x:is>
          <x:t xml:space="preserve">PO-84004</x:t>
        </x:is>
      </x:c>
      <x:c r="BX6" t="inlineStr">
        <x:is>
          <x:t xml:space="preserve">PENDING</x:t>
        </x:is>
      </x:c>
      <x:c r="BY6" t="inlineStr">
        <x:is>
          <x:t xml:space="preserve">/images/pod/L-505_POD.jpg</x:t>
        </x:is>
      </x:c>
      <x:c r="BZ6" t="inlineStr">
        <x:is>
          <x:t xml:space="preserve">Warehouse Clerk</x:t>
        </x:is>
      </x:c>
      <x:c r="CA6" t="inlineStr">
        <x:is>
          <x:t xml:space="preserve">UPLOADED</x:t>
        </x:is>
      </x:c>
      <x:c r="CB6" s="55" t="n">
        <x:v>46212</x:v>
      </x:c>
      <x:c r="CC6" t="inlineStr">
        <x:is>
          <x:t xml:space="preserve">UPLOADED</x:t>
        </x:is>
      </x:c>
      <x:c r="CD6" s="55" t="n">
        <x:v>46211</x:v>
      </x:c>
      <x:c r="CE6" t="inlineStr">
        <x:is>
          <x:t xml:space="preserve">TRAIL-2006</x:t>
        </x:is>
      </x:c>
      <x:c r="CF6" t="inlineStr">
        <x:is>
          <x:t xml:space="preserve">CARGO-5006</x:t>
        </x:is>
      </x:c>
      <x:c r="CG6" s="57" t="n">
        <x:v>46213.42708333334</x:v>
      </x:c>
      <x:c r="CH6" t="inlineStr">
        <x:is>
          <x:t xml:space="preserve">Receiver Gate 1</x:t>
        </x:is>
      </x:c>
      <x:c r="CI6" t="inlineStr">
        <x:is>
          <x:t xml:space="preserve">NO</x:t>
        </x:is>
      </x:c>
      <x:c r="CJ6" t="inlineStr">
        <x:is>
          <x:t xml:space="preserve">No active claim</x:t>
        </x:is>
      </x:c>
      <x:c r="CK6" s="64" t="n">
        <x:v>0</x:v>
      </x:c>
      <x:c r="CL6" s="64" t="n">
        <x:v>0</x:v>
      </x:c>
      <x:c r="CM6" t="inlineStr">
        <x:is>
          <x:t xml:space="preserve">Auto Liability</x:t>
        </x:is>
      </x:c>
      <x:c r="CN6" t="inlineStr">
        <x:is>
          <x:t xml:space="preserve">NO</x:t>
        </x:is>
      </x:c>
      <x:c r="CO6" t="inlineStr">
        <x:is>
          <x:t xml:space="preserve">YES</x:t>
        </x:is>
      </x:c>
      <x:c r="CP6" s="64" t="n">
        <x:v>2245</x:v>
      </x:c>
      <x:c r="CQ6" s="64" t="n">
        <x:v>616</x:v>
      </x:c>
      <x:c r="CR6" t="inlineStr">
        <x:is>
          <x:t xml:space="preserve">NO</x:t>
        </x:is>
      </x:c>
      <x:c r="CS6" t="inlineStr">
        <x:is>
          <x:t xml:space="preserve"/>
        </x:is>
      </x:c>
      <x:c r="CT6" t="inlineStr">
        <x:is>
          <x:t xml:space="preserve">COMPLETE</x:t>
        </x:is>
      </x:c>
      <x:c r="CU6" t="inlineStr">
        <x:is>
          <x:t xml:space="preserve">TX</x:t>
        </x:is>
      </x:c>
      <x:c r="CV6" t="inlineStr">
        <x:is>
          <x:t xml:space="preserve">IL</x:t>
        </x:is>
      </x:c>
    </x:row>
    <x:row r="7">
      <x:c r="A7" t="inlineStr">
        <x:is>
          <x:t xml:space="preserve">L-506</x:t>
        </x:is>
      </x:c>
      <x:c r="B7" t="inlineStr">
        <x:is>
          <x:t xml:space="preserve">DRV-006</x:t>
        </x:is>
      </x:c>
      <x:c r="C7" t="inlineStr">
        <x:is>
          <x:t xml:space="preserve">Marcus Chen</x:t>
        </x:is>
      </x:c>
      <x:c r="D7" t="inlineStr">
        <x:is>
          <x:t xml:space="preserve">T-103</x:t>
        </x:is>
      </x:c>
      <x:c r="E7" s="64" t="n">
        <x:v>2050</x:v>
      </x:c>
      <x:c r="F7" s="64" t="n">
        <x:v>72</x:v>
      </x:c>
      <x:c r="G7" t="inlineStr">
        <x:is>
          <x:t xml:space="preserve">DELIVERED</x:t>
        </x:is>
      </x:c>
      <x:c r="H7" t="inlineStr">
        <x:is>
          <x:t xml:space="preserve">DELIVERED</x:t>
        </x:is>
      </x:c>
      <x:c r="I7" t="str">
        <x:f>IF(L7="","PENDING",IF(L7&lt;&gt;J7,"MISMATCH","VERIFIED"))</x:f>
        <x:v>MISMATCH</x:v>
      </x:c>
      <x:c r="J7" t="inlineStr">
        <x:is>
          <x:t xml:space="preserve">MISSING_DELIVERY_SEAL</x:t>
        </x:is>
      </x:c>
      <x:c r="K7" t="inlineStr">
        <x:is>
          <x:t xml:space="preserve">YES</x:t>
        </x:is>
      </x:c>
      <x:c r="L7" t="inlineStr">
        <x:is>
          <x:t xml:space="preserve">OPEN</x:t>
        </x:is>
      </x:c>
      <x:c r="M7">
        <x:f>IF(N7="MISMATCH","SEAL_MISMATCH",IF(OR(K7="",M7=""),"PHOTO_MISSING",""))</x:f>
      </x:c>
      <x:c r="N7" t="inlineStr">
        <x:is>
          <x:t xml:space="preserve">READY</x:t>
        </x:is>
      </x:c>
      <x:c r="O7" t="inlineStr">
        <x:is>
          <x:t xml:space="preserve">/documents/loads/L-506_RC.pdf</x:t>
        </x:is>
      </x:c>
      <x:c r="P7" t="inlineStr">
        <x:is>
          <x:t xml:space="preserve">/documents/loads/L-506_BOL.pdf</x:t>
        </x:is>
      </x:c>
      <x:c r="Q7" t="inlineStr">
        <x:is>
          <x:t xml:space="preserve">/documents/loads/L-506_PICKUP_SEAL.jpg</x:t>
        </x:is>
      </x:c>
      <x:c r="R7" t="inlineStr">
        <x:is>
          <x:t xml:space="preserve">/documents/loads/L-506_DELIVERY_SEAL.jpg</x:t>
        </x:is>
      </x:c>
      <x:c r="S7" t="inlineStr">
        <x:is>
          <x:t xml:space="preserve">/drivers/DRV-006.jpg</x:t>
        </x:is>
      </x:c>
      <x:c r="T7" t="inlineStr">
        <x:is>
          <x:t xml:space="preserve">/images/pod/L-506_POD.jpg</x:t>
        </x:is>
      </x:c>
      <x:c r="U7" t="inlineStr">
        <x:is>
          <x:t xml:space="preserve">/images/pickup/L-506_PICKUP.jpg</x:t>
        </x:is>
      </x:c>
      <x:c r="V7" t="inlineStr">
        <x:is>
          <x:t xml:space="preserve">/images/delivery/L-506_DELIVERY.jpg</x:t>
        </x:is>
      </x:c>
      <x:c r="W7" t="inlineStr">
        <x:is>
          <x:t xml:space="preserve">/images/lumper/L-506_LUMPER.jpg</x:t>
        </x:is>
      </x:c>
      <x:c r="X7" t="inlineStr">
        <x:is>
          <x:t xml:space="preserve">Tina Brooks</x:t>
        </x:is>
      </x:c>
      <x:c r="Y7" t="inlineStr">
        <x:is>
          <x:t xml:space="preserve">BlueLine Logistics</x:t>
        </x:is>
      </x:c>
      <x:c r="Z7" t="inlineStr">
        <x:is>
          <x:t xml:space="preserve">MC-782104</x:t>
        </x:is>
      </x:c>
      <x:c r="AA7" t="inlineStr">
        <x:is>
          <x:t xml:space="preserve">Ozark Building Supply</x:t>
        </x:is>
      </x:c>
      <x:c r="AB7" t="inlineStr">
        <x:is>
          <x:t xml:space="preserve">710 Quarry Rd</x:t>
        </x:is>
      </x:c>
      <x:c r="AC7" t="inlineStr">
        <x:is>
          <x:t xml:space="preserve">Springfield</x:t>
        </x:is>
      </x:c>
      <x:c r="AD7" t="inlineStr">
        <x:is>
          <x:t xml:space="preserve">MO</x:t>
        </x:is>
      </x:c>
      <x:c r="AE7" s="57" t="n">
        <x:v>45849.70833333334</x:v>
      </x:c>
      <x:c r="AF7" t="inlineStr">
        <x:is>
          <x:t xml:space="preserve">River City Distribution</x:t>
        </x:is>
      </x:c>
      <x:c r="AG7" t="inlineStr">
        <x:is>
          <x:t xml:space="preserve">2100 Depot Ave</x:t>
        </x:is>
      </x:c>
      <x:c r="AH7" t="inlineStr">
        <x:is>
          <x:t xml:space="preserve">Nashville</x:t>
        </x:is>
      </x:c>
      <x:c r="AI7" t="inlineStr">
        <x:is>
          <x:t xml:space="preserve">TN</x:t>
        </x:is>
      </x:c>
      <x:c r="AJ7" s="57" t="n">
        <x:v>45853.16666666666</x:v>
      </x:c>
      <x:c r="AK7" t="inlineStr">
        <x:is>
          <x:t xml:space="preserve">Consumer packaged goods</x:t>
        </x:is>
      </x:c>
      <x:c r="AL7" s="68" t="n">
        <x:v>30964</x:v>
      </x:c>
      <x:c r="AM7" s="68" t="n">
        <x:v>26</x:v>
      </x:c>
      <x:c r="AN7" s="68" t="n">
        <x:v>624</x:v>
      </x:c>
      <x:c r="AO7" t="inlineStr">
        <x:is>
          <x:t xml:space="preserve">TRL-2371</x:t>
        </x:is>
      </x:c>
      <x:c r="AP7" t="inlineStr">
        <x:is>
          <x:t xml:space="preserve">RC-506-242</x:t>
        </x:is>
      </x:c>
      <x:c r="AQ7" t="inlineStr">
        <x:is>
          <x:t xml:space="preserve">BOL-506-5040</x:t>
        </x:is>
      </x:c>
      <x:c r="AR7" t="inlineStr">
        <x:is>
          <x:t xml:space="preserve">YES</x:t>
        </x:is>
      </x:c>
      <x:c r="AS7" s="57" t="n">
        <x:v>45853.41666666666</x:v>
      </x:c>
      <x:c r="AT7" s="64" t="n">
        <x:v>315</x:v>
      </x:c>
      <x:c r="AU7" t="inlineStr">
        <x:is>
          <x:t xml:space="preserve">RFID-506-80644</x:t>
        </x:is>
      </x:c>
      <x:c r="AV7" s="57" t="n">
        <x:v>45849.72291666667</x:v>
      </x:c>
      <x:c r="AW7" s="57" t="n">
        <x:v>45853.20625</x:v>
      </x:c>
      <x:c r="AX7" t="inlineStr">
        <x:is>
          <x:t xml:space="preserve">Springfield Yard Gate 4</x:t>
        </x:is>
      </x:c>
      <x:c r="AY7" t="inlineStr">
        <x:is>
          <x:t xml:space="preserve">VERIFIED</x:t>
        </x:is>
      </x:c>
      <x:c r="AZ7" t="inlineStr">
        <x:is>
          <x:t xml:space="preserve">NO_FINAL_SCAN</x:t>
        </x:is>
      </x:c>
      <x:c r="BA7" t="inlineStr">
        <x:is>
          <x:t xml:space="preserve">CLM-506-3266</x:t>
        </x:is>
      </x:c>
      <x:c r="BB7" t="inlineStr">
        <x:is>
          <x:t xml:space="preserve">SETTLED</x:t>
        </x:is>
      </x:c>
      <x:c r="BC7" t="inlineStr">
        <x:is>
          <x:t xml:space="preserve">Late Delivery</x:t>
        </x:is>
      </x:c>
      <x:c r="BD7" s="55" t="n">
        <x:v>45853</x:v>
      </x:c>
      <x:c r="BE7" s="64" t="n">
        <x:v>2268.19</x:v>
      </x:c>
      <x:c r="BF7" s="64" t="n">
        <x:v>500</x:v>
      </x:c>
      <x:c r="BG7" t="inlineStr">
        <x:is>
          <x:t xml:space="preserve">Kelly Moore</x:t>
        </x:is>
      </x:c>
      <x:c r="BH7" t="inlineStr">
        <x:is>
          <x:t xml:space="preserve">Travelers Inland Marine</x:t>
        </x:is>
      </x:c>
      <x:c r="BI7" t="inlineStr">
        <x:is>
          <x:t xml:space="preserve">POL-757924</x:t>
        </x:is>
      </x:c>
      <x:c r="BJ7" t="inlineStr">
        <x:is>
          <x:t xml:space="preserve">Prime Consumer - Atlanta, GA</x:t>
        </x:is>
      </x:c>
      <x:c r="BK7" t="inlineStr">
        <x:is>
          <x:t xml:space="preserve">Union Crossdock - Cleveland, OH</x:t>
        </x:is>
      </x:c>
      <x:c r="BL7" s="55" t="n">
        <x:v>46214</x:v>
      </x:c>
      <x:c r="BM7" s="55" t="n">
        <x:v>46215</x:v>
      </x:c>
      <x:c r="BN7" t="inlineStr">
        <x:is>
          <x:t xml:space="preserve">09:00-12:00</x:t>
        </x:is>
      </x:c>
      <x:c r="BO7" t="inlineStr">
        <x:is>
          <x:t xml:space="preserve">11:00-15:00</x:t>
        </x:is>
      </x:c>
      <x:c r="BP7" s="64" t="n">
        <x:v>2122</x:v>
      </x:c>
      <x:c r="BQ7" s="64" t="n">
        <x:v>1681</x:v>
      </x:c>
      <x:c r="BR7" s="64" t="n">
        <x:v>246</x:v>
      </x:c>
      <x:c r="BS7" s="64" t="n">
        <x:v>0</x:v>
      </x:c>
      <x:c r="BT7" s="64" t="n">
        <x:v>123</x:v>
      </x:c>
      <x:c r="BU7" t="n">
        <x:v>525</x:v>
      </x:c>
      <x:c r="BV7" t="inlineStr">
        <x:is>
          <x:t xml:space="preserve">BLN-100505</x:t>
        </x:is>
      </x:c>
      <x:c r="BW7" t="inlineStr">
        <x:is>
          <x:t xml:space="preserve">PO-84005</x:t>
        </x:is>
      </x:c>
      <x:c r="BX7" t="inlineStr">
        <x:is>
          <x:t xml:space="preserve">RECEIVED</x:t>
        </x:is>
      </x:c>
      <x:c r="BY7" t="inlineStr">
        <x:is>
          <x:t xml:space="preserve">/images/pod/L-506_POD.jpg</x:t>
        </x:is>
      </x:c>
      <x:c r="BZ7" t="inlineStr">
        <x:is>
          <x:t xml:space="preserve">Receiver</x:t>
        </x:is>
      </x:c>
      <x:c r="CA7" t="inlineStr">
        <x:is>
          <x:t xml:space="preserve">UPLOADED</x:t>
        </x:is>
      </x:c>
      <x:c r="CB7" s="55" t="n">
        <x:v>46214</x:v>
      </x:c>
      <x:c r="CC7" t="inlineStr">
        <x:is>
          <x:t xml:space="preserve">UPLOADED</x:t>
        </x:is>
      </x:c>
      <x:c r="CD7" s="55" t="n">
        <x:v>46213</x:v>
      </x:c>
      <x:c r="CE7" t="inlineStr">
        <x:is>
          <x:t xml:space="preserve">TRAIL-2007</x:t>
        </x:is>
      </x:c>
      <x:c r="CF7" t="inlineStr">
        <x:is>
          <x:t xml:space="preserve">CARGO-5007</x:t>
        </x:is>
      </x:c>
      <x:c r="CG7" s="57" t="n">
        <x:v>46215.42708333334</x:v>
      </x:c>
      <x:c r="CH7" t="inlineStr">
        <x:is>
          <x:t xml:space="preserve">Dock Door 3</x:t>
        </x:is>
      </x:c>
      <x:c r="CI7" t="inlineStr">
        <x:is>
          <x:t xml:space="preserve">YES</x:t>
        </x:is>
      </x:c>
      <x:c r="CJ7" t="inlineStr">
        <x:is>
          <x:t xml:space="preserve">Minor dock scrape</x:t>
        </x:is>
      </x:c>
      <x:c r="CK7" s="64" t="n">
        <x:v>1927.9615</x:v>
      </x:c>
      <x:c r="CL7" s="64" t="n">
        <x:v>1768.19</x:v>
      </x:c>
      <x:c r="CM7" t="inlineStr">
        <x:is>
          <x:t xml:space="preserve">General Liability</x:t>
        </x:is>
      </x:c>
      <x:c r="CN7" t="inlineStr">
        <x:is>
          <x:t xml:space="preserve">YES</x:t>
        </x:is>
      </x:c>
      <x:c r="CO7" t="inlineStr">
        <x:is>
          <x:t xml:space="preserve">YES</x:t>
        </x:is>
      </x:c>
      <x:c r="CP7" s="64" t="n">
        <x:v>2122</x:v>
      </x:c>
      <x:c r="CQ7" s="64" t="n">
        <x:v>574</x:v>
      </x:c>
      <x:c r="CR7" t="inlineStr">
        <x:is>
          <x:t xml:space="preserve">NO</x:t>
        </x:is>
      </x:c>
      <x:c r="CS7" t="inlineStr">
        <x:is>
          <x:t xml:space="preserve"/>
        </x:is>
      </x:c>
      <x:c r="CT7" t="inlineStr">
        <x:is>
          <x:t xml:space="preserve">COMPLETE</x:t>
        </x:is>
      </x:c>
      <x:c r="CU7" t="inlineStr">
        <x:is>
          <x:t xml:space="preserve">MO</x:t>
        </x:is>
      </x:c>
      <x:c r="CV7" t="inlineStr">
        <x:is>
          <x:t xml:space="preserve">TN</x:t>
        </x:is>
      </x:c>
    </x:row>
    <x:row r="8">
      <x:c r="A8" t="inlineStr">
        <x:is>
          <x:t xml:space="preserve">L-507</x:t>
        </x:is>
      </x:c>
      <x:c r="B8" t="inlineStr">
        <x:is>
          <x:t xml:space="preserve">DRV-007</x:t>
        </x:is>
      </x:c>
      <x:c r="C8" t="inlineStr">
        <x:is>
          <x:t xml:space="preserve">Sofia Gomez</x:t>
        </x:is>
      </x:c>
      <x:c r="D8" t="inlineStr">
        <x:is>
          <x:t xml:space="preserve">T-109</x:t>
        </x:is>
      </x:c>
      <x:c r="E8" s="64" t="n">
        <x:v>2300</x:v>
      </x:c>
      <x:c r="F8" s="64" t="n">
        <x:v>58</x:v>
      </x:c>
      <x:c r="G8" t="inlineStr">
        <x:is>
          <x:t xml:space="preserve">IN_TRANSIT</x:t>
        </x:is>
      </x:c>
      <x:c r="H8" t="inlineStr">
        <x:is>
          <x:t xml:space="preserve">IN_TRANSIT</x:t>
        </x:is>
      </x:c>
      <x:c r="I8" t="str">
        <x:f>IF(L8="","PENDING",IF(L8&lt;&gt;J8,"MISMATCH","VERIFIED"))</x:f>
        <x:v>MISMATCH</x:v>
      </x:c>
      <x:c r="J8" t="inlineStr">
        <x:is>
          <x:t xml:space="preserve">SEAL_MISMATCH</x:t>
        </x:is>
      </x:c>
      <x:c r="K8" t="inlineStr">
        <x:is>
          <x:t xml:space="preserve">YES</x:t>
        </x:is>
      </x:c>
      <x:c r="L8" t="inlineStr">
        <x:is>
          <x:t xml:space="preserve">OPEN</x:t>
        </x:is>
      </x:c>
      <x:c r="M8">
        <x:f>IF(N8="MISMATCH","SEAL_MISMATCH",IF(OR(K8="",M8=""),"PHOTO_MISSING",""))</x:f>
      </x:c>
      <x:c r="N8" t="inlineStr">
        <x:is>
          <x:t xml:space="preserve">PENDING</x:t>
        </x:is>
      </x:c>
      <x:c r="O8" t="inlineStr">
        <x:is>
          <x:t xml:space="preserve">/documents/loads/L-507_RC.pdf</x:t>
        </x:is>
      </x:c>
      <x:c r="P8" t="inlineStr">
        <x:is>
          <x:t xml:space="preserve">/documents/loads/L-507_BOL.pdf</x:t>
        </x:is>
      </x:c>
      <x:c r="Q8" t="inlineStr">
        <x:is>
          <x:t xml:space="preserve">/documents/loads/L-507_PICKUP_SEAL.jpg</x:t>
        </x:is>
      </x:c>
      <x:c r="R8" t="inlineStr">
        <x:is>
          <x:t xml:space="preserve">/documents/loads/L-507_DELIVERY_SEAL.jpg</x:t>
        </x:is>
      </x:c>
      <x:c r="S8" t="inlineStr">
        <x:is>
          <x:t xml:space="preserve">/drivers/DRV-007.jpg</x:t>
        </x:is>
      </x:c>
      <x:c r="T8" t="inlineStr">
        <x:is>
          <x:t xml:space="preserve">/images/pod/L-507_POD.jpg</x:t>
        </x:is>
      </x:c>
      <x:c r="U8" t="inlineStr">
        <x:is>
          <x:t xml:space="preserve">/images/pickup/L-507_PICKUP.jpg</x:t>
        </x:is>
      </x:c>
      <x:c r="V8" t="inlineStr">
        <x:is>
          <x:t xml:space="preserve">/images/delivery/L-507_DELIVERY.jpg</x:t>
        </x:is>
      </x:c>
      <x:c r="W8" t="inlineStr">
        <x:is>
          <x:t xml:space="preserve">/images/lumper/L-507_LUMPER.jpg</x:t>
        </x:is>
      </x:c>
      <x:c r="X8" t="inlineStr">
        <x:is>
          <x:t xml:space="preserve">Jamal Reeves</x:t>
        </x:is>
      </x:c>
      <x:c r="Y8" t="inlineStr">
        <x:is>
          <x:t xml:space="preserve">Summit Freight</x:t>
        </x:is>
      </x:c>
      <x:c r="Z8" t="inlineStr">
        <x:is>
          <x:t xml:space="preserve">MC-641255</x:t>
        </x:is>
      </x:c>
      <x:c r="AA8" t="inlineStr">
        <x:is>
          <x:t xml:space="preserve">Prairie Grain Co.</x:t>
        </x:is>
      </x:c>
      <x:c r="AB8" t="inlineStr">
        <x:is>
          <x:t xml:space="preserve">443 County Line Rd</x:t>
        </x:is>
      </x:c>
      <x:c r="AC8" t="inlineStr">
        <x:is>
          <x:t xml:space="preserve">Omaha</x:t>
        </x:is>
      </x:c>
      <x:c r="AD8" t="inlineStr">
        <x:is>
          <x:t xml:space="preserve">NE</x:t>
        </x:is>
      </x:c>
      <x:c r="AE8" s="57" t="n">
        <x:v>45851.70833333334</x:v>
      </x:c>
      <x:c r="AF8" t="inlineStr">
        <x:is>
          <x:t xml:space="preserve">Keystone Wholesale</x:t>
        </x:is>
      </x:c>
      <x:c r="AG8" t="inlineStr">
        <x:is>
          <x:t xml:space="preserve">88 Liberty St</x:t>
        </x:is>
      </x:c>
      <x:c r="AH8" t="inlineStr">
        <x:is>
          <x:t xml:space="preserve">Pittsburgh</x:t>
        </x:is>
      </x:c>
      <x:c r="AI8" t="inlineStr">
        <x:is>
          <x:t xml:space="preserve">PA</x:t>
        </x:is>
      </x:c>
      <x:c r="AJ8" s="57" t="n">
        <x:v>45854.91666666666</x:v>
      </x:c>
      <x:c r="AK8" t="inlineStr">
        <x:is>
          <x:t xml:space="preserve">Beverages</x:t>
        </x:is>
      </x:c>
      <x:c r="AL8" s="68" t="n">
        <x:v>30608</x:v>
      </x:c>
      <x:c r="AM8" s="68" t="n">
        <x:v>24</x:v>
      </x:c>
      <x:c r="AN8" s="68" t="n">
        <x:v>936</x:v>
      </x:c>
      <x:c r="AO8" t="inlineStr">
        <x:is>
          <x:t xml:space="preserve">TRL-2579</x:t>
        </x:is>
      </x:c>
      <x:c r="AP8" t="inlineStr">
        <x:is>
          <x:t xml:space="preserve">RC-507-641</x:t>
        </x:is>
      </x:c>
      <x:c r="AQ8" t="inlineStr">
        <x:is>
          <x:t xml:space="preserve">BOL-507-5119</x:t>
        </x:is>
      </x:c>
      <x:c r="AR8" t="inlineStr">
        <x:is>
          <x:t xml:space="preserve">PENDING</x:t>
        </x:is>
      </x:c>
      <x:c r="AS8" s="57" t="n">
        <x:v>46217.45833333334</x:v>
      </x:c>
      <x:c r="AT8" s="64" t="n">
        <x:v>315</x:v>
      </x:c>
      <x:c r="AU8" t="inlineStr">
        <x:is>
          <x:t xml:space="preserve">RFID-507-11504</x:t>
        </x:is>
      </x:c>
      <x:c r="AV8" s="57" t="n">
        <x:v>45851.71666666667</x:v>
      </x:c>
      <x:c r="AW8" s="57" t="n">
        <x:v>46217.41666666666</x:v>
      </x:c>
      <x:c r="AX8" t="inlineStr">
        <x:is>
          <x:t xml:space="preserve">Omaha Yard Gate 3</x:t>
        </x:is>
      </x:c>
      <x:c r="AY8" t="inlineStr">
        <x:is>
          <x:t xml:space="preserve">VERIFIED</x:t>
        </x:is>
      </x:c>
      <x:c r="AZ8" t="inlineStr">
        <x:is>
          <x:t xml:space="preserve">MISREAD_AT_GATE</x:t>
        </x:is>
      </x:c>
      <x:c r="BA8" t="inlineStr">
        <x:is>
          <x:t xml:space="preserve"/>
        </x:is>
      </x:c>
      <x:c r="BB8" t="inlineStr">
        <x:is>
          <x:t xml:space="preserve">NO_CLAIM</x:t>
        </x:is>
      </x:c>
      <x:c r="BC8" t="inlineStr">
        <x:is>
          <x:t xml:space="preserve"/>
        </x:is>
      </x:c>
      <x:c r="BD8" s="55" t="n"/>
      <x:c r="BE8" s="64" t="n">
        <x:v>0</x:v>
      </x:c>
      <x:c r="BF8" s="64" t="n">
        <x:v>500</x:v>
      </x:c>
      <x:c r="BG8" t="inlineStr">
        <x:is>
          <x:t xml:space="preserve"/>
        </x:is>
      </x:c>
      <x:c r="BH8" t="inlineStr">
        <x:is>
          <x:t xml:space="preserve">Great West Casualty</x:t>
        </x:is>
      </x:c>
      <x:c r="BI8" t="inlineStr">
        <x:is>
          <x:t xml:space="preserve">POL-660008</x:t>
        </x:is>
      </x:c>
      <x:c r="BJ8" t="inlineStr">
        <x:is>
          <x:t xml:space="preserve">Acme Distribution - St. Louis, MO</x:t>
        </x:is>
      </x:c>
      <x:c r="BK8" t="inlineStr">
        <x:is>
          <x:t xml:space="preserve">Metro Fulfillment - Chicago, IL</x:t>
        </x:is>
      </x:c>
      <x:c r="BL8" s="55" t="n">
        <x:v>46216</x:v>
      </x:c>
      <x:c r="BM8" s="55" t="n">
        <x:v>46217</x:v>
      </x:c>
      <x:c r="BN8" t="inlineStr">
        <x:is>
          <x:t xml:space="preserve">10:00-13:00</x:t>
        </x:is>
      </x:c>
      <x:c r="BO8" t="inlineStr">
        <x:is>
          <x:t xml:space="preserve">09:00-13:00</x:t>
        </x:is>
      </x:c>
      <x:c r="BP8" s="64" t="n">
        <x:v>2358</x:v>
      </x:c>
      <x:c r="BQ8" s="64" t="n">
        <x:v>1886</x:v>
      </x:c>
      <x:c r="BR8" s="64" t="n">
        <x:v>276</x:v>
      </x:c>
      <x:c r="BS8" s="64" t="n">
        <x:v>50</x:v>
      </x:c>
      <x:c r="BT8" s="64" t="n">
        <x:v>88</x:v>
      </x:c>
      <x:c r="BU8" t="n">
        <x:v>582</x:v>
      </x:c>
      <x:c r="BV8" t="inlineStr">
        <x:is>
          <x:t xml:space="preserve">BLN-100506</x:t>
        </x:is>
      </x:c>
      <x:c r="BW8" t="inlineStr">
        <x:is>
          <x:t xml:space="preserve">PO-84006</x:t>
        </x:is>
      </x:c>
      <x:c r="BX8" t="inlineStr">
        <x:is>
          <x:t xml:space="preserve">RECEIVED</x:t>
        </x:is>
      </x:c>
      <x:c r="BY8" t="inlineStr">
        <x:is>
          <x:t xml:space="preserve">/images/pod/L-507_POD.jpg</x:t>
        </x:is>
      </x:c>
      <x:c r="BZ8" t="inlineStr">
        <x:is>
          <x:t xml:space="preserve">Dock Supervisor</x:t>
        </x:is>
      </x:c>
      <x:c r="CA8" t="inlineStr">
        <x:is>
          <x:t xml:space="preserve">MISSING</x:t>
        </x:is>
      </x:c>
      <x:c r="CB8" s="55" t="n">
        <x:v>46216</x:v>
      </x:c>
      <x:c r="CC8" t="inlineStr">
        <x:is>
          <x:t xml:space="preserve">UPLOADED</x:t>
        </x:is>
      </x:c>
      <x:c r="CD8" s="55" t="n">
        <x:v>46215</x:v>
      </x:c>
      <x:c r="CE8" t="inlineStr">
        <x:is>
          <x:t xml:space="preserve">TRAIL-2008</x:t>
        </x:is>
      </x:c>
      <x:c r="CF8" t="inlineStr">
        <x:is>
          <x:t xml:space="preserve">CARGO-5008</x:t>
        </x:is>
      </x:c>
      <x:c r="CG8" s="57" t="n">
        <x:v>46217.42708333334</x:v>
      </x:c>
      <x:c r="CH8" t="inlineStr">
        <x:is>
          <x:t xml:space="preserve">Yard Gate A</x:t>
        </x:is>
      </x:c>
      <x:c r="CI8" t="inlineStr">
        <x:is>
          <x:t xml:space="preserve">NO</x:t>
        </x:is>
      </x:c>
      <x:c r="CJ8" t="inlineStr">
        <x:is>
          <x:t xml:space="preserve">No active claim</x:t>
        </x:is>
      </x:c>
      <x:c r="CK8" s="64" t="n">
        <x:v>0</x:v>
      </x:c>
      <x:c r="CL8" s="64" t="n">
        <x:v>0</x:v>
      </x:c>
      <x:c r="CM8" t="inlineStr">
        <x:is>
          <x:t xml:space="preserve">Motor Truck Cargo</x:t>
        </x:is>
      </x:c>
      <x:c r="CN8" t="inlineStr">
        <x:is>
          <x:t xml:space="preserve">NO</x:t>
        </x:is>
      </x:c>
      <x:c r="CO8" t="inlineStr">
        <x:is>
          <x:t xml:space="preserve">NO</x:t>
        </x:is>
      </x:c>
      <x:c r="CP8" s="64" t="n">
        <x:v>2358</x:v>
      </x:c>
      <x:c r="CQ8" s="64" t="n">
        <x:v>644</x:v>
      </x:c>
      <x:c r="CR8" t="inlineStr">
        <x:is>
          <x:t xml:space="preserve">YES</x:t>
        </x:is>
      </x:c>
      <x:c r="CS8" t="inlineStr">
        <x:is>
          <x:t xml:space="preserve">Missing proof bundle</x:t>
        </x:is>
      </x:c>
      <x:c r="CT8" t="inlineStr">
        <x:is>
          <x:t xml:space="preserve">INCOMPLETE</x:t>
        </x:is>
      </x:c>
      <x:c r="CU8" t="inlineStr">
        <x:is>
          <x:t xml:space="preserve">NE</x:t>
        </x:is>
      </x:c>
      <x:c r="CV8" t="inlineStr">
        <x:is>
          <x:t xml:space="preserve">PA</x:t>
        </x:is>
      </x:c>
    </x:row>
    <x:row r="9">
      <x:c r="A9" t="inlineStr">
        <x:is>
          <x:t xml:space="preserve">L-508</x:t>
        </x:is>
      </x:c>
      <x:c r="B9" t="inlineStr">
        <x:is>
          <x:t xml:space="preserve">DRV-008</x:t>
        </x:is>
      </x:c>
      <x:c r="C9" t="inlineStr">
        <x:is>
          <x:t xml:space="preserve">Liam Smith</x:t>
        </x:is>
      </x:c>
      <x:c r="D9" t="inlineStr">
        <x:is>
          <x:t xml:space="preserve">T-110</x:t>
        </x:is>
      </x:c>
      <x:c r="E9" s="64" t="n">
        <x:v>1750</x:v>
      </x:c>
      <x:c r="F9" s="64" t="n">
        <x:v>81</x:v>
      </x:c>
      <x:c r="G9" t="inlineStr">
        <x:is>
          <x:t xml:space="preserve">DELIVERED</x:t>
        </x:is>
      </x:c>
      <x:c r="H9" t="inlineStr">
        <x:is>
          <x:t xml:space="preserve">DELIVERED</x:t>
        </x:is>
      </x:c>
      <x:c r="I9" t="str">
        <x:f>IF(L9="","PENDING",IF(L9&lt;&gt;J9,"MISMATCH","VERIFIED"))</x:f>
        <x:v>MISMATCH</x:v>
      </x:c>
      <x:c r="J9" t="inlineStr">
        <x:is>
          <x:t xml:space="preserve">VERIFIED</x:t>
        </x:is>
      </x:c>
      <x:c r="K9" t="inlineStr">
        <x:is>
          <x:t xml:space="preserve">NO</x:t>
        </x:is>
      </x:c>
      <x:c r="L9" t="inlineStr">
        <x:is>
          <x:t xml:space="preserve">CLOSED</x:t>
        </x:is>
      </x:c>
      <x:c r="M9">
        <x:f>IF(N9="MISMATCH","SEAL_MISMATCH",IF(OR(K9="",M9=""),"PHOTO_MISSING",""))</x:f>
      </x:c>
      <x:c r="N9" t="inlineStr">
        <x:is>
          <x:t xml:space="preserve">READY</x:t>
        </x:is>
      </x:c>
      <x:c r="O9" t="inlineStr">
        <x:is>
          <x:t xml:space="preserve">/documents/loads/L-508_RC.pdf</x:t>
        </x:is>
      </x:c>
      <x:c r="P9" t="inlineStr">
        <x:is>
          <x:t xml:space="preserve">/documents/loads/L-508_BOL.pdf</x:t>
        </x:is>
      </x:c>
      <x:c r="Q9" t="inlineStr">
        <x:is>
          <x:t xml:space="preserve">/documents/loads/L-508_PICKUP_SEAL.jpg</x:t>
        </x:is>
      </x:c>
      <x:c r="R9" t="inlineStr">
        <x:is>
          <x:t xml:space="preserve">/documents/loads/L-508_DELIVERY_SEAL.jpg</x:t>
        </x:is>
      </x:c>
      <x:c r="S9" t="inlineStr">
        <x:is>
          <x:t xml:space="preserve">/drivers/DRV-008.jpg</x:t>
        </x:is>
      </x:c>
      <x:c r="T9" t="inlineStr">
        <x:is>
          <x:t xml:space="preserve">/images/pod/L-508_POD.jpg</x:t>
        </x:is>
      </x:c>
      <x:c r="U9" t="inlineStr">
        <x:is>
          <x:t xml:space="preserve">/images/pickup/L-508_PICKUP.jpg</x:t>
        </x:is>
      </x:c>
      <x:c r="V9" t="inlineStr">
        <x:is>
          <x:t xml:space="preserve">/images/delivery/L-508_DELIVERY.jpg</x:t>
        </x:is>
      </x:c>
      <x:c r="W9" t="inlineStr">
        <x:is>
          <x:t xml:space="preserve">/images/lumper/L-508_LUMPER.jpg</x:t>
        </x:is>
      </x:c>
      <x:c r="X9" t="inlineStr">
        <x:is>
          <x:t xml:space="preserve">Morgan Patel</x:t>
        </x:is>
      </x:c>
      <x:c r="Y9" t="inlineStr">
        <x:is>
          <x:t xml:space="preserve">IronRoute Transport</x:t>
        </x:is>
      </x:c>
      <x:c r="Z9" t="inlineStr">
        <x:is>
          <x:t xml:space="preserve">MC-518903</x:t>
        </x:is>
      </x:c>
      <x:c r="AA9" t="inlineStr">
        <x:is>
          <x:t xml:space="preserve">Peachtree Foods</x:t>
        </x:is>
      </x:c>
      <x:c r="AB9" t="inlineStr">
        <x:is>
          <x:t xml:space="preserve">1450 Industrial Pkwy</x:t>
        </x:is>
      </x:c>
      <x:c r="AC9" t="inlineStr">
        <x:is>
          <x:t xml:space="preserve">Atlanta</x:t>
        </x:is>
      </x:c>
      <x:c r="AD9" t="inlineStr">
        <x:is>
          <x:t xml:space="preserve">GA</x:t>
        </x:is>
      </x:c>
      <x:c r="AE9" s="57" t="n">
        <x:v>45853.75</x:v>
      </x:c>
      <x:c r="AF9" t="inlineStr">
        <x:is>
          <x:t xml:space="preserve">Desert Valley Grocers</x:t>
        </x:is>
      </x:c>
      <x:c r="AG9" t="inlineStr">
        <x:is>
          <x:t xml:space="preserve">504 Mesa Park</x:t>
        </x:is>
      </x:c>
      <x:c r="AH9" t="inlineStr">
        <x:is>
          <x:t xml:space="preserve">Phoenix</x:t>
        </x:is>
      </x:c>
      <x:c r="AI9" t="inlineStr">
        <x:is>
          <x:t xml:space="preserve">AZ</x:t>
        </x:is>
      </x:c>
      <x:c r="AJ9" s="57" t="n">
        <x:v>45855.08333333334</x:v>
      </x:c>
      <x:c r="AK9" t="inlineStr">
        <x:is>
          <x:t xml:space="preserve">Auto parts</x:t>
        </x:is>
      </x:c>
      <x:c r="AL9" s="68" t="n">
        <x:v>34403</x:v>
      </x:c>
      <x:c r="AM9" s="68" t="n">
        <x:v>17</x:v>
      </x:c>
      <x:c r="AN9" s="68" t="n">
        <x:v>612</x:v>
      </x:c>
      <x:c r="AO9" t="inlineStr">
        <x:is>
          <x:t xml:space="preserve">TRL-2208</x:t>
        </x:is>
      </x:c>
      <x:c r="AP9" t="inlineStr">
        <x:is>
          <x:t xml:space="preserve">RC-508-991</x:t>
        </x:is>
      </x:c>
      <x:c r="AQ9" t="inlineStr">
        <x:is>
          <x:t xml:space="preserve">BOL-508-5889</x:t>
        </x:is>
      </x:c>
      <x:c r="AR9" t="inlineStr">
        <x:is>
          <x:t xml:space="preserve">YES</x:t>
        </x:is>
      </x:c>
      <x:c r="AS9" s="57" t="n">
        <x:v>45855.33333333334</x:v>
      </x:c>
      <x:c r="AT9" s="64" t="n">
        <x:v>315</x:v>
      </x:c>
      <x:c r="AU9" t="inlineStr">
        <x:is>
          <x:t xml:space="preserve">RFID-508-89818</x:t>
        </x:is>
      </x:c>
      <x:c r="AV9" s="57" t="n">
        <x:v>45853.76180555556</x:v>
      </x:c>
      <x:c r="AW9" s="57" t="n">
        <x:v>45855.09652777778</x:v>
      </x:c>
      <x:c r="AX9" t="inlineStr">
        <x:is>
          <x:t xml:space="preserve">Atlanta Yard Gate 3</x:t>
        </x:is>
      </x:c>
      <x:c r="AY9" t="inlineStr">
        <x:is>
          <x:t xml:space="preserve">VERIFIED</x:t>
        </x:is>
      </x:c>
      <x:c r="AZ9" t="inlineStr">
        <x:is>
          <x:t xml:space="preserve">DUPLICATE_SCAN</x:t>
        </x:is>
      </x:c>
      <x:c r="BA9" t="inlineStr">
        <x:is>
          <x:t xml:space="preserve">CLM-508-9689</x:t>
        </x:is>
      </x:c>
      <x:c r="BB9" t="inlineStr">
        <x:is>
          <x:t xml:space="preserve">OPEN</x:t>
        </x:is>
      </x:c>
      <x:c r="BC9" t="inlineStr">
        <x:is>
          <x:t xml:space="preserve">Shortage</x:t>
        </x:is>
      </x:c>
      <x:c r="BD9" s="55" t="n">
        <x:v>45855</x:v>
      </x:c>
      <x:c r="BE9" s="64" t="n">
        <x:v>6722.38</x:v>
      </x:c>
      <x:c r="BF9" s="64" t="n">
        <x:v>500</x:v>
      </x:c>
      <x:c r="BG9" t="inlineStr">
        <x:is>
          <x:t xml:space="preserve">Alicia Gomez</x:t>
        </x:is>
      </x:c>
      <x:c r="BH9" t="inlineStr">
        <x:is>
          <x:t xml:space="preserve">Great West Casualty</x:t>
        </x:is>
      </x:c>
      <x:c r="BI9" t="inlineStr">
        <x:is>
          <x:t xml:space="preserve">POL-351083</x:t>
        </x:is>
      </x:c>
      <x:c r="BJ9" t="inlineStr">
        <x:is>
          <x:t xml:space="preserve">Midwest Foods - Nashville, TN</x:t>
        </x:is>
      </x:c>
      <x:c r="BK9" t="inlineStr">
        <x:is>
          <x:t xml:space="preserve">South Hub DC - Indianapolis, IN</x:t>
        </x:is>
      </x:c>
      <x:c r="BL9" s="55" t="n">
        <x:v>46218</x:v>
      </x:c>
      <x:c r="BM9" s="55" t="n">
        <x:v>46219</x:v>
      </x:c>
      <x:c r="BN9" t="inlineStr">
        <x:is>
          <x:t xml:space="preserve">08:00-11:00</x:t>
        </x:is>
      </x:c>
      <x:c r="BO9" t="inlineStr">
        <x:is>
          <x:t xml:space="preserve">10:00-14:00</x:t>
        </x:is>
      </x:c>
      <x:c r="BP9" s="64" t="n">
        <x:v>1831</x:v>
      </x:c>
      <x:c r="BQ9" s="64" t="n">
        <x:v>1435</x:v>
      </x:c>
      <x:c r="BR9" s="64" t="n">
        <x:v>210</x:v>
      </x:c>
      <x:c r="BS9" s="64" t="n">
        <x:v>75</x:v>
      </x:c>
      <x:c r="BT9" s="64" t="n">
        <x:v>30</x:v>
      </x:c>
      <x:c r="BU9" t="n">
        <x:v>639</x:v>
      </x:c>
      <x:c r="BV9" t="inlineStr">
        <x:is>
          <x:t xml:space="preserve">BLN-100507</x:t>
        </x:is>
      </x:c>
      <x:c r="BW9" t="inlineStr">
        <x:is>
          <x:t xml:space="preserve">PO-84007</x:t>
        </x:is>
      </x:c>
      <x:c r="BX9" t="inlineStr">
        <x:is>
          <x:t xml:space="preserve">PENDING</x:t>
        </x:is>
      </x:c>
      <x:c r="BY9" t="inlineStr">
        <x:is>
          <x:t xml:space="preserve">/images/pod/L-508_POD.jpg</x:t>
        </x:is>
      </x:c>
      <x:c r="BZ9" t="inlineStr">
        <x:is>
          <x:t xml:space="preserve">Inventory Lead</x:t>
        </x:is>
      </x:c>
      <x:c r="CA9" t="inlineStr">
        <x:is>
          <x:t xml:space="preserve">UPLOADED</x:t>
        </x:is>
      </x:c>
      <x:c r="CB9" s="55" t="n">
        <x:v>46218</x:v>
      </x:c>
      <x:c r="CC9" t="inlineStr">
        <x:is>
          <x:t xml:space="preserve">UPLOADED</x:t>
        </x:is>
      </x:c>
      <x:c r="CD9" s="55" t="n">
        <x:v>46217</x:v>
      </x:c>
      <x:c r="CE9" t="inlineStr">
        <x:is>
          <x:t xml:space="preserve">TRAIL-2009</x:t>
        </x:is>
      </x:c>
      <x:c r="CF9" t="inlineStr">
        <x:is>
          <x:t xml:space="preserve">CARGO-5009</x:t>
        </x:is>
      </x:c>
      <x:c r="CG9" s="57" t="n">
        <x:v>46219.42708333334</x:v>
      </x:c>
      <x:c r="CH9" t="inlineStr">
        <x:is>
          <x:t xml:space="preserve">Warehouse South</x:t>
        </x:is>
      </x:c>
      <x:c r="CI9" t="inlineStr">
        <x:is>
          <x:t xml:space="preserve">YES</x:t>
        </x:is>
      </x:c>
      <x:c r="CJ9" t="inlineStr">
        <x:is>
          <x:t xml:space="preserve">No active claim</x:t>
        </x:is>
      </x:c>
      <x:c r="CK9" s="64" t="n">
        <x:v>5714.023</x:v>
      </x:c>
      <x:c r="CL9" s="64" t="n">
        <x:v>6222.38</x:v>
      </x:c>
      <x:c r="CM9" t="inlineStr">
        <x:is>
          <x:t xml:space="preserve">Auto Liability</x:t>
        </x:is>
      </x:c>
      <x:c r="CN9" t="inlineStr">
        <x:is>
          <x:t xml:space="preserve">YES</x:t>
        </x:is>
      </x:c>
      <x:c r="CO9" t="inlineStr">
        <x:is>
          <x:t xml:space="preserve">YES</x:t>
        </x:is>
      </x:c>
      <x:c r="CP9" s="64" t="n">
        <x:v>1831</x:v>
      </x:c>
      <x:c r="CQ9" s="64" t="n">
        <x:v>490</x:v>
      </x:c>
      <x:c r="CR9" t="inlineStr">
        <x:is>
          <x:t xml:space="preserve">NO</x:t>
        </x:is>
      </x:c>
      <x:c r="CS9" t="inlineStr">
        <x:is>
          <x:t xml:space="preserve"/>
        </x:is>
      </x:c>
      <x:c r="CT9" t="inlineStr">
        <x:is>
          <x:t xml:space="preserve">COMPLETE</x:t>
        </x:is>
      </x:c>
      <x:c r="CU9" t="inlineStr">
        <x:is>
          <x:t xml:space="preserve">GA</x:t>
        </x:is>
      </x:c>
      <x:c r="CV9" t="inlineStr">
        <x:is>
          <x:t xml:space="preserve">AZ</x:t>
        </x:is>
      </x:c>
    </x:row>
    <x:row r="10">
      <x:c r="A10" t="inlineStr">
        <x:is>
          <x:t xml:space="preserve">L-509</x:t>
        </x:is>
      </x:c>
      <x:c r="B10" t="inlineStr">
        <x:is>
          <x:t xml:space="preserve">DRV-009</x:t>
        </x:is>
      </x:c>
      <x:c r="C10" t="inlineStr">
        <x:is>
          <x:t xml:space="preserve">Emma Brown</x:t>
        </x:is>
      </x:c>
      <x:c r="D10" t="inlineStr">
        <x:is>
          <x:t xml:space="preserve">T-111</x:t>
        </x:is>
      </x:c>
      <x:c r="E10" s="64" t="n">
        <x:v>2400</x:v>
      </x:c>
      <x:c r="F10" s="64" t="n">
        <x:v>49</x:v>
      </x:c>
      <x:c r="G10" t="inlineStr">
        <x:is>
          <x:t xml:space="preserve">PENDING</x:t>
        </x:is>
      </x:c>
      <x:c r="H10" t="inlineStr">
        <x:is>
          <x:t xml:space="preserve">PENDING</x:t>
        </x:is>
      </x:c>
      <x:c r="I10" t="str">
        <x:f>IF(L10="","PENDING",IF(L10&lt;&gt;J10,"MISMATCH","VERIFIED"))</x:f>
        <x:v>MISMATCH</x:v>
      </x:c>
      <x:c r="J10" t="inlineStr">
        <x:is>
          <x:t xml:space="preserve">SEAL_MISMATCH</x:t>
        </x:is>
      </x:c>
      <x:c r="K10" t="inlineStr">
        <x:is>
          <x:t xml:space="preserve">YES</x:t>
        </x:is>
      </x:c>
      <x:c r="L10" t="inlineStr">
        <x:is>
          <x:t xml:space="preserve">OPEN</x:t>
        </x:is>
      </x:c>
      <x:c r="M10">
        <x:f>IF(N10="MISMATCH","SEAL_MISMATCH",IF(OR(K10="",M10=""),"PHOTO_MISSING",""))</x:f>
      </x:c>
      <x:c r="N10" t="inlineStr">
        <x:is>
          <x:t xml:space="preserve">PENDING</x:t>
        </x:is>
      </x:c>
      <x:c r="O10" t="inlineStr">
        <x:is>
          <x:t xml:space="preserve">/documents/loads/L-509_RC.pdf</x:t>
        </x:is>
      </x:c>
      <x:c r="P10" t="inlineStr">
        <x:is>
          <x:t xml:space="preserve">/documents/loads/L-509_BOL.pdf</x:t>
        </x:is>
      </x:c>
      <x:c r="Q10" t="inlineStr">
        <x:is>
          <x:t xml:space="preserve">/documents/loads/L-509_PICKUP_SEAL.jpg</x:t>
        </x:is>
      </x:c>
      <x:c r="R10" t="inlineStr">
        <x:is>
          <x:t xml:space="preserve">/documents/loads/L-509_DELIVERY_SEAL.jpg</x:t>
        </x:is>
      </x:c>
      <x:c r="S10" t="inlineStr">
        <x:is>
          <x:t xml:space="preserve">/drivers/DRV-009.jpg</x:t>
        </x:is>
      </x:c>
      <x:c r="T10" t="inlineStr">
        <x:is>
          <x:t xml:space="preserve">/images/pod/L-509_POD.jpg</x:t>
        </x:is>
      </x:c>
      <x:c r="U10" t="inlineStr">
        <x:is>
          <x:t xml:space="preserve">/images/pickup/L-509_PICKUP.jpg</x:t>
        </x:is>
      </x:c>
      <x:c r="V10" t="inlineStr">
        <x:is>
          <x:t xml:space="preserve">/images/delivery/L-509_DELIVERY.jpg</x:t>
        </x:is>
      </x:c>
      <x:c r="W10" t="inlineStr">
        <x:is>
          <x:t xml:space="preserve">/images/lumper/L-509_LUMPER.jpg</x:t>
        </x:is>
      </x:c>
      <x:c r="X10" t="inlineStr">
        <x:is>
          <x:t xml:space="preserve">Avery Collins</x:t>
        </x:is>
      </x:c>
      <x:c r="Y10" t="inlineStr">
        <x:is>
          <x:t xml:space="preserve">NorthStar 3PL</x:t>
        </x:is>
      </x:c>
      <x:c r="Z10" t="inlineStr">
        <x:is>
          <x:t xml:space="preserve">MC-774221</x:t>
        </x:is>
      </x:c>
      <x:c r="AA10" t="inlineStr">
        <x:is>
          <x:t xml:space="preserve">Lakeside Plastics</x:t>
        </x:is>
      </x:c>
      <x:c r="AB10" t="inlineStr">
        <x:is>
          <x:t xml:space="preserve">880 Harbor Dr</x:t>
        </x:is>
      </x:c>
      <x:c r="AC10" t="inlineStr">
        <x:is>
          <x:t xml:space="preserve">Cleveland</x:t>
        </x:is>
      </x:c>
      <x:c r="AD10" t="inlineStr">
        <x:is>
          <x:t xml:space="preserve">OH</x:t>
        </x:is>
      </x:c>
      <x:c r="AE10" s="57" t="n">
        <x:v>45855.5</x:v>
      </x:c>
      <x:c r="AF10" t="inlineStr">
        <x:is>
          <x:t xml:space="preserve">Great Lakes Foods</x:t>
        </x:is>
      </x:c>
      <x:c r="AG10" t="inlineStr">
        <x:is>
          <x:t xml:space="preserve">109 Shoreline Dr</x:t>
        </x:is>
      </x:c>
      <x:c r="AH10" t="inlineStr">
        <x:is>
          <x:t xml:space="preserve">Detroit</x:t>
        </x:is>
      </x:c>
      <x:c r="AI10" t="inlineStr">
        <x:is>
          <x:t xml:space="preserve">MI</x:t>
        </x:is>
      </x:c>
      <x:c r="AJ10" s="57" t="n">
        <x:v>45858.70833333334</x:v>
      </x:c>
      <x:c r="AK10" t="inlineStr">
        <x:is>
          <x:t xml:space="preserve">Frozen foods</x:t>
        </x:is>
      </x:c>
      <x:c r="AL10" s="68" t="n">
        <x:v>20806</x:v>
      </x:c>
      <x:c r="AM10" s="68" t="n">
        <x:v>27</x:v>
      </x:c>
      <x:c r="AN10" s="68" t="n">
        <x:v>1242</x:v>
      </x:c>
      <x:c r="AO10" t="inlineStr">
        <x:is>
          <x:t xml:space="preserve">TRL-2170</x:t>
        </x:is>
      </x:c>
      <x:c r="AP10" t="inlineStr">
        <x:is>
          <x:t xml:space="preserve">RC-509-878</x:t>
        </x:is>
      </x:c>
      <x:c r="AQ10" t="inlineStr">
        <x:is>
          <x:t xml:space="preserve">BOL-509-9727</x:t>
        </x:is>
      </x:c>
      <x:c r="AR10" t="inlineStr">
        <x:is>
          <x:t xml:space="preserve">NO</x:t>
        </x:is>
      </x:c>
      <x:c r="AS10" s="57" t="n">
        <x:v>46221.45833333334</x:v>
      </x:c>
      <x:c r="AT10" s="64" t="n">
        <x:v>125</x:v>
      </x:c>
      <x:c r="AU10" t="inlineStr">
        <x:is>
          <x:t xml:space="preserve">RFID-509-26828</x:t>
        </x:is>
      </x:c>
      <x:c r="AV10" s="57" t="n">
        <x:v>45855.52430555555</x:v>
      </x:c>
      <x:c r="AW10" s="57" t="n">
        <x:v>46221.41666666666</x:v>
      </x:c>
      <x:c r="AX10" t="inlineStr">
        <x:is>
          <x:t xml:space="preserve">Cleveland Yard Gate 2</x:t>
        </x:is>
      </x:c>
      <x:c r="AY10" t="inlineStr">
        <x:is>
          <x:t xml:space="preserve">PENDING_DELIVERY</x:t>
        </x:is>
      </x:c>
      <x:c r="AZ10" t="inlineStr">
        <x:is>
          <x:t xml:space="preserve"/>
        </x:is>
      </x:c>
      <x:c r="BA10" t="inlineStr">
        <x:is>
          <x:t xml:space="preserve">CLM-2026010</x:t>
        </x:is>
      </x:c>
      <x:c r="BB10" t="inlineStr">
        <x:is>
          <x:t xml:space="preserve">FILED</x:t>
        </x:is>
      </x:c>
      <x:c r="BC10" t="inlineStr">
        <x:is>
          <x:t xml:space="preserve">Seal Tampering</x:t>
        </x:is>
      </x:c>
      <x:c r="BD10" s="55" t="n">
        <x:v>46221</x:v>
      </x:c>
      <x:c r="BE10" s="64" t="n">
        <x:v>2500</x:v>
      </x:c>
      <x:c r="BF10" s="64" t="n">
        <x:v>500</x:v>
      </x:c>
      <x:c r="BG10" t="inlineStr">
        <x:is>
          <x:t xml:space="preserve">Casey Nguyen</x:t>
        </x:is>
      </x:c>
      <x:c r="BH10" t="inlineStr">
        <x:is>
          <x:t xml:space="preserve">Nationwide</x:t>
        </x:is>
      </x:c>
      <x:c r="BI10" t="inlineStr">
        <x:is>
          <x:t xml:space="preserve">POL-660010</x:t>
        </x:is>
      </x:c>
      <x:c r="BJ10" t="inlineStr">
        <x:is>
          <x:t xml:space="preserve">BlueLine Retail - Cleveland, OH</x:t>
        </x:is>
      </x:c>
      <x:c r="BK10" t="inlineStr">
        <x:is>
          <x:t xml:space="preserve">Lakeside Grocery - Dallas, TX</x:t>
        </x:is>
      </x:c>
      <x:c r="BL10" s="55" t="n">
        <x:v>46220</x:v>
      </x:c>
      <x:c r="BM10" s="55" t="n">
        <x:v>46221</x:v>
      </x:c>
      <x:c r="BN10" t="inlineStr">
        <x:is>
          <x:t xml:space="preserve">09:00-12:00</x:t>
        </x:is>
      </x:c>
      <x:c r="BO10" t="inlineStr">
        <x:is>
          <x:t xml:space="preserve">11:00-15:00</x:t>
        </x:is>
      </x:c>
      <x:c r="BP10" s="64" t="n">
        <x:v>2449</x:v>
      </x:c>
      <x:c r="BQ10" s="64" t="n">
        <x:v>1967</x:v>
      </x:c>
      <x:c r="BR10" s="64" t="n">
        <x:v>288</x:v>
      </x:c>
      <x:c r="BS10" s="64" t="n">
        <x:v>0</x:v>
      </x:c>
      <x:c r="BT10" s="64" t="n">
        <x:v>145</x:v>
      </x:c>
      <x:c r="BU10" t="n">
        <x:v>696</x:v>
      </x:c>
      <x:c r="BV10" t="inlineStr">
        <x:is>
          <x:t xml:space="preserve">BLN-100508</x:t>
        </x:is>
      </x:c>
      <x:c r="BW10" t="inlineStr">
        <x:is>
          <x:t xml:space="preserve">PO-84008</x:t>
        </x:is>
      </x:c>
      <x:c r="BX10" t="inlineStr">
        <x:is>
          <x:t xml:space="preserve">RECEIVED</x:t>
        </x:is>
      </x:c>
      <x:c r="BY10" t="inlineStr">
        <x:is>
          <x:t xml:space="preserve">/images/pod/L-509_POD.jpg</x:t>
        </x:is>
      </x:c>
      <x:c r="BZ10" t="inlineStr">
        <x:is>
          <x:t xml:space="preserve">Warehouse Clerk</x:t>
        </x:is>
      </x:c>
      <x:c r="CA10" t="inlineStr">
        <x:is>
          <x:t xml:space="preserve">UPLOADED</x:t>
        </x:is>
      </x:c>
      <x:c r="CB10" s="55" t="n">
        <x:v>46220</x:v>
      </x:c>
      <x:c r="CC10" t="inlineStr">
        <x:is>
          <x:t xml:space="preserve">UPLOADED</x:t>
        </x:is>
      </x:c>
      <x:c r="CD10" s="55" t="n">
        <x:v>46219</x:v>
      </x:c>
      <x:c r="CE10" t="inlineStr">
        <x:is>
          <x:t xml:space="preserve">TRAIL-2010</x:t>
        </x:is>
      </x:c>
      <x:c r="CF10" t="inlineStr">
        <x:is>
          <x:t xml:space="preserve">CARGO-5010</x:t>
        </x:is>
      </x:c>
      <x:c r="CG10" s="57" t="n">
        <x:v>46221.42708333334</x:v>
      </x:c>
      <x:c r="CH10" t="inlineStr">
        <x:is>
          <x:t xml:space="preserve">Crossdock Bay 2</x:t>
        </x:is>
      </x:c>
      <x:c r="CI10" t="inlineStr">
        <x:is>
          <x:t xml:space="preserve">YES</x:t>
        </x:is>
      </x:c>
      <x:c r="CJ10" t="inlineStr">
        <x:is>
          <x:t xml:space="preserve">Shortage under review</x:t>
        </x:is>
      </x:c>
      <x:c r="CK10" s="64" t="n">
        <x:v>2125</x:v>
      </x:c>
      <x:c r="CL10" s="64" t="n">
        <x:v>2500</x:v>
      </x:c>
      <x:c r="CM10" t="inlineStr">
        <x:is>
          <x:t xml:space="preserve">General Liability</x:t>
        </x:is>
      </x:c>
      <x:c r="CN10" t="inlineStr">
        <x:is>
          <x:t xml:space="preserve">YES</x:t>
        </x:is>
      </x:c>
      <x:c r="CO10" t="inlineStr">
        <x:is>
          <x:t xml:space="preserve">YES</x:t>
        </x:is>
      </x:c>
      <x:c r="CP10" s="64" t="n">
        <x:v>2449</x:v>
      </x:c>
      <x:c r="CQ10" s="64" t="n">
        <x:v>672</x:v>
      </x:c>
      <x:c r="CR10" t="inlineStr">
        <x:is>
          <x:t xml:space="preserve">NO</x:t>
        </x:is>
      </x:c>
      <x:c r="CS10" t="inlineStr">
        <x:is>
          <x:t xml:space="preserve"/>
        </x:is>
      </x:c>
      <x:c r="CT10" t="inlineStr">
        <x:is>
          <x:t xml:space="preserve">COMPLETE</x:t>
        </x:is>
      </x:c>
      <x:c r="CU10" t="inlineStr">
        <x:is>
          <x:t xml:space="preserve">OH</x:t>
        </x:is>
      </x:c>
      <x:c r="CV10" t="inlineStr">
        <x:is>
          <x:t xml:space="preserve">MI</x:t>
        </x:is>
      </x:c>
    </x:row>
    <x:row r="11">
      <x:c r="A11" t="inlineStr">
        <x:is>
          <x:t xml:space="preserve">L-510</x:t>
        </x:is>
      </x:c>
      <x:c r="B11" t="inlineStr">
        <x:is>
          <x:t xml:space="preserve">DRV-010</x:t>
        </x:is>
      </x:c>
      <x:c r="C11" t="inlineStr">
        <x:is>
          <x:t xml:space="preserve">Noah Wilson</x:t>
        </x:is>
      </x:c>
      <x:c r="D11" t="inlineStr">
        <x:is>
          <x:t xml:space="preserve">T-105</x:t>
        </x:is>
      </x:c>
      <x:c r="E11" s="64" t="n">
        <x:v>1900</x:v>
      </x:c>
      <x:c r="F11" s="64" t="n">
        <x:v>77</x:v>
      </x:c>
      <x:c r="G11" t="inlineStr">
        <x:is>
          <x:t xml:space="preserve">DELIVERED</x:t>
        </x:is>
      </x:c>
      <x:c r="H11" t="inlineStr">
        <x:is>
          <x:t xml:space="preserve">DELIVERED</x:t>
        </x:is>
      </x:c>
      <x:c r="I11" t="str">
        <x:f>IF(L11="","PENDING",IF(L11&lt;&gt;J11,"MISMATCH","VERIFIED"))</x:f>
        <x:v>MISMATCH</x:v>
      </x:c>
      <x:c r="J11" t="inlineStr">
        <x:is>
          <x:t xml:space="preserve">MISSING_DELIVERY_SEAL</x:t>
        </x:is>
      </x:c>
      <x:c r="K11" t="inlineStr">
        <x:is>
          <x:t xml:space="preserve">YES</x:t>
        </x:is>
      </x:c>
      <x:c r="L11" t="inlineStr">
        <x:is>
          <x:t xml:space="preserve">OPEN</x:t>
        </x:is>
      </x:c>
      <x:c r="M11">
        <x:f>IF(N11="MISMATCH","SEAL_MISMATCH",IF(OR(K11="",M11=""),"PHOTO_MISSING",""))</x:f>
      </x:c>
      <x:c r="N11" t="inlineStr">
        <x:is>
          <x:t xml:space="preserve">READY</x:t>
        </x:is>
      </x:c>
      <x:c r="O11" t="inlineStr">
        <x:is>
          <x:t xml:space="preserve">/documents/loads/L-510_RC.pdf</x:t>
        </x:is>
      </x:c>
      <x:c r="P11" t="inlineStr">
        <x:is>
          <x:t xml:space="preserve">/documents/loads/L-510_BOL.pdf</x:t>
        </x:is>
      </x:c>
      <x:c r="Q11" t="inlineStr">
        <x:is>
          <x:t xml:space="preserve">/documents/loads/L-510_PICKUP_SEAL.jpg</x:t>
        </x:is>
      </x:c>
      <x:c r="R11" t="inlineStr">
        <x:is>
          <x:t xml:space="preserve">/documents/loads/L-510_DELIVERY_SEAL.jpg</x:t>
        </x:is>
      </x:c>
      <x:c r="S11" t="inlineStr">
        <x:is>
          <x:t xml:space="preserve">/drivers/DRV-010.jpg</x:t>
        </x:is>
      </x:c>
      <x:c r="T11" t="inlineStr">
        <x:is>
          <x:t xml:space="preserve">/images/pod/L-510_POD.jpg</x:t>
        </x:is>
      </x:c>
      <x:c r="U11" t="inlineStr">
        <x:is>
          <x:t xml:space="preserve">/images/pickup/L-510_PICKUP.jpg</x:t>
        </x:is>
      </x:c>
      <x:c r="V11" t="inlineStr">
        <x:is>
          <x:t xml:space="preserve">/images/delivery/L-510_DELIVERY.jpg</x:t>
        </x:is>
      </x:c>
      <x:c r="W11" t="inlineStr">
        <x:is>
          <x:t xml:space="preserve">/images/lumper/L-510_LUMPER.jpg</x:t>
        </x:is>
      </x:c>
      <x:c r="X11" t="inlineStr">
        <x:is>
          <x:t xml:space="preserve">Nina Harris</x:t>
        </x:is>
      </x:c>
      <x:c r="Y11" t="inlineStr">
        <x:is>
          <x:t xml:space="preserve">Pioneer Brokerage</x:t>
        </x:is>
      </x:c>
      <x:c r="Z11" t="inlineStr">
        <x:is>
          <x:t xml:space="preserve">MC-699114</x:t>
        </x:is>
      </x:c>
      <x:c r="AA11" t="inlineStr">
        <x:is>
          <x:t xml:space="preserve">Midwest Paper Co.</x:t>
        </x:is>
      </x:c>
      <x:c r="AB11" t="inlineStr">
        <x:is>
          <x:t xml:space="preserve">2210 Mill Rd</x:t>
        </x:is>
      </x:c>
      <x:c r="AC11" t="inlineStr">
        <x:is>
          <x:t xml:space="preserve">Columbus</x:t>
        </x:is>
      </x:c>
      <x:c r="AD11" t="inlineStr">
        <x:is>
          <x:t xml:space="preserve">OH</x:t>
        </x:is>
      </x:c>
      <x:c r="AE11" s="57" t="n">
        <x:v>45857.625</x:v>
      </x:c>
      <x:c r="AF11" t="inlineStr">
        <x:is>
          <x:t xml:space="preserve">Capital Retail Hub</x:t>
        </x:is>
      </x:c>
      <x:c r="AG11" t="inlineStr">
        <x:is>
          <x:t xml:space="preserve">755 Market Loop</x:t>
        </x:is>
      </x:c>
      <x:c r="AH11" t="inlineStr">
        <x:is>
          <x:t xml:space="preserve">Indianapolis</x:t>
        </x:is>
      </x:c>
      <x:c r="AI11" t="inlineStr">
        <x:is>
          <x:t xml:space="preserve">IN</x:t>
        </x:is>
      </x:c>
      <x:c r="AJ11" s="57" t="n">
        <x:v>45860.95833333334</x:v>
      </x:c>
      <x:c r="AK11" t="inlineStr">
        <x:is>
          <x:t xml:space="preserve">Dry groceries</x:t>
        </x:is>
      </x:c>
      <x:c r="AL11" s="68" t="n">
        <x:v>31074</x:v>
      </x:c>
      <x:c r="AM11" s="68" t="n">
        <x:v>23</x:v>
      </x:c>
      <x:c r="AN11" s="68" t="n">
        <x:v>782</x:v>
      </x:c>
      <x:c r="AO11" t="inlineStr">
        <x:is>
          <x:t xml:space="preserve">TRL-2629</x:t>
        </x:is>
      </x:c>
      <x:c r="AP11" t="inlineStr">
        <x:is>
          <x:t xml:space="preserve">RC-510-562</x:t>
        </x:is>
      </x:c>
      <x:c r="AQ11" t="inlineStr">
        <x:is>
          <x:t xml:space="preserve">BOL-510-2982</x:t>
        </x:is>
      </x:c>
      <x:c r="AR11" t="inlineStr">
        <x:is>
          <x:t xml:space="preserve">YES</x:t>
        </x:is>
      </x:c>
      <x:c r="AS11" s="57" t="n">
        <x:v>45861.04166666666</x:v>
      </x:c>
      <x:c r="AT11" s="64" t="n">
        <x:v>125</x:v>
      </x:c>
      <x:c r="AU11" t="inlineStr">
        <x:is>
          <x:t xml:space="preserve">RFID-510-18392</x:t>
        </x:is>
      </x:c>
      <x:c r="AV11" s="57" t="n">
        <x:v>45857.64305555556</x:v>
      </x:c>
      <x:c r="AW11" s="57" t="n">
        <x:v>45860.96597222222</x:v>
      </x:c>
      <x:c r="AX11" t="inlineStr">
        <x:is>
          <x:t xml:space="preserve">Columbus Yard Gate 2</x:t>
        </x:is>
      </x:c>
      <x:c r="AY11" t="inlineStr">
        <x:is>
          <x:t xml:space="preserve">VERIFIED</x:t>
        </x:is>
      </x:c>
      <x:c r="AZ11" t="inlineStr">
        <x:is>
          <x:t xml:space="preserve"/>
        </x:is>
      </x:c>
      <x:c r="BA11" t="inlineStr">
        <x:is>
          <x:t xml:space="preserve">CLM-510-1964</x:t>
        </x:is>
      </x:c>
      <x:c r="BB11" t="inlineStr">
        <x:is>
          <x:t xml:space="preserve">OPEN</x:t>
        </x:is>
      </x:c>
      <x:c r="BC11" t="inlineStr">
        <x:is>
          <x:t xml:space="preserve">Cargo Damage</x:t>
        </x:is>
      </x:c>
      <x:c r="BD11" s="55" t="n">
        <x:v>45860</x:v>
      </x:c>
      <x:c r="BE11" s="64" t="n">
        <x:v>11390.7</x:v>
      </x:c>
      <x:c r="BF11" s="64" t="n">
        <x:v>1000</x:v>
      </x:c>
      <x:c r="BG11" t="inlineStr">
        <x:is>
          <x:t xml:space="preserve">Kelly Moore</x:t>
        </x:is>
      </x:c>
      <x:c r="BH11" t="inlineStr">
        <x:is>
          <x:t xml:space="preserve">Travelers Inland Marine</x:t>
        </x:is>
      </x:c>
      <x:c r="BI11" t="inlineStr">
        <x:is>
          <x:t xml:space="preserve">POL-392004</x:t>
        </x:is>
      </x:c>
      <x:c r="BJ11" t="inlineStr">
        <x:is>
          <x:t xml:space="preserve">NorthStar Paper - Chicago, IL</x:t>
        </x:is>
      </x:c>
      <x:c r="BK11" t="inlineStr">
        <x:is>
          <x:t xml:space="preserve">Cleveland Receiver - Memphis, TN</x:t>
        </x:is>
      </x:c>
      <x:c r="BL11" s="55" t="n">
        <x:v>46222</x:v>
      </x:c>
      <x:c r="BM11" s="55" t="n">
        <x:v>46223</x:v>
      </x:c>
      <x:c r="BN11" t="inlineStr">
        <x:is>
          <x:t xml:space="preserve">10:00-13:00</x:t>
        </x:is>
      </x:c>
      <x:c r="BO11" t="inlineStr">
        <x:is>
          <x:t xml:space="preserve">09:00-13:00</x:t>
        </x:is>
      </x:c>
      <x:c r="BP11" s="64" t="n">
        <x:v>1977</x:v>
      </x:c>
      <x:c r="BQ11" s="64" t="n">
        <x:v>1558</x:v>
      </x:c>
      <x:c r="BR11" s="64" t="n">
        <x:v>228</x:v>
      </x:c>
      <x:c r="BS11" s="64" t="n">
        <x:v>25</x:v>
      </x:c>
      <x:c r="BT11" s="64" t="n">
        <x:v>89</x:v>
      </x:c>
      <x:c r="BU11" t="n">
        <x:v>753</x:v>
      </x:c>
      <x:c r="BV11" t="inlineStr">
        <x:is>
          <x:t xml:space="preserve">BLN-100509</x:t>
        </x:is>
      </x:c>
      <x:c r="BW11" t="inlineStr">
        <x:is>
          <x:t xml:space="preserve">PO-84009</x:t>
        </x:is>
      </x:c>
      <x:c r="BX11" t="inlineStr">
        <x:is>
          <x:t xml:space="preserve">RECEIVED</x:t>
        </x:is>
      </x:c>
      <x:c r="BY11" t="inlineStr">
        <x:is>
          <x:t xml:space="preserve">/images/pod/L-510_POD.jpg</x:t>
        </x:is>
      </x:c>
      <x:c r="BZ11" t="inlineStr">
        <x:is>
          <x:t xml:space="preserve">Receiver</x:t>
        </x:is>
      </x:c>
      <x:c r="CA11" t="inlineStr">
        <x:is>
          <x:t xml:space="preserve">UPLOADED</x:t>
        </x:is>
      </x:c>
      <x:c r="CB11" s="55" t="n">
        <x:v>46222</x:v>
      </x:c>
      <x:c r="CC11" t="inlineStr">
        <x:is>
          <x:t xml:space="preserve">UPLOADED</x:t>
        </x:is>
      </x:c>
      <x:c r="CD11" s="55" t="n">
        <x:v>46221</x:v>
      </x:c>
      <x:c r="CE11" t="inlineStr">
        <x:is>
          <x:t xml:space="preserve">TRAIL-2011</x:t>
        </x:is>
      </x:c>
      <x:c r="CF11" t="inlineStr">
        <x:is>
          <x:t xml:space="preserve">CARGO-5011</x:t>
        </x:is>
      </x:c>
      <x:c r="CG11" s="57" t="n">
        <x:v>46223.42708333334</x:v>
      </x:c>
      <x:c r="CH11" t="inlineStr">
        <x:is>
          <x:t xml:space="preserve">Receiver Gate 1</x:t>
        </x:is>
      </x:c>
      <x:c r="CI11" t="inlineStr">
        <x:is>
          <x:t xml:space="preserve">YES</x:t>
        </x:is>
      </x:c>
      <x:c r="CJ11" t="inlineStr">
        <x:is>
          <x:t xml:space="preserve">Cargo shift photos attached</x:t>
        </x:is>
      </x:c>
      <x:c r="CK11" s="64" t="n">
        <x:v>9682.095000000001</x:v>
      </x:c>
      <x:c r="CL11" s="64" t="n">
        <x:v>10390.7</x:v>
      </x:c>
      <x:c r="CM11" t="inlineStr">
        <x:is>
          <x:t xml:space="preserve">Motor Truck Cargo</x:t>
        </x:is>
      </x:c>
      <x:c r="CN11" t="inlineStr">
        <x:is>
          <x:t xml:space="preserve">YES</x:t>
        </x:is>
      </x:c>
      <x:c r="CO11" t="inlineStr">
        <x:is>
          <x:t xml:space="preserve">YES</x:t>
        </x:is>
      </x:c>
      <x:c r="CP11" s="64" t="n">
        <x:v>1977</x:v>
      </x:c>
      <x:c r="CQ11" s="64" t="n">
        <x:v>532</x:v>
      </x:c>
      <x:c r="CR11" t="inlineStr">
        <x:is>
          <x:t xml:space="preserve">NO</x:t>
        </x:is>
      </x:c>
      <x:c r="CS11" t="inlineStr">
        <x:is>
          <x:t xml:space="preserve"/>
        </x:is>
      </x:c>
      <x:c r="CT11" t="inlineStr">
        <x:is>
          <x:t xml:space="preserve">COMPLETE</x:t>
        </x:is>
      </x:c>
      <x:c r="CU11" t="inlineStr">
        <x:is>
          <x:t xml:space="preserve">OH</x:t>
        </x:is>
      </x:c>
      <x:c r="CV11" t="inlineStr">
        <x:is>
          <x:t xml:space="preserve">IN</x:t>
        </x:is>
      </x:c>
    </x:row>
    <x:row r="12">
      <x:c r="A12" t="inlineStr">
        <x:is>
          <x:t xml:space="preserve">L-511</x:t>
        </x:is>
      </x:c>
      <x:c r="B12" t="inlineStr">
        <x:is>
          <x:t xml:space="preserve">DRV-011</x:t>
        </x:is>
      </x:c>
      <x:c r="C12" t="inlineStr">
        <x:is>
          <x:t xml:space="preserve">Olivia Lee</x:t>
        </x:is>
      </x:c>
      <x:c r="D12" t="inlineStr">
        <x:is>
          <x:t xml:space="preserve">T-112</x:t>
        </x:is>
      </x:c>
      <x:c r="E12" s="64" t="n">
        <x:v>2250</x:v>
      </x:c>
      <x:c r="F12" s="64" t="n">
        <x:v>63</x:v>
      </x:c>
      <x:c r="G12" t="inlineStr">
        <x:is>
          <x:t xml:space="preserve">IN_TRANSIT</x:t>
        </x:is>
      </x:c>
      <x:c r="H12" t="inlineStr">
        <x:is>
          <x:t xml:space="preserve">IN_TRANSIT</x:t>
        </x:is>
      </x:c>
      <x:c r="I12" t="str">
        <x:f>IF(L12="","PENDING",IF(L12&lt;&gt;J12,"MISMATCH","VERIFIED"))</x:f>
        <x:v>MISMATCH</x:v>
      </x:c>
      <x:c r="J12" t="inlineStr">
        <x:is>
          <x:t xml:space="preserve">VERIFIED</x:t>
        </x:is>
      </x:c>
      <x:c r="K12" t="inlineStr">
        <x:is>
          <x:t xml:space="preserve">NO</x:t>
        </x:is>
      </x:c>
      <x:c r="L12" t="inlineStr">
        <x:is>
          <x:t xml:space="preserve">CLOSED</x:t>
        </x:is>
      </x:c>
      <x:c r="M12">
        <x:f>IF(N12="MISMATCH","SEAL_MISMATCH",IF(OR(K12="",M12=""),"PHOTO_MISSING",""))</x:f>
      </x:c>
      <x:c r="N12" t="inlineStr">
        <x:is>
          <x:t xml:space="preserve">PENDING</x:t>
        </x:is>
      </x:c>
      <x:c r="O12" t="inlineStr">
        <x:is>
          <x:t xml:space="preserve">/documents/loads/L-511_RC.pdf</x:t>
        </x:is>
      </x:c>
      <x:c r="P12" t="inlineStr">
        <x:is>
          <x:t xml:space="preserve">/documents/loads/L-511_BOL.pdf</x:t>
        </x:is>
      </x:c>
      <x:c r="Q12" t="inlineStr">
        <x:is>
          <x:t xml:space="preserve">/documents/loads/L-511_PICKUP_SEAL.jpg</x:t>
        </x:is>
      </x:c>
      <x:c r="R12" t="inlineStr">
        <x:is>
          <x:t xml:space="preserve">/documents/loads/L-511_DELIVERY_SEAL.jpg</x:t>
        </x:is>
      </x:c>
      <x:c r="S12" t="inlineStr">
        <x:is>
          <x:t xml:space="preserve">/drivers/DRV-011.jpg</x:t>
        </x:is>
      </x:c>
      <x:c r="T12" t="inlineStr">
        <x:is>
          <x:t xml:space="preserve">/images/pod/L-511_POD.jpg</x:t>
        </x:is>
      </x:c>
      <x:c r="U12" t="inlineStr">
        <x:is>
          <x:t xml:space="preserve">/images/pickup/L-511_PICKUP.jpg</x:t>
        </x:is>
      </x:c>
      <x:c r="V12" t="inlineStr">
        <x:is>
          <x:t xml:space="preserve">/images/delivery/L-511_DELIVERY.jpg</x:t>
        </x:is>
      </x:c>
      <x:c r="W12" t="inlineStr">
        <x:is>
          <x:t xml:space="preserve">/images/lumper/L-511_LUMPER.jpg</x:t>
        </x:is>
      </x:c>
      <x:c r="X12" t="inlineStr">
        <x:is>
          <x:t xml:space="preserve">Tina Brooks</x:t>
        </x:is>
      </x:c>
      <x:c r="Y12" t="inlineStr">
        <x:is>
          <x:t xml:space="preserve">BlueLine Logistics</x:t>
        </x:is>
      </x:c>
      <x:c r="Z12" t="inlineStr">
        <x:is>
          <x:t xml:space="preserve">MC-782104</x:t>
        </x:is>
      </x:c>
      <x:c r="AA12" t="inlineStr">
        <x:is>
          <x:t xml:space="preserve">Sunbelt Beverages</x:t>
        </x:is>
      </x:c>
      <x:c r="AB12" t="inlineStr">
        <x:is>
          <x:t xml:space="preserve">9900 Commerce Blvd</x:t>
        </x:is>
      </x:c>
      <x:c r="AC12" t="inlineStr">
        <x:is>
          <x:t xml:space="preserve">Charlotte</x:t>
        </x:is>
      </x:c>
      <x:c r="AD12" t="inlineStr">
        <x:is>
          <x:t xml:space="preserve">NC</x:t>
        </x:is>
      </x:c>
      <x:c r="AE12" s="57" t="n">
        <x:v>45859.79166666666</x:v>
      </x:c>
      <x:c r="AF12" t="inlineStr">
        <x:is>
          <x:t xml:space="preserve">Bayport Imports</x:t>
        </x:is>
      </x:c>
      <x:c r="AG12" t="inlineStr">
        <x:is>
          <x:t xml:space="preserve">330 Dockside Ln</x:t>
        </x:is>
      </x:c>
      <x:c r="AH12" t="inlineStr">
        <x:is>
          <x:t xml:space="preserve">Savannah</x:t>
        </x:is>
      </x:c>
      <x:c r="AI12" t="inlineStr">
        <x:is>
          <x:t xml:space="preserve">GA</x:t>
        </x:is>
      </x:c>
      <x:c r="AJ12" s="57" t="n">
        <x:v>45863.04166666666</x:v>
      </x:c>
      <x:c r="AK12" t="inlineStr">
        <x:is>
          <x:t xml:space="preserve">Plastic resins</x:t>
        </x:is>
      </x:c>
      <x:c r="AL12" s="68" t="n">
        <x:v>41702</x:v>
      </x:c>
      <x:c r="AM12" s="68" t="n">
        <x:v>27</x:v>
      </x:c>
      <x:c r="AN12" s="68" t="n">
        <x:v>729</x:v>
      </x:c>
      <x:c r="AO12" t="inlineStr">
        <x:is>
          <x:t xml:space="preserve">TRL-2584</x:t>
        </x:is>
      </x:c>
      <x:c r="AP12" t="inlineStr">
        <x:is>
          <x:t xml:space="preserve">RC-511-926</x:t>
        </x:is>
      </x:c>
      <x:c r="AQ12" t="inlineStr">
        <x:is>
          <x:t xml:space="preserve">BOL-511-7669</x:t>
        </x:is>
      </x:c>
      <x:c r="AR12" t="inlineStr">
        <x:is>
          <x:t xml:space="preserve">PENDING</x:t>
        </x:is>
      </x:c>
      <x:c r="AS12" s="57" t="n">
        <x:v>46225.45833333334</x:v>
      </x:c>
      <x:c r="AT12" s="64" t="n">
        <x:v>125</x:v>
      </x:c>
      <x:c r="AU12" t="inlineStr">
        <x:is>
          <x:t xml:space="preserve">RFID-511-22363</x:t>
        </x:is>
      </x:c>
      <x:c r="AV12" s="57" t="n">
        <x:v>45859.79930555556</x:v>
      </x:c>
      <x:c r="AW12" s="57" t="n">
        <x:v>46225.41666666666</x:v>
      </x:c>
      <x:c r="AX12" t="inlineStr">
        <x:is>
          <x:t xml:space="preserve">Charlotte Yard Gate 4</x:t>
        </x:is>
      </x:c>
      <x:c r="AY12" t="inlineStr">
        <x:is>
          <x:t xml:space="preserve">PENDING_DELIVERY</x:t>
        </x:is>
      </x:c>
      <x:c r="AZ12" t="inlineStr">
        <x:is>
          <x:t xml:space="preserve">MISREAD_AT_GATE</x:t>
        </x:is>
      </x:c>
      <x:c r="BA12" t="inlineStr">
        <x:is>
          <x:t xml:space="preserve">CLM-2026012</x:t>
        </x:is>
      </x:c>
      <x:c r="BB12" t="inlineStr">
        <x:is>
          <x:t xml:space="preserve">RESOLVED</x:t>
        </x:is>
      </x:c>
      <x:c r="BC12" t="inlineStr">
        <x:is>
          <x:t xml:space="preserve">Shortage</x:t>
        </x:is>
      </x:c>
      <x:c r="BD12" s="55" t="n">
        <x:v>46225</x:v>
      </x:c>
      <x:c r="BE12" s="64" t="n">
        <x:v>750</x:v>
      </x:c>
      <x:c r="BF12" s="64" t="n">
        <x:v>500</x:v>
      </x:c>
      <x:c r="BG12" t="inlineStr">
        <x:is>
          <x:t xml:space="preserve">Morgan Ellis</x:t>
        </x:is>
      </x:c>
      <x:c r="BH12" t="inlineStr">
        <x:is>
          <x:t xml:space="preserve">Progressive Commercial</x:t>
        </x:is>
      </x:c>
      <x:c r="BI12" t="inlineStr">
        <x:is>
          <x:t xml:space="preserve">POL-660012</x:t>
        </x:is>
      </x:c>
      <x:c r="BJ12" t="inlineStr">
        <x:is>
          <x:t xml:space="preserve">Rapid Parts - Indianapolis, IN</x:t>
        </x:is>
      </x:c>
      <x:c r="BK12" t="inlineStr">
        <x:is>
          <x:t xml:space="preserve">Delta Retail DC - Atlanta, GA</x:t>
        </x:is>
      </x:c>
      <x:c r="BL12" s="55" t="n">
        <x:v>46224</x:v>
      </x:c>
      <x:c r="BM12" s="55" t="n">
        <x:v>46225</x:v>
      </x:c>
      <x:c r="BN12" t="inlineStr">
        <x:is>
          <x:t xml:space="preserve">08:00-11:00</x:t>
        </x:is>
      </x:c>
      <x:c r="BO12" t="inlineStr">
        <x:is>
          <x:t xml:space="preserve">10:00-14:00</x:t>
        </x:is>
      </x:c>
      <x:c r="BP12" s="64" t="n">
        <x:v>2313</x:v>
      </x:c>
      <x:c r="BQ12" s="64" t="n">
        <x:v>1845</x:v>
      </x:c>
      <x:c r="BR12" s="64" t="n">
        <x:v>270</x:v>
      </x:c>
      <x:c r="BS12" s="64" t="n">
        <x:v>0</x:v>
      </x:c>
      <x:c r="BT12" s="64" t="n">
        <x:v>135</x:v>
      </x:c>
      <x:c r="BU12" t="n">
        <x:v>810</x:v>
      </x:c>
      <x:c r="BV12" t="inlineStr">
        <x:is>
          <x:t xml:space="preserve">BLN-100510</x:t>
        </x:is>
      </x:c>
      <x:c r="BW12" t="inlineStr">
        <x:is>
          <x:t xml:space="preserve">PO-84010</x:t>
        </x:is>
      </x:c>
      <x:c r="BX12" t="inlineStr">
        <x:is>
          <x:t xml:space="preserve">PENDING</x:t>
        </x:is>
      </x:c>
      <x:c r="BY12" t="inlineStr">
        <x:is>
          <x:t xml:space="preserve">/images/pod/L-511_POD.jpg</x:t>
        </x:is>
      </x:c>
      <x:c r="BZ12" t="inlineStr">
        <x:is>
          <x:t xml:space="preserve">Dock Supervisor</x:t>
        </x:is>
      </x:c>
      <x:c r="CA12" t="inlineStr">
        <x:is>
          <x:t xml:space="preserve">MISSING</x:t>
        </x:is>
      </x:c>
      <x:c r="CB12" s="55" t="n">
        <x:v>46224</x:v>
      </x:c>
      <x:c r="CC12" t="inlineStr">
        <x:is>
          <x:t xml:space="preserve">UPLOADED</x:t>
        </x:is>
      </x:c>
      <x:c r="CD12" s="55" t="n">
        <x:v>46223</x:v>
      </x:c>
      <x:c r="CE12" t="inlineStr">
        <x:is>
          <x:t xml:space="preserve">TRAIL-2012</x:t>
        </x:is>
      </x:c>
      <x:c r="CF12" t="inlineStr">
        <x:is>
          <x:t xml:space="preserve">CARGO-5012</x:t>
        </x:is>
      </x:c>
      <x:c r="CG12" s="57" t="n">
        <x:v>46225.42708333334</x:v>
      </x:c>
      <x:c r="CH12" t="inlineStr">
        <x:is>
          <x:t xml:space="preserve">Dock Door 3</x:t>
        </x:is>
      </x:c>
      <x:c r="CI12" t="inlineStr">
        <x:is>
          <x:t xml:space="preserve">YES</x:t>
        </x:is>
      </x:c>
      <x:c r="CJ12" t="inlineStr">
        <x:is>
          <x:t xml:space="preserve">Minor dock scrape</x:t>
        </x:is>
      </x:c>
      <x:c r="CK12" s="64" t="n">
        <x:v>637.5</x:v>
      </x:c>
      <x:c r="CL12" s="64" t="n">
        <x:v>750</x:v>
      </x:c>
      <x:c r="CM12" t="inlineStr">
        <x:is>
          <x:t xml:space="preserve">Auto Liability</x:t>
        </x:is>
      </x:c>
      <x:c r="CN12" t="inlineStr">
        <x:is>
          <x:t xml:space="preserve">YES</x:t>
        </x:is>
      </x:c>
      <x:c r="CO12" t="inlineStr">
        <x:is>
          <x:t xml:space="preserve">NO</x:t>
        </x:is>
      </x:c>
      <x:c r="CP12" s="64" t="n">
        <x:v>2313</x:v>
      </x:c>
      <x:c r="CQ12" s="64" t="n">
        <x:v>630</x:v>
      </x:c>
      <x:c r="CR12" t="inlineStr">
        <x:is>
          <x:t xml:space="preserve">YES</x:t>
        </x:is>
      </x:c>
      <x:c r="CS12" t="inlineStr">
        <x:is>
          <x:t xml:space="preserve">Missing proof bundle</x:t>
        </x:is>
      </x:c>
      <x:c r="CT12" t="inlineStr">
        <x:is>
          <x:t xml:space="preserve">INCOMPLETE</x:t>
        </x:is>
      </x:c>
      <x:c r="CU12" t="inlineStr">
        <x:is>
          <x:t xml:space="preserve">NC</x:t>
        </x:is>
      </x:c>
      <x:c r="CV12" t="inlineStr">
        <x:is>
          <x:t xml:space="preserve">GA</x:t>
        </x:is>
      </x:c>
    </x:row>
    <x:row r="13">
      <x:c r="A13" t="inlineStr">
        <x:is>
          <x:t xml:space="preserve">L-512</x:t>
        </x:is>
      </x:c>
      <x:c r="B13" t="inlineStr">
        <x:is>
          <x:t xml:space="preserve">DRV-012</x:t>
        </x:is>
      </x:c>
      <x:c r="D13" t="inlineStr">
        <x:is>
          <x:t xml:space="preserve">T-106</x:t>
        </x:is>
      </x:c>
      <x:c r="E13" s="64" t="n">
        <x:v>2150</x:v>
      </x:c>
      <x:c r="F13" s="64" t="n">
        <x:v>69</x:v>
      </x:c>
      <x:c r="G13" t="inlineStr">
        <x:is>
          <x:t xml:space="preserve">DELIVERED</x:t>
        </x:is>
      </x:c>
      <x:c r="H13" t="inlineStr">
        <x:is>
          <x:t xml:space="preserve">DELIVERED</x:t>
        </x:is>
      </x:c>
      <x:c r="I13" t="str">
        <x:f>IF(L13="","PENDING",IF(L13&lt;&gt;J13,"MISMATCH","VERIFIED"))</x:f>
        <x:v>MISMATCH</x:v>
      </x:c>
      <x:c r="J13" t="inlineStr">
        <x:is>
          <x:t xml:space="preserve">SEAL_MISMATCH</x:t>
        </x:is>
      </x:c>
      <x:c r="K13" t="inlineStr">
        <x:is>
          <x:t xml:space="preserve">YES</x:t>
        </x:is>
      </x:c>
      <x:c r="L13" t="inlineStr">
        <x:is>
          <x:t xml:space="preserve">OPEN</x:t>
        </x:is>
      </x:c>
      <x:c r="M13">
        <x:f>IF(N13="MISMATCH","SEAL_MISMATCH",IF(OR(K13="",M13=""),"PHOTO_MISSING",""))</x:f>
      </x:c>
      <x:c r="N13" t="inlineStr">
        <x:is>
          <x:t xml:space="preserve">READY</x:t>
        </x:is>
      </x:c>
      <x:c r="O13" t="inlineStr">
        <x:is>
          <x:t xml:space="preserve">/documents/loads/L-512_RC.pdf</x:t>
        </x:is>
      </x:c>
      <x:c r="P13" t="inlineStr">
        <x:is>
          <x:t xml:space="preserve">/documents/loads/L-512_BOL.pdf</x:t>
        </x:is>
      </x:c>
      <x:c r="Q13" t="inlineStr">
        <x:is>
          <x:t xml:space="preserve">/documents/loads/L-512_PICKUP_SEAL.jpg</x:t>
        </x:is>
      </x:c>
      <x:c r="R13" t="inlineStr">
        <x:is>
          <x:t xml:space="preserve">/documents/loads/L-512_DELIVERY_SEAL.jpg</x:t>
        </x:is>
      </x:c>
      <x:c r="S13" t="inlineStr">
        <x:is>
          <x:t xml:space="preserve">/drivers/DRV-012.jpg</x:t>
        </x:is>
      </x:c>
      <x:c r="T13" t="inlineStr">
        <x:is>
          <x:t xml:space="preserve">/images/pod/L-512_POD.jpg</x:t>
        </x:is>
      </x:c>
      <x:c r="U13" t="inlineStr">
        <x:is>
          <x:t xml:space="preserve">/images/pickup/L-512_PICKUP.jpg</x:t>
        </x:is>
      </x:c>
      <x:c r="V13" t="inlineStr">
        <x:is>
          <x:t xml:space="preserve">/images/delivery/L-512_DELIVERY.jpg</x:t>
        </x:is>
      </x:c>
      <x:c r="W13" t="inlineStr">
        <x:is>
          <x:t xml:space="preserve">/images/lumper/L-512_LUMPER.jpg</x:t>
        </x:is>
      </x:c>
      <x:c r="X13" t="inlineStr">
        <x:is>
          <x:t xml:space="preserve">Jamal Reeves</x:t>
        </x:is>
      </x:c>
      <x:c r="Y13" t="inlineStr">
        <x:is>
          <x:t xml:space="preserve">Summit Freight</x:t>
        </x:is>
      </x:c>
      <x:c r="Z13" t="inlineStr">
        <x:is>
          <x:t xml:space="preserve">MC-641255</x:t>
        </x:is>
      </x:c>
      <x:c r="AA13" t="inlineStr">
        <x:is>
          <x:t xml:space="preserve">Frontier Retail DC</x:t>
        </x:is>
      </x:c>
      <x:c r="AB13" t="inlineStr">
        <x:is>
          <x:t xml:space="preserve">5600 Warehouse Way</x:t>
        </x:is>
      </x:c>
      <x:c r="AC13" t="inlineStr">
        <x:is>
          <x:t xml:space="preserve">Dallas</x:t>
        </x:is>
      </x:c>
      <x:c r="AD13" t="inlineStr">
        <x:is>
          <x:t xml:space="preserve">TX</x:t>
        </x:is>
      </x:c>
      <x:c r="AE13" s="57" t="n">
        <x:v>45861.41666666666</x:v>
      </x:c>
      <x:c r="AF13" t="inlineStr">
        <x:is>
          <x:t xml:space="preserve">Metro Supply Chain</x:t>
        </x:is>
      </x:c>
      <x:c r="AG13" t="inlineStr">
        <x:is>
          <x:t xml:space="preserve">120 Junction Rd</x:t>
        </x:is>
      </x:c>
      <x:c r="AH13" t="inlineStr">
        <x:is>
          <x:t xml:space="preserve">Chicago</x:t>
        </x:is>
      </x:c>
      <x:c r="AI13" t="inlineStr">
        <x:is>
          <x:t xml:space="preserve">IL</x:t>
        </x:is>
      </x:c>
      <x:c r="AJ13" s="57" t="n">
        <x:v>45862.83333333334</x:v>
      </x:c>
      <x:c r="AK13" t="inlineStr">
        <x:is>
          <x:t xml:space="preserve">Building materials</x:t>
        </x:is>
      </x:c>
      <x:c r="AL13" s="68" t="n">
        <x:v>41862</x:v>
      </x:c>
      <x:c r="AM13" s="68" t="n">
        <x:v>22</x:v>
      </x:c>
      <x:c r="AN13" s="68" t="n">
        <x:v>990</x:v>
      </x:c>
      <x:c r="AO13" t="inlineStr">
        <x:is>
          <x:t xml:space="preserve">TRL-2211</x:t>
        </x:is>
      </x:c>
      <x:c r="AP13" t="inlineStr">
        <x:is>
          <x:t xml:space="preserve">RC-512-354</x:t>
        </x:is>
      </x:c>
      <x:c r="AQ13" t="inlineStr">
        <x:is>
          <x:t xml:space="preserve">BOL-512-4139</x:t>
        </x:is>
      </x:c>
      <x:c r="AR13" t="inlineStr">
        <x:is>
          <x:t xml:space="preserve">YES</x:t>
        </x:is>
      </x:c>
      <x:c r="AS13" s="57" t="n">
        <x:v>45862.91666666666</x:v>
      </x:c>
      <x:c r="AT13" s="64" t="n">
        <x:v>315</x:v>
      </x:c>
      <x:c r="AU13" t="inlineStr">
        <x:is>
          <x:t xml:space="preserve">RFID-512-68800</x:t>
        </x:is>
      </x:c>
      <x:c r="AV13" s="57" t="n">
        <x:v>45861.42569444444</x:v>
      </x:c>
      <x:c r="AW13" s="57" t="n">
        <x:v>45862.85902777778</x:v>
      </x:c>
      <x:c r="AX13" t="inlineStr">
        <x:is>
          <x:t xml:space="preserve">Dallas Yard Gate 2</x:t>
        </x:is>
      </x:c>
      <x:c r="AY13" t="inlineStr">
        <x:is>
          <x:t xml:space="preserve">VERIFIED</x:t>
        </x:is>
      </x:c>
      <x:c r="AZ13" t="inlineStr">
        <x:is>
          <x:t xml:space="preserve"/>
        </x:is>
      </x:c>
      <x:c r="BA13" t="inlineStr">
        <x:is>
          <x:t xml:space="preserve">CLM-512-2235</x:t>
        </x:is>
      </x:c>
      <x:c r="BB13" t="inlineStr">
        <x:is>
          <x:t xml:space="preserve">UNDER_REVIEW</x:t>
        </x:is>
      </x:c>
      <x:c r="BC13" t="inlineStr">
        <x:is>
          <x:t xml:space="preserve">Cargo Damage</x:t>
        </x:is>
      </x:c>
      <x:c r="BD13" s="55" t="n">
        <x:v>45862</x:v>
      </x:c>
      <x:c r="BE13" s="64" t="n">
        <x:v>1816.59</x:v>
      </x:c>
      <x:c r="BF13" s="64" t="n">
        <x:v>1500</x:v>
      </x:c>
      <x:c r="BG13" t="inlineStr">
        <x:is>
          <x:t xml:space="preserve">Kelly Moore</x:t>
        </x:is>
      </x:c>
      <x:c r="BH13" t="inlineStr">
        <x:is>
          <x:t xml:space="preserve">Progressive Commercial</x:t>
        </x:is>
      </x:c>
      <x:c r="BI13" t="inlineStr">
        <x:is>
          <x:t xml:space="preserve">POL-890170</x:t>
        </x:is>
      </x:c>
      <x:c r="BJ13" t="inlineStr">
        <x:is>
          <x:t xml:space="preserve">Prime Consumer - Dallas, TX</x:t>
        </x:is>
      </x:c>
      <x:c r="BK13" t="inlineStr">
        <x:is>
          <x:t xml:space="preserve">Union Crossdock - St. Louis, MO</x:t>
        </x:is>
      </x:c>
      <x:c r="BL13" s="55" t="n">
        <x:v>46226</x:v>
      </x:c>
      <x:c r="BM13" s="55" t="n">
        <x:v>46227</x:v>
      </x:c>
      <x:c r="BN13" t="inlineStr">
        <x:is>
          <x:t xml:space="preserve">09:00-12:00</x:t>
        </x:is>
      </x:c>
      <x:c r="BO13" t="inlineStr">
        <x:is>
          <x:t xml:space="preserve">11:00-15:00</x:t>
        </x:is>
      </x:c>
      <x:c r="BP13" s="64" t="n">
        <x:v>2219</x:v>
      </x:c>
      <x:c r="BQ13" s="64" t="n">
        <x:v>1763</x:v>
      </x:c>
      <x:c r="BR13" s="64" t="n">
        <x:v>258</x:v>
      </x:c>
      <x:c r="BS13" s="64" t="n">
        <x:v>50</x:v>
      </x:c>
      <x:c r="BT13" s="64" t="n">
        <x:v>79</x:v>
      </x:c>
      <x:c r="BU13" t="n">
        <x:v>867</x:v>
      </x:c>
      <x:c r="BV13" t="inlineStr">
        <x:is>
          <x:t xml:space="preserve">BLN-100511</x:t>
        </x:is>
      </x:c>
      <x:c r="BW13" t="inlineStr">
        <x:is>
          <x:t xml:space="preserve">PO-84011</x:t>
        </x:is>
      </x:c>
      <x:c r="BX13" t="inlineStr">
        <x:is>
          <x:t xml:space="preserve">RECEIVED</x:t>
        </x:is>
      </x:c>
      <x:c r="BY13" t="inlineStr">
        <x:is>
          <x:t xml:space="preserve">/images/pod/L-512_POD.jpg</x:t>
        </x:is>
      </x:c>
      <x:c r="BZ13" t="inlineStr">
        <x:is>
          <x:t xml:space="preserve">Inventory Lead</x:t>
        </x:is>
      </x:c>
      <x:c r="CA13" t="inlineStr">
        <x:is>
          <x:t xml:space="preserve">UPLOADED</x:t>
        </x:is>
      </x:c>
      <x:c r="CB13" s="55" t="n">
        <x:v>46226</x:v>
      </x:c>
      <x:c r="CC13" t="inlineStr">
        <x:is>
          <x:t xml:space="preserve">UPLOADED</x:t>
        </x:is>
      </x:c>
      <x:c r="CD13" s="55" t="n">
        <x:v>46225</x:v>
      </x:c>
      <x:c r="CE13" t="inlineStr">
        <x:is>
          <x:t xml:space="preserve">TRAIL-2013</x:t>
        </x:is>
      </x:c>
      <x:c r="CF13" t="inlineStr">
        <x:is>
          <x:t xml:space="preserve">CARGO-5013</x:t>
        </x:is>
      </x:c>
      <x:c r="CG13" s="57" t="n">
        <x:v>46227.42708333334</x:v>
      </x:c>
      <x:c r="CH13" t="inlineStr">
        <x:is>
          <x:t xml:space="preserve">Yard Gate A</x:t>
        </x:is>
      </x:c>
      <x:c r="CI13" t="inlineStr">
        <x:is>
          <x:t xml:space="preserve">YES</x:t>
        </x:is>
      </x:c>
      <x:c r="CJ13" t="inlineStr">
        <x:is>
          <x:t xml:space="preserve">Seal mismatch review</x:t>
        </x:is>
      </x:c>
      <x:c r="CK13" s="64" t="n">
        <x:v>1544.1015</x:v>
      </x:c>
      <x:c r="CL13" s="64" t="n">
        <x:v>316.5899999999999</x:v>
      </x:c>
      <x:c r="CM13" t="inlineStr">
        <x:is>
          <x:t xml:space="preserve">General Liability</x:t>
        </x:is>
      </x:c>
      <x:c r="CN13" t="inlineStr">
        <x:is>
          <x:t xml:space="preserve">YES</x:t>
        </x:is>
      </x:c>
      <x:c r="CO13" t="inlineStr">
        <x:is>
          <x:t xml:space="preserve">YES</x:t>
        </x:is>
      </x:c>
      <x:c r="CP13" s="64" t="n">
        <x:v>2219</x:v>
      </x:c>
      <x:c r="CQ13" s="64" t="n">
        <x:v>602</x:v>
      </x:c>
      <x:c r="CR13" t="inlineStr">
        <x:is>
          <x:t xml:space="preserve">NO</x:t>
        </x:is>
      </x:c>
      <x:c r="CS13" t="inlineStr">
        <x:is>
          <x:t xml:space="preserve"/>
        </x:is>
      </x:c>
      <x:c r="CT13" t="inlineStr">
        <x:is>
          <x:t xml:space="preserve">COMPLETE</x:t>
        </x:is>
      </x:c>
      <x:c r="CU13" t="inlineStr">
        <x:is>
          <x:t xml:space="preserve">TX</x:t>
        </x:is>
      </x:c>
      <x:c r="CV13" t="inlineStr">
        <x:is>
          <x:t xml:space="preserve">IL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d99732c7a8847ed"/>
  </x:tableParts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22" style="24" customWidth="1"/>
    <x:col min="5" max="5" width="15" style="24" customWidth="1"/>
    <x:col min="6" max="6" width="10" style="24" customWidth="1"/>
    <x:col min="7" max="7" width="10" style="24" customWidth="1"/>
    <x:col min="8" max="8" width="21" style="24" customWidth="1"/>
    <x:col min="9" max="9" width="10" style="24" customWidth="1"/>
    <x:col min="10" max="10" width="25" style="24" customWidth="1"/>
    <x:col min="11" max="11" width="28" style="24" customWidth="1"/>
    <x:col min="12" max="12" width="15" style="24" customWidth="1"/>
    <x:col min="13" max="13" width="19" style="24" customWidth="1"/>
    <x:col min="14" max="14" width="18" style="24" customWidth="1"/>
    <x:col min="15" max="15" width="14" style="24" customWidth="1"/>
    <x:col min="16" max="16" width="16" style="24" customWidth="1"/>
    <x:col min="17" max="17" width="14" style="24" customWidth="1"/>
    <x:col min="18" max="18" width="14" style="24" customWidth="1"/>
    <x:col min="19" max="19" width="16" style="24" customWidth="1"/>
    <x:col min="20" max="20" width="18" style="24" customWidth="1"/>
    <x:col min="21" max="21" width="20" style="24" customWidth="1"/>
    <x:col min="22" max="22" width="18" style="24" customWidth="1"/>
    <x:col min="23" max="23" width="32" style="24" customWidth="1"/>
  </x:cols>
  <x:sheetData>
    <x:row r="1">
      <x:c r="A1" s="66" t="inlineStr">
        <x:is>
          <x:t xml:space="preserve">Event ID</x:t>
        </x:is>
      </x:c>
      <x:c r="B1" s="66" t="inlineStr">
        <x:is>
          <x:t xml:space="preserve">Driver ID</x:t>
        </x:is>
      </x:c>
      <x:c r="C1" s="66" t="inlineStr">
        <x:is>
          <x:t xml:space="preserve">Driver Name</x:t>
        </x:is>
      </x:c>
      <x:c r="D1" s="66" t="inlineStr">
        <x:is>
          <x:t xml:space="preserve">Driver Photo URL</x:t>
        </x:is>
      </x:c>
      <x:c r="E1" s="66" t="inlineStr">
        <x:is>
          <x:t xml:space="preserve">Event Type</x:t>
        </x:is>
      </x:c>
      <x:c r="F1" s="66" t="inlineStr">
        <x:is>
          <x:t xml:space="preserve">Severity</x:t>
        </x:is>
      </x:c>
      <x:c r="G1" s="66" t="inlineStr">
        <x:is>
          <x:t xml:space="preserve">Status</x:t>
        </x:is>
      </x:c>
      <x:c r="H1" s="66" t="inlineStr">
        <x:is>
          <x:t xml:space="preserve">Timestamp</x:t>
        </x:is>
      </x:c>
      <x:c r="I1" s="66" t="inlineStr">
        <x:is>
          <x:t xml:space="preserve">Unit</x:t>
        </x:is>
      </x:c>
      <x:c r="J1" s="66" t="inlineStr">
        <x:is>
          <x:t xml:space="preserve">Location</x:t>
        </x:is>
      </x:c>
      <x:c r="K1" s="66" t="inlineStr">
        <x:is>
          <x:t xml:space="preserve">Details</x:t>
        </x:is>
      </x:c>
      <x:c r="L1" s="66" t="inlineStr">
        <x:is>
          <x:t xml:space="preserve">Export Status</x:t>
        </x:is>
      </x:c>
      <x:c r="M1" s="66" t="inlineStr">
        <x:is>
          <x:t xml:space="preserve">Event Photo URL</x:t>
        </x:is>
      </x:c>
      <x:c r="N1" s="66" t="inlineStr">
        <x:is>
          <x:t xml:space="preserve">Insurance Claim ID</x:t>
        </x:is>
      </x:c>
      <x:c r="O1" s="66" t="inlineStr">
        <x:is>
          <x:t xml:space="preserve">Claim Status</x:t>
        </x:is>
      </x:c>
      <x:c r="P1" s="66" t="inlineStr">
        <x:is>
          <x:t xml:space="preserve">Claim Type</x:t>
        </x:is>
      </x:c>
      <x:c r="Q1" s="66" t="inlineStr">
        <x:is>
          <x:t xml:space="preserve">Date of Loss</x:t>
        </x:is>
      </x:c>
      <x:c r="R1" s="66" t="inlineStr">
        <x:is>
          <x:t xml:space="preserve">Claim Amount</x:t>
        </x:is>
      </x:c>
      <x:c r="S1" s="66" t="inlineStr">
        <x:is>
          <x:t xml:space="preserve">Deductible Amount</x:t>
        </x:is>
      </x:c>
      <x:c r="T1" s="66" t="inlineStr">
        <x:is>
          <x:t xml:space="preserve">Adjuster Name</x:t>
        </x:is>
      </x:c>
      <x:c r="U1" s="66" t="inlineStr">
        <x:is>
          <x:t xml:space="preserve">Insurer Name</x:t>
        </x:is>
      </x:c>
      <x:c r="V1" s="66" t="inlineStr">
        <x:is>
          <x:t xml:space="preserve">Policy Number</x:t>
        </x:is>
      </x:c>
      <x:c r="W1" s="66" t="inlineStr">
        <x:is>
          <x:t xml:space="preserve">Claim Notes</x:t>
        </x:is>
      </x:c>
      <x:c r="X1" t="inlineStr">
        <x:is>
          <x:t xml:space="preserve">RFID Related?</x:t>
        </x:is>
      </x:c>
      <x:c r="Y1" t="inlineStr">
        <x:is>
          <x:t xml:space="preserve">Linked Load ID</x:t>
        </x:is>
      </x:c>
      <x:c r="Z1" t="inlineStr">
        <x:is>
          <x:t xml:space="preserve">Linked Driver Document</x:t>
        </x:is>
      </x:c>
      <x:c r="AA1" t="inlineStr">
        <x:is>
          <x:t xml:space="preserve">Claim Exposure Band</x:t>
        </x:is>
      </x:c>
      <x:c r="AB1" t="inlineStr">
        <x:is>
          <x:t xml:space="preserve">Insurance Claim Needed?</x:t>
        </x:is>
      </x:c>
    </x:row>
    <x:row r="2">
      <x:c r="A2" t="inlineStr">
        <x:is>
          <x:t xml:space="preserve">EVT-001</x:t>
        </x:is>
      </x:c>
      <x:c r="B2" t="inlineStr">
        <x:is>
          <x:t xml:space="preserve">DRV-010</x:t>
        </x:is>
      </x:c>
      <x:c r="C2" t="inlineStr">
        <x:is>
          <x:t xml:space="preserve">Noah Wilson</x:t>
        </x:is>
      </x:c>
      <x:c r="D2" t="inlineStr">
        <x:is>
          <x:t xml:space="preserve">/drivers/DRV-010.jpg</x:t>
        </x:is>
      </x:c>
      <x:c r="E2" t="inlineStr">
        <x:is>
          <x:t xml:space="preserve">HOS Violation</x:t>
        </x:is>
      </x:c>
      <x:c r="F2" t="inlineStr">
        <x:is>
          <x:t xml:space="preserve">CRITICAL</x:t>
        </x:is>
      </x:c>
      <x:c r="G2" t="inlineStr">
        <x:is>
          <x:t xml:space="preserve">OPEN</x:t>
        </x:is>
      </x:c>
      <x:c r="H2" s="65" t="n">
        <x:v>46103.34305555555</x:v>
      </x:c>
      <x:c r="I2" t="inlineStr">
        <x:is>
          <x:t xml:space="preserve">T-110</x:t>
        </x:is>
      </x:c>
      <x:c r="J2" t="inlineStr">
        <x:is>
          <x:t xml:space="preserve">I-40 near Nashville, TN</x:t>
        </x:is>
      </x:c>
      <x:c r="K2" t="inlineStr">
        <x:is>
          <x:t xml:space="preserve">Exceeded 11-hour driving limit</x:t>
        </x:is>
      </x:c>
      <x:c r="L2" t="inlineStr">
        <x:is>
          <x:t xml:space="preserve">READY</x:t>
        </x:is>
      </x:c>
      <x:c r="M2" t="inlineStr">
        <x:is>
          <x:t xml:space="preserve">/images/safety/EVT-001.jpg</x:t>
        </x:is>
      </x:c>
      <x:c r="Q2" s="55" t="n"/>
      <x:c r="R2" s="64" t="n"/>
      <x:c r="S2" s="64" t="n"/>
      <x:c r="X2" t="inlineStr">
        <x:is>
          <x:t xml:space="preserve">NO</x:t>
        </x:is>
      </x:c>
      <x:c r="Y2" t="inlineStr">
        <x:is>
          <x:t xml:space="preserve">L-501</x:t>
        </x:is>
      </x:c>
      <x:c r="Z2" t="inlineStr">
        <x:is>
          <x:t xml:space="preserve">CDL</x:t>
        </x:is>
      </x:c>
      <x:c r="AA2" t="inlineStr">
        <x:is>
          <x:t xml:space="preserve">NONE</x:t>
        </x:is>
      </x:c>
      <x:c r="AB2" t="inlineStr">
        <x:is>
          <x:t xml:space="preserve">NO</x:t>
        </x:is>
      </x:c>
    </x:row>
    <x:row r="3">
      <x:c r="A3" t="inlineStr">
        <x:is>
          <x:t xml:space="preserve">EVT-002</x:t>
        </x:is>
      </x:c>
      <x:c r="B3" t="inlineStr">
        <x:is>
          <x:t xml:space="preserve">DRV-006</x:t>
        </x:is>
      </x:c>
      <x:c r="C3" t="inlineStr">
        <x:is>
          <x:t xml:space="preserve">Marcus Chen</x:t>
        </x:is>
      </x:c>
      <x:c r="D3" t="inlineStr">
        <x:is>
          <x:t xml:space="preserve">/drivers/DRV-006.jpg</x:t>
        </x:is>
      </x:c>
      <x:c r="E3" t="inlineStr">
        <x:is>
          <x:t xml:space="preserve">Harsh Braking</x:t>
        </x:is>
      </x:c>
      <x:c r="F3" t="inlineStr">
        <x:is>
          <x:t xml:space="preserve">WARNING</x:t>
        </x:is>
      </x:c>
      <x:c r="G3" t="inlineStr">
        <x:is>
          <x:t xml:space="preserve">OPEN</x:t>
        </x:is>
      </x:c>
      <x:c r="H3" s="65" t="n">
        <x:v>46103.43819444445</x:v>
      </x:c>
      <x:c r="I3" t="inlineStr">
        <x:is>
          <x:t xml:space="preserve">T-111</x:t>
        </x:is>
      </x:c>
      <x:c r="J3" t="inlineStr">
        <x:is>
          <x:t xml:space="preserve">Mile Marker 212</x:t>
        </x:is>
      </x:c>
      <x:c r="K3" t="inlineStr">
        <x:is>
          <x:t xml:space="preserve">Sudden hard stop detected</x:t>
        </x:is>
      </x:c>
      <x:c r="L3" t="inlineStr">
        <x:is>
          <x:t xml:space="preserve">READY</x:t>
        </x:is>
      </x:c>
      <x:c r="M3" t="inlineStr">
        <x:is>
          <x:t xml:space="preserve">/images/safety/EVT-002.jpg</x:t>
        </x:is>
      </x:c>
      <x:c r="N3" t="inlineStr">
        <x:is>
          <x:t xml:space="preserve">CLM-002-6147</x:t>
        </x:is>
      </x:c>
      <x:c r="O3" t="inlineStr">
        <x:is>
          <x:t xml:space="preserve">OPEN</x:t>
        </x:is>
      </x:c>
      <x:c r="P3" t="inlineStr">
        <x:is>
          <x:t xml:space="preserve">Workers Comp</x:t>
        </x:is>
      </x:c>
      <x:c r="Q3" s="55" t="inlineStr">
        <x:is>
          <x:t xml:space="preserve">OPEN</x:t>
        </x:is>
      </x:c>
      <x:c r="R3" s="64" t="n">
        <x:v>8332.57</x:v>
      </x:c>
      <x:c r="S3" s="64" t="n">
        <x:v>2500</x:v>
      </x:c>
      <x:c r="T3" t="inlineStr">
        <x:is>
          <x:t xml:space="preserve">Alicia Gomez</x:t>
        </x:is>
      </x:c>
      <x:c r="U3" t="inlineStr">
        <x:is>
          <x:t xml:space="preserve">Nationwide E&amp;S</x:t>
        </x:is>
      </x:c>
      <x:c r="V3" t="inlineStr">
        <x:is>
          <x:t xml:space="preserve">POL-431535</x:t>
        </x:is>
      </x:c>
      <x:c r="W3" t="inlineStr">
        <x:is>
          <x:t xml:space="preserve">Awaiting repair estimate and driver statement</x:t>
        </x:is>
      </x:c>
      <x:c r="X3" t="inlineStr">
        <x:is>
          <x:t xml:space="preserve">NO</x:t>
        </x:is>
      </x:c>
      <x:c r="Y3" t="inlineStr">
        <x:is>
          <x:t xml:space="preserve">L-502</x:t>
        </x:is>
      </x:c>
      <x:c r="Z3" t="inlineStr">
        <x:is>
          <x:t xml:space="preserve">DQ File</x:t>
        </x:is>
      </x:c>
      <x:c r="AA3" t="inlineStr">
        <x:is>
          <x:t xml:space="preserve">HIGH</x:t>
        </x:is>
      </x:c>
      <x:c r="AB3" t="inlineStr">
        <x:is>
          <x:t xml:space="preserve">YES</x:t>
        </x:is>
      </x:c>
    </x:row>
    <x:row r="4">
      <x:c r="A4" t="inlineStr">
        <x:is>
          <x:t xml:space="preserve">EVT-003</x:t>
        </x:is>
      </x:c>
      <x:c r="B4" t="inlineStr">
        <x:is>
          <x:t xml:space="preserve">DRV-004</x:t>
        </x:is>
      </x:c>
      <x:c r="C4" t="inlineStr">
        <x:is>
          <x:t xml:space="preserve">Priya Patel</x:t>
        </x:is>
      </x:c>
      <x:c r="D4" t="inlineStr">
        <x:is>
          <x:t xml:space="preserve">/drivers/DRV-004.jpg</x:t>
        </x:is>
      </x:c>
      <x:c r="E4" t="inlineStr">
        <x:is>
          <x:t xml:space="preserve">Speeding</x:t>
        </x:is>
      </x:c>
      <x:c r="F4" t="inlineStr">
        <x:is>
          <x:t xml:space="preserve">CRITICAL</x:t>
        </x:is>
      </x:c>
      <x:c r="G4" t="inlineStr">
        <x:is>
          <x:t xml:space="preserve">OPEN</x:t>
        </x:is>
      </x:c>
      <x:c r="H4" s="65" t="n">
        <x:v>46103.45972222222</x:v>
      </x:c>
      <x:c r="I4" t="inlineStr">
        <x:is>
          <x:t xml:space="preserve">T-108</x:t>
        </x:is>
      </x:c>
      <x:c r="J4" t="inlineStr">
        <x:is>
          <x:t xml:space="preserve">Memphis, TN</x:t>
        </x:is>
      </x:c>
      <x:c r="K4" t="inlineStr">
        <x:is>
          <x:t xml:space="preserve">78 MPH in 55 MPH zone</x:t>
        </x:is>
      </x:c>
      <x:c r="L4" t="inlineStr">
        <x:is>
          <x:t xml:space="preserve">READY</x:t>
        </x:is>
      </x:c>
      <x:c r="M4" t="inlineStr">
        <x:is>
          <x:t xml:space="preserve">/images/safety/EVT-003.jpg</x:t>
        </x:is>
      </x:c>
      <x:c r="N4" t="inlineStr">
        <x:is>
          <x:t xml:space="preserve">CLM-003-2638</x:t>
        </x:is>
      </x:c>
      <x:c r="O4" t="inlineStr">
        <x:is>
          <x:t xml:space="preserve">OPEN</x:t>
        </x:is>
      </x:c>
      <x:c r="P4" t="inlineStr">
        <x:is>
          <x:t xml:space="preserve">Cargo Damage</x:t>
        </x:is>
      </x:c>
      <x:c r="Q4" s="55" t="inlineStr">
        <x:is>
          <x:t xml:space="preserve">OPEN</x:t>
        </x:is>
      </x:c>
      <x:c r="R4" s="64" t="n">
        <x:v>10094.16</x:v>
      </x:c>
      <x:c r="S4" s="64" t="n">
        <x:v>500</x:v>
      </x:c>
      <x:c r="T4" t="inlineStr">
        <x:is>
          <x:t xml:space="preserve">Alicia Gomez</x:t>
        </x:is>
      </x:c>
      <x:c r="U4" t="inlineStr">
        <x:is>
          <x:t xml:space="preserve">Progressive Commercial</x:t>
        </x:is>
      </x:c>
      <x:c r="V4" t="inlineStr">
        <x:is>
          <x:t xml:space="preserve">POL-356150</x:t>
        </x:is>
      </x:c>
      <x:c r="W4" t="inlineStr">
        <x:is>
          <x:t xml:space="preserve">Reviewing cargo shortage supporting docs</x:t>
        </x:is>
      </x:c>
      <x:c r="X4" t="inlineStr">
        <x:is>
          <x:t xml:space="preserve">YES</x:t>
        </x:is>
      </x:c>
      <x:c r="Y4" t="inlineStr">
        <x:is>
          <x:t xml:space="preserve">L-503</x:t>
        </x:is>
      </x:c>
      <x:c r="Z4" t="inlineStr">
        <x:is>
          <x:t xml:space="preserve">MCSA-5876</x:t>
        </x:is>
      </x:c>
      <x:c r="AA4" t="inlineStr">
        <x:is>
          <x:t xml:space="preserve">HIGH</x:t>
        </x:is>
      </x:c>
      <x:c r="AB4" t="inlineStr">
        <x:is>
          <x:t xml:space="preserve">YES</x:t>
        </x:is>
      </x:c>
    </x:row>
    <x:row r="5">
      <x:c r="A5" t="inlineStr">
        <x:is>
          <x:t xml:space="preserve">EVT-004</x:t>
        </x:is>
      </x:c>
      <x:c r="B5" t="inlineStr">
        <x:is>
          <x:t xml:space="preserve">DRV-002</x:t>
        </x:is>
      </x:c>
      <x:c r="C5" t="inlineStr">
        <x:is>
          <x:t xml:space="preserve">Maria Lopez</x:t>
        </x:is>
      </x:c>
      <x:c r="D5" t="inlineStr">
        <x:is>
          <x:t xml:space="preserve">/drivers/DRV-002.jpg</x:t>
        </x:is>
      </x:c>
      <x:c r="E5" t="inlineStr">
        <x:is>
          <x:t xml:space="preserve">Geofence Exit</x:t>
        </x:is>
      </x:c>
      <x:c r="F5" t="inlineStr">
        <x:is>
          <x:t xml:space="preserve">WARNING</x:t>
        </x:is>
      </x:c>
      <x:c r="G5" t="inlineStr">
        <x:is>
          <x:t xml:space="preserve">REVIEWED</x:t>
        </x:is>
      </x:c>
      <x:c r="H5" s="65" t="n">
        <x:v>46103.49166666667</x:v>
      </x:c>
      <x:c r="I5" t="inlineStr">
        <x:is>
          <x:t xml:space="preserve">T-101</x:t>
        </x:is>
      </x:c>
      <x:c r="J5" t="inlineStr">
        <x:is>
          <x:t xml:space="preserve">Cleveland Yard</x:t>
        </x:is>
      </x:c>
      <x:c r="K5" t="inlineStr">
        <x:is>
          <x:t xml:space="preserve">Exited designated yard area</x:t>
        </x:is>
      </x:c>
      <x:c r="L5" t="inlineStr">
        <x:is>
          <x:t xml:space="preserve">READY</x:t>
        </x:is>
      </x:c>
      <x:c r="M5" t="inlineStr">
        <x:is>
          <x:t xml:space="preserve">/images/safety/EVT-004.jpg</x:t>
        </x:is>
      </x:c>
      <x:c r="N5" t="inlineStr">
        <x:is>
          <x:t xml:space="preserve">CLM-004-8179</x:t>
        </x:is>
      </x:c>
      <x:c r="O5" t="inlineStr">
        <x:is>
          <x:t xml:space="preserve">SETTLED</x:t>
        </x:is>
      </x:c>
      <x:c r="P5" t="inlineStr">
        <x:is>
          <x:t xml:space="preserve">Workers Comp</x:t>
        </x:is>
      </x:c>
      <x:c r="Q5" s="55" t="inlineStr">
        <x:is>
          <x:t xml:space="preserve">REVIEWED</x:t>
        </x:is>
      </x:c>
      <x:c r="R5" s="64" t="n">
        <x:v>11786.84</x:v>
      </x:c>
      <x:c r="S5" s="64" t="n">
        <x:v>2500</x:v>
      </x:c>
      <x:c r="T5" t="inlineStr">
        <x:is>
          <x:t xml:space="preserve">Renee Collins</x:t>
        </x:is>
      </x:c>
      <x:c r="U5" t="inlineStr">
        <x:is>
          <x:t xml:space="preserve">Progressive Commercial</x:t>
        </x:is>
      </x:c>
      <x:c r="V5" t="inlineStr">
        <x:is>
          <x:t xml:space="preserve">POL-800305</x:t>
        </x:is>
      </x:c>
      <x:c r="W5" t="inlineStr">
        <x:is>
          <x:t xml:space="preserve">Reviewing cargo shortage supporting docs</x:t>
        </x:is>
      </x:c>
      <x:c r="X5" t="inlineStr">
        <x:is>
          <x:t xml:space="preserve">NO</x:t>
        </x:is>
      </x:c>
      <x:c r="Y5" t="inlineStr">
        <x:is>
          <x:t xml:space="preserve">L-504</x:t>
        </x:is>
      </x:c>
      <x:c r="Z5" t="inlineStr">
        <x:is>
          <x:t xml:space="preserve">MVR</x:t>
        </x:is>
      </x:c>
      <x:c r="AA5" t="inlineStr">
        <x:is>
          <x:t xml:space="preserve">HIGH</x:t>
        </x:is>
      </x:c>
      <x:c r="AB5" t="inlineStr">
        <x:is>
          <x:t xml:space="preserve">YES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30bcc9a2d584730"/>
  </x:tableParts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0" style="24" customWidth="1"/>
    <x:col min="2" max="2" width="11" style="24" customWidth="1"/>
    <x:col min="3" max="3" width="13" style="24" customWidth="1"/>
    <x:col min="4" max="4" width="22" style="24" customWidth="1"/>
    <x:col min="5" max="5" width="23" style="24" customWidth="1"/>
    <x:col min="6" max="6" width="10" style="24" customWidth="1"/>
    <x:col min="7" max="7" width="10" style="24" customWidth="1"/>
    <x:col min="8" max="8" width="21" style="24" customWidth="1"/>
    <x:col min="9" max="9" width="28" style="24" customWidth="1"/>
    <x:col min="10" max="10" width="15" style="24" customWidth="1"/>
    <x:col min="11" max="11" width="22" style="24" customWidth="1"/>
    <x:col min="12" max="12" width="18" style="24" customWidth="1"/>
    <x:col min="13" max="13" width="14" style="24" customWidth="1"/>
    <x:col min="14" max="14" width="16" style="24" customWidth="1"/>
    <x:col min="15" max="15" width="14" style="24" customWidth="1"/>
    <x:col min="16" max="16" width="14" style="24" customWidth="1"/>
    <x:col min="17" max="17" width="16" style="24" customWidth="1"/>
    <x:col min="18" max="18" width="18" style="24" customWidth="1"/>
    <x:col min="19" max="19" width="20" style="24" customWidth="1"/>
    <x:col min="20" max="20" width="18" style="24" customWidth="1"/>
    <x:col min="21" max="21" width="32" style="24" customWidth="1"/>
  </x:cols>
  <x:sheetData>
    <x:row r="1">
      <x:c r="A1" s="66" t="str">
        <x:v>Event ID</x:v>
      </x:c>
      <x:c r="B1" s="66" t="str">
        <x:v>Driver ID</x:v>
      </x:c>
      <x:c r="C1" s="66" t="str">
        <x:v>Driver Name</x:v>
      </x:c>
      <x:c r="D1" s="66" t="str">
        <x:v>Driver Photo URL</x:v>
      </x:c>
      <x:c r="E1" s="66" t="str">
        <x:v>Event Type</x:v>
      </x:c>
      <x:c r="F1" s="66" t="str">
        <x:v>Severity</x:v>
      </x:c>
      <x:c r="G1" s="66" t="str">
        <x:v>Status</x:v>
      </x:c>
      <x:c r="H1" s="66" t="str">
        <x:v>Due Date</x:v>
      </x:c>
      <x:c r="I1" s="66" t="str">
        <x:v>Details</x:v>
      </x:c>
      <x:c r="J1" s="66" t="str">
        <x:v>Export Status</x:v>
      </x:c>
      <x:c r="K1" s="66" t="str">
        <x:v>Evidence Image URL</x:v>
      </x:c>
      <x:c r="L1" s="66" t="str">
        <x:v>Insurance Claim ID</x:v>
      </x:c>
      <x:c r="M1" s="66" t="str">
        <x:v>Claim Status</x:v>
      </x:c>
      <x:c r="N1" s="66" t="str">
        <x:v>Claim Type</x:v>
      </x:c>
      <x:c r="O1" s="66" t="str">
        <x:v>Date of Loss</x:v>
      </x:c>
      <x:c r="P1" s="66" t="str">
        <x:v>Claim Amount</x:v>
      </x:c>
      <x:c r="Q1" s="66" t="str">
        <x:v>Deductible Amount</x:v>
      </x:c>
      <x:c r="R1" s="66" t="str">
        <x:v>Adjuster Name</x:v>
      </x:c>
      <x:c r="S1" s="66" t="str">
        <x:v>Insurer Name</x:v>
      </x:c>
      <x:c r="T1" s="66" t="str">
        <x:v>Policy Number</x:v>
      </x:c>
      <x:c r="U1" s="66" t="str">
        <x:v>Claim Notes</x:v>
      </x:c>
      <x:c r="V1" t="str">
        <x:v>RFID Related?</x:v>
      </x:c>
      <x:c r="W1" t="str">
        <x:v>Linked Load ID</x:v>
      </x:c>
      <x:c r="X1" t="str">
        <x:v>Linked Driver Document</x:v>
      </x:c>
      <x:c r="Y1" t="str">
        <x:v>Claim Exposure Band</x:v>
      </x:c>
      <x:c r="Z1" t="str">
        <x:v>Insurance Claim Needed?</x:v>
      </x:c>
    </x:row>
    <x:row r="2">
      <x:c r="A2" t="str">
        <x:v>CMP-001</x:v>
      </x:c>
      <x:c r="B2" t="str">
        <x:v>DRV-002</x:v>
      </x:c>
      <x:c r="C2" t="str">
        <x:v>Maria Lopez</x:v>
      </x:c>
      <x:c r="D2" t="str">
        <x:v>/drivers/DRV-002.jpg</x:v>
      </x:c>
      <x:c r="E2" t="str">
        <x:v>Medical Certification Verified</x:v>
      </x:c>
      <x:c r="F2" t="str">
        <x:v>INFO</x:v>
      </x:c>
      <x:c r="G2" t="str">
        <x:v>CLOSED</x:v>
      </x:c>
      <x:c r="H2" s="113" t="n">
        <x:v>46596</x:v>
      </x:c>
      <x:c r="I2" t="str">
        <x:v>Medical card expiration updated to 2027-07-28 from driver_templates_expanded2.</x:v>
      </x:c>
      <x:c r="J2" t="str">
        <x:v>READY</x:v>
      </x:c>
      <x:c r="K2" t="str">
        <x:v>/images/compliance/DRV-002_MEDICAL_CARD_EXPIRING.jpg</x:v>
      </x:c>
      <x:c r="L2"/>
      <x:c r="M2"/>
      <x:c r="N2"/>
      <x:c r="O2" s="55"/>
      <x:c r="P2" s="64"/>
      <x:c r="Q2" s="64"/>
      <x:c r="R2"/>
      <x:c r="S2"/>
      <x:c r="T2"/>
      <x:c r="U2"/>
      <x:c r="V2" t="str">
        <x:v>NO</x:v>
      </x:c>
      <x:c r="W2" t="str">
        <x:v>L-501</x:v>
      </x:c>
      <x:c r="X2" t="str">
        <x:v>CDL</x:v>
      </x:c>
      <x:c r="Y2" t="str">
        <x:v>NONE</x:v>
      </x:c>
      <x:c r="Z2" t="str">
        <x:v>NO</x:v>
      </x:c>
    </x:row>
    <x:row r="3">
      <x:c r="A3" t="str">
        <x:v>CMP-002</x:v>
      </x:c>
      <x:c r="B3" t="str">
        <x:v>DRV-009</x:v>
      </x:c>
      <x:c r="C3" t="str">
        <x:v>Emma Brown</x:v>
      </x:c>
      <x:c r="D3" t="str">
        <x:v>/drivers/DRV-009.jpg</x:v>
      </x:c>
      <x:c r="E3" t="str">
        <x:v>Medical Certification Verified</x:v>
      </x:c>
      <x:c r="F3" t="str">
        <x:v>INFO</x:v>
      </x:c>
      <x:c r="G3" t="str">
        <x:v>CLOSED</x:v>
      </x:c>
      <x:c r="H3" s="113" t="n">
        <x:v>46645</x:v>
      </x:c>
      <x:c r="I3" t="str">
        <x:v>Medical card expiration updated to 2027-09-15 from driver_templates_expanded2.</x:v>
      </x:c>
      <x:c r="J3" t="str">
        <x:v>READY</x:v>
      </x:c>
      <x:c r="K3" t="str">
        <x:v>/images/compliance/DRV-009_MEDICAL_CARD_EXPIRING.jpg</x:v>
      </x:c>
      <x:c r="L3" t="str">
        <x:v>CLM-002-3200</x:v>
      </x:c>
      <x:c r="M3" t="str">
        <x:v>UNDER_REVIEW</x:v>
      </x:c>
      <x:c r="N3" t="str">
        <x:v>Auto Liability</x:v>
      </x:c>
      <x:c r="O3" s="55" t="str">
        <x:v>OPEN</x:v>
      </x:c>
      <x:c r="P3" s="64" t="n">
        <x:v>16235.4</x:v>
      </x:c>
      <x:c r="Q3" s="64" t="n">
        <x:v>2500</x:v>
      </x:c>
      <x:c r="R3" t="str">
        <x:v>Renee Collins</x:v>
      </x:c>
      <x:c r="S3" t="str">
        <x:v>Travelers Inland Marine</x:v>
      </x:c>
      <x:c r="T3" t="str">
        <x:v>POL-385577</x:v>
      </x:c>
      <x:c r="U3" t="str">
        <x:v>Reviewing cargo shortage supporting docs</x:v>
      </x:c>
      <x:c r="V3" t="str">
        <x:v>NO</x:v>
      </x:c>
      <x:c r="W3" t="str">
        <x:v>L-502</x:v>
      </x:c>
      <x:c r="X3" t="str">
        <x:v>DQ File</x:v>
      </x:c>
      <x:c r="Y3" t="str">
        <x:v>HIGH</x:v>
      </x:c>
      <x:c r="Z3" t="str">
        <x:v>YES</x:v>
      </x:c>
    </x:row>
    <x:row r="4">
      <x:c r="A4" t="str">
        <x:v>CMP-003</x:v>
      </x:c>
      <x:c r="B4" t="str">
        <x:v>DRV-004</x:v>
      </x:c>
      <x:c r="C4" t="str">
        <x:v>Priya Patel</x:v>
      </x:c>
      <x:c r="D4" t="str">
        <x:v>/drivers/DRV-004.jpg</x:v>
      </x:c>
      <x:c r="E4" t="str">
        <x:v>MVR Review Required</x:v>
      </x:c>
      <x:c r="F4" t="str">
        <x:v>CRITICAL</x:v>
      </x:c>
      <x:c r="G4" t="str">
        <x:v>OPEN</x:v>
      </x:c>
      <x:c r="H4" s="113" t="n">
        <x:v>46105</x:v>
      </x:c>
      <x:c r="I4" t="str">
        <x:v>Recent event requires manager review</x:v>
      </x:c>
      <x:c r="J4" t="str">
        <x:v>READY</x:v>
      </x:c>
      <x:c r="K4" t="str">
        <x:v>/images/compliance/DRV-004_MVR_REVIEW_REQUIRED.jpg</x:v>
      </x:c>
      <x:c r="L4"/>
      <x:c r="M4"/>
      <x:c r="N4"/>
      <x:c r="O4" s="55"/>
      <x:c r="P4" s="64"/>
      <x:c r="Q4" s="64"/>
      <x:c r="R4"/>
      <x:c r="S4"/>
      <x:c r="T4"/>
      <x:c r="U4"/>
      <x:c r="V4" t="str">
        <x:v>YES</x:v>
      </x:c>
      <x:c r="W4" t="str">
        <x:v>L-503</x:v>
      </x:c>
      <x:c r="X4" t="str">
        <x:v>MCSA-5876</x:v>
      </x:c>
      <x:c r="Y4" t="str">
        <x:v>NONE</x:v>
      </x:c>
      <x:c r="Z4" t="str">
        <x:v>NO</x:v>
      </x:c>
    </x:row>
    <x:row r="5">
      <x:c r="A5" t="str">
        <x:v>CMP-004</x:v>
      </x:c>
      <x:c r="B5" t="str">
        <x:v>DRV-010</x:v>
      </x:c>
      <x:c r="C5" t="str">
        <x:v>Noah Wilson</x:v>
      </x:c>
      <x:c r="D5" t="str">
        <x:v>/drivers/DRV-010.jpg</x:v>
      </x:c>
      <x:c r="E5" t="str">
        <x:v>MVR Review Required</x:v>
      </x:c>
      <x:c r="F5" t="str">
        <x:v>CRITICAL</x:v>
      </x:c>
      <x:c r="G5" t="str">
        <x:v>OPEN</x:v>
      </x:c>
      <x:c r="H5" s="113" t="n">
        <x:v>46105</x:v>
      </x:c>
      <x:c r="I5" t="str">
        <x:v>Violation linked to safety event</x:v>
      </x:c>
      <x:c r="J5" t="str">
        <x:v>READY</x:v>
      </x:c>
      <x:c r="K5" t="str">
        <x:v>/images/compliance/DRV-010_MVR_REVIEW_REQUIRED.jpg</x:v>
      </x:c>
      <x:c r="L5"/>
      <x:c r="M5"/>
      <x:c r="N5"/>
      <x:c r="O5" s="55"/>
      <x:c r="P5" s="64"/>
      <x:c r="Q5" s="64"/>
      <x:c r="R5"/>
      <x:c r="S5"/>
      <x:c r="T5"/>
      <x:c r="U5"/>
      <x:c r="V5" t="str">
        <x:v>NO</x:v>
      </x:c>
      <x:c r="W5" t="str">
        <x:v>L-504</x:v>
      </x:c>
      <x:c r="X5" t="str">
        <x:v>MVR</x:v>
      </x:c>
      <x:c r="Y5" t="str">
        <x:v>NONE</x:v>
      </x:c>
      <x:c r="Z5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d1220dbdfd414053"/>
  </x:tableParts>
</x:worksheet>
</file>

<file path=xl/worksheets/sheet23.xml><?xml version="1.0" encoding="utf-8"?>
<x:worksheet xmlns:x="http://schemas.openxmlformats.org/spreadsheetml/2006/main">
  <x:sheetFormatPr baseColWidth="8" defaultRowHeight="15"/>
  <x:cols>
    <x:col min="1" max="1" width="24" style="24" customWidth="1"/>
    <x:col min="2" max="2" width="24" style="24" customWidth="1"/>
    <x:col min="3" max="3" width="24" style="24" customWidth="1"/>
    <x:col min="4" max="4" width="24" style="24" customWidth="1"/>
    <x:col min="5" max="5" width="24" style="24" customWidth="1"/>
    <x:col min="6" max="6" width="34" style="24" customWidth="1"/>
    <x:col min="7" max="7" width="20" style="24" customWidth="1"/>
    <x:col min="8" max="8" width="24" style="24" customWidth="1"/>
    <x:col min="9" max="9" width="21" style="24" customWidth="1"/>
  </x:cols>
  <x:sheetData>
    <x:row r="1">
      <x:c r="A1" s="66" t="str">
        <x:v>Driver ID</x:v>
      </x:c>
      <x:c r="B1" s="66" t="str">
        <x:v>Full Name</x:v>
      </x:c>
      <x:c r="C1" s="66" t="str">
        <x:v>Standard Doc Type</x:v>
      </x:c>
      <x:c r="D1" s="66" t="str">
        <x:v>Doc Status</x:v>
      </x:c>
      <x:c r="E1" s="66" t="str">
        <x:v>Expiration Date</x:v>
      </x:c>
      <x:c r="F1" s="66" t="str">
        <x:v>Document URL</x:v>
      </x:c>
      <x:c r="G1" s="66" t="str">
        <x:v>Driver Photo URL</x:v>
      </x:c>
      <x:c r="H1" s="66" t="str">
        <x:v>Export Key</x:v>
      </x:c>
      <x:c r="I1" s="66" t="str">
        <x:v>Preview Image URL</x:v>
      </x:c>
    </x:row>
    <x:row r="2">
      <x:c r="A2" t="str">
        <x:v>DRV-001</x:v>
      </x:c>
      <x:c r="B2" t="str">
        <x:v>John Carter</x:v>
      </x:c>
      <x:c r="C2" t="str">
        <x:v>CDL</x:v>
      </x:c>
      <x:c r="D2" t="str">
        <x:v>VALID</x:v>
      </x:c>
      <x:c r="E2" s="113" t="n">
        <x:v>46621</x:v>
      </x:c>
      <x:c r="F2" t="str">
        <x:v>/documents/drivers/DRV-001_CDL.pdf</x:v>
      </x:c>
      <x:c r="G2" t="str">
        <x:v>/drivers/DRV-001.jpg</x:v>
      </x:c>
      <x:c r="H2" t="str">
        <x:v>DRV-001|CDL</x:v>
      </x:c>
      <x:c r="I2" t="str">
        <x:v>/images/documents/DRV-001_CDL.jpg</x:v>
      </x:c>
    </x:row>
    <x:row r="3">
      <x:c r="A3" t="str">
        <x:v>DRV-001</x:v>
      </x:c>
      <x:c r="B3" t="str">
        <x:v>John Carter</x:v>
      </x:c>
      <x:c r="C3" t="str">
        <x:v>MEDICAL_CARD</x:v>
      </x:c>
      <x:c r="D3" t="str">
        <x:v>VALID</x:v>
      </x:c>
      <x:c r="E3" s="113" t="n">
        <x:v>46638</x:v>
      </x:c>
      <x:c r="F3" t="str">
        <x:v>/documents/drivers/DRV-001_MEDICAL.pdf</x:v>
      </x:c>
      <x:c r="G3" t="str">
        <x:v>/drivers/DRV-001.jpg</x:v>
      </x:c>
      <x:c r="H3" t="str">
        <x:v>DRV-001|MEDICAL_CARD</x:v>
      </x:c>
      <x:c r="I3" t="str">
        <x:v>/images/documents/DRV-001_MEDICAL_CARD.jpg</x:v>
      </x:c>
    </x:row>
    <x:row r="4">
      <x:c r="A4" t="str">
        <x:v>DRV-001</x:v>
      </x:c>
      <x:c r="B4" t="str">
        <x:v>John Carter</x:v>
      </x:c>
      <x:c r="C4" t="str">
        <x:v>MVR</x:v>
      </x:c>
      <x:c r="D4" t="str">
        <x:v>VALID</x:v>
      </x:c>
      <x:c r="E4" s="113" t="n">
        <x:v>46677</x:v>
      </x:c>
      <x:c r="F4" t="str">
        <x:v>/documents/drivers/DRV-001_MVR.pdf</x:v>
      </x:c>
      <x:c r="G4" t="str">
        <x:v>/drivers/DRV-001.jpg</x:v>
      </x:c>
      <x:c r="H4" t="str">
        <x:v>DRV-001|MVR</x:v>
      </x:c>
      <x:c r="I4" t="str">
        <x:v>/images/documents/DRV-001_MVR.jpg</x:v>
      </x:c>
    </x:row>
    <x:row r="5">
      <x:c r="A5" t="str">
        <x:v>DRV-001</x:v>
      </x:c>
      <x:c r="B5" t="str">
        <x:v>John Carter</x:v>
      </x:c>
      <x:c r="C5" t="str">
        <x:v>I9</x:v>
      </x:c>
      <x:c r="D5" t="str">
        <x:v>VALID</x:v>
      </x:c>
      <x:c r="E5" s="113" t="n">
        <x:v>46104</x:v>
      </x:c>
      <x:c r="F5" t="str">
        <x:v>/documents/drivers/DRV-001_I9.pdf</x:v>
      </x:c>
      <x:c r="G5" t="str">
        <x:v>/drivers/DRV-001.jpg</x:v>
      </x:c>
      <x:c r="H5" t="str">
        <x:v>DRV-001|I9</x:v>
      </x:c>
      <x:c r="I5" t="str">
        <x:v>/images/documents/DRV-001_I9.jpg</x:v>
      </x:c>
    </x:row>
    <x:row r="6">
      <x:c r="A6" t="str">
        <x:v>DRV-001</x:v>
      </x:c>
      <x:c r="B6" t="str">
        <x:v>John Carter</x:v>
      </x:c>
      <x:c r="C6" t="str">
        <x:v>FMCSA</x:v>
      </x:c>
      <x:c r="D6" t="str">
        <x:v>VALID</x:v>
      </x:c>
      <x:c r="E6" s="113" t="n">
        <x:v>45978</x:v>
      </x:c>
      <x:c r="F6" t="str">
        <x:v>/documents/drivers/DRV-001_FMCSA.pdf</x:v>
      </x:c>
      <x:c r="G6" t="str">
        <x:v>/drivers/DRV-001.jpg</x:v>
      </x:c>
      <x:c r="H6" t="str">
        <x:v>DRV-001|FMCSA</x:v>
      </x:c>
      <x:c r="I6" t="str">
        <x:v>/images/documents/DRV-001_FMCSA.jpg</x:v>
      </x:c>
    </x:row>
    <x:row r="7">
      <x:c r="A7" t="str">
        <x:v>DRV-001</x:v>
      </x:c>
      <x:c r="B7" t="str">
        <x:v>John Carter</x:v>
      </x:c>
      <x:c r="C7" t="str">
        <x:v>W9</x:v>
      </x:c>
      <x:c r="D7" t="str">
        <x:v>VALID</x:v>
      </x:c>
      <x:c r="E7" s="113" t="n">
        <x:v>46190</x:v>
      </x:c>
      <x:c r="F7" t="str">
        <x:v>/documents/drivers/DRV-001_W9.pdf</x:v>
      </x:c>
      <x:c r="G7" t="str">
        <x:v>/drivers/DRV-001.jpg</x:v>
      </x:c>
      <x:c r="H7" t="str">
        <x:v>DRV-001|W9</x:v>
      </x:c>
      <x:c r="I7" t="str">
        <x:v>/images/documents/DRV-001_W9.jpg</x:v>
      </x:c>
    </x:row>
    <x:row r="8">
      <x:c r="A8" t="str">
        <x:v>DRV-001</x:v>
      </x:c>
      <x:c r="B8" t="str">
        <x:v>John Carter</x:v>
      </x:c>
      <x:c r="C8" t="str">
        <x:v>BANK_INFO</x:v>
      </x:c>
      <x:c r="D8" t="str">
        <x:v>VALID</x:v>
      </x:c>
      <x:c r="E8" s="113" t="n">
        <x:v>46074</x:v>
      </x:c>
      <x:c r="F8" t="str">
        <x:v>/documents/drivers/DRV-001_BANK_INFO.pdf</x:v>
      </x:c>
      <x:c r="G8" t="str">
        <x:v>/drivers/DRV-001.jpg</x:v>
      </x:c>
      <x:c r="H8" t="str">
        <x:v>DRV-001|BANK_INFO</x:v>
      </x:c>
      <x:c r="I8" t="str">
        <x:v>/images/documents/DRV-001_BANK_INFO.jpg</x:v>
      </x:c>
    </x:row>
    <x:row r="9">
      <x:c r="A9" t="str">
        <x:v>DRV-002</x:v>
      </x:c>
      <x:c r="B9" t="str">
        <x:v>Maria Lopez</x:v>
      </x:c>
      <x:c r="C9" t="str">
        <x:v>MEDICAL_CARD</x:v>
      </x:c>
      <x:c r="D9" t="str">
        <x:v>VALID</x:v>
      </x:c>
      <x:c r="E9" s="113" t="n">
        <x:v>46596</x:v>
      </x:c>
      <x:c r="F9" t="str">
        <x:v>/documents/drivers/DRV-002_MEDICAL.pdf</x:v>
      </x:c>
      <x:c r="G9" t="str">
        <x:v>/drivers/DRV-002.jpg</x:v>
      </x:c>
      <x:c r="H9" t="str">
        <x:v>DRV-002|MEDICAL_CARD</x:v>
      </x:c>
      <x:c r="I9" t="str">
        <x:v>/images/documents/DRV-002_MEDICAL_CARD.jpg</x:v>
      </x:c>
    </x:row>
    <x:row r="10">
      <x:c r="A10" t="str">
        <x:v>DRV-002</x:v>
      </x:c>
      <x:c r="B10" t="str">
        <x:v>Maria Lopez</x:v>
      </x:c>
      <x:c r="C10" t="str">
        <x:v>MEDICAL_CARD</x:v>
      </x:c>
      <x:c r="D10" t="str">
        <x:v>VALID</x:v>
      </x:c>
      <x:c r="E10" s="113" t="n">
        <x:v>46596</x:v>
      </x:c>
      <x:c r="F10" t="str">
        <x:v>/documents/drivers/DRV-002_MEDICAL.pdf</x:v>
      </x:c>
      <x:c r="G10" t="str">
        <x:v>/drivers/DRV-002.jpg</x:v>
      </x:c>
      <x:c r="H10" t="str">
        <x:v>DRV-002|MEDICAL_CARD</x:v>
      </x:c>
      <x:c r="I10" t="str">
        <x:v>/images/documents/DRV-002_MEDICAL_CARD.jpg</x:v>
      </x:c>
    </x:row>
    <x:row r="11">
      <x:c r="A11" t="str">
        <x:v>DRV-002</x:v>
      </x:c>
      <x:c r="B11" t="str">
        <x:v>Maria Lopez</x:v>
      </x:c>
      <x:c r="C11" t="str">
        <x:v>MVR</x:v>
      </x:c>
      <x:c r="D11" t="str">
        <x:v>VALID</x:v>
      </x:c>
      <x:c r="E11" s="113" t="n">
        <x:v>46455</x:v>
      </x:c>
      <x:c r="F11" t="str">
        <x:v>/documents/drivers/DRV-002_MVR.pdf</x:v>
      </x:c>
      <x:c r="G11" t="str">
        <x:v>/drivers/DRV-002.jpg</x:v>
      </x:c>
      <x:c r="H11" t="str">
        <x:v>DRV-002|MVR</x:v>
      </x:c>
      <x:c r="I11" t="str">
        <x:v>/images/documents/DRV-002_MVR.jpg</x:v>
      </x:c>
    </x:row>
    <x:row r="12">
      <x:c r="A12" t="str">
        <x:v>DRV-002</x:v>
      </x:c>
      <x:c r="B12" t="str">
        <x:v>Maria Lopez</x:v>
      </x:c>
      <x:c r="C12" t="str">
        <x:v>I9</x:v>
      </x:c>
      <x:c r="D12" t="str">
        <x:v>VALID</x:v>
      </x:c>
      <x:c r="E12" s="113" t="n">
        <x:v>46049</x:v>
      </x:c>
      <x:c r="F12" t="str">
        <x:v>/documents/drivers/DRV-002_I9.pdf</x:v>
      </x:c>
      <x:c r="G12" t="str">
        <x:v>/drivers/DRV-002.jpg</x:v>
      </x:c>
      <x:c r="H12" t="str">
        <x:v>DRV-002|I9</x:v>
      </x:c>
      <x:c r="I12" t="str">
        <x:v>/images/documents/DRV-002_I9.jpg</x:v>
      </x:c>
    </x:row>
    <x:row r="13">
      <x:c r="A13" t="str">
        <x:v>DRV-002</x:v>
      </x:c>
      <x:c r="B13" t="str">
        <x:v>Maria Lopez</x:v>
      </x:c>
      <x:c r="C13" t="str">
        <x:v>FMCSA</x:v>
      </x:c>
      <x:c r="D13" t="str">
        <x:v>VALID</x:v>
      </x:c>
      <x:c r="E13" s="113" t="n">
        <x:v>46182</x:v>
      </x:c>
      <x:c r="F13" t="str">
        <x:v>/documents/drivers/DRV-002_FMCSA.pdf</x:v>
      </x:c>
      <x:c r="G13" t="str">
        <x:v>/drivers/DRV-002.jpg</x:v>
      </x:c>
      <x:c r="H13" t="str">
        <x:v>DRV-002|FMCSA</x:v>
      </x:c>
      <x:c r="I13" t="str">
        <x:v>/images/documents/DRV-002_FMCSA.jpg</x:v>
      </x:c>
    </x:row>
    <x:row r="14">
      <x:c r="A14" t="str">
        <x:v>DRV-002</x:v>
      </x:c>
      <x:c r="B14" t="str">
        <x:v>Maria Lopez</x:v>
      </x:c>
      <x:c r="C14" t="str">
        <x:v>W9</x:v>
      </x:c>
      <x:c r="D14" t="str">
        <x:v>VALID</x:v>
      </x:c>
      <x:c r="E14" s="113" t="n">
        <x:v>46043</x:v>
      </x:c>
      <x:c r="F14" t="str">
        <x:v>/documents/drivers/DRV-002_W9.pdf</x:v>
      </x:c>
      <x:c r="G14" t="str">
        <x:v>/drivers/DRV-002.jpg</x:v>
      </x:c>
      <x:c r="H14" t="str">
        <x:v>DRV-002|W9</x:v>
      </x:c>
      <x:c r="I14" t="str">
        <x:v>/images/documents/DRV-002_W9.jpg</x:v>
      </x:c>
    </x:row>
    <x:row r="15">
      <x:c r="A15" t="str">
        <x:v>DRV-002</x:v>
      </x:c>
      <x:c r="B15" t="str">
        <x:v>Maria Lopez</x:v>
      </x:c>
      <x:c r="C15" t="str">
        <x:v>BANK_INFO</x:v>
      </x:c>
      <x:c r="D15" t="str">
        <x:v>VALID</x:v>
      </x:c>
      <x:c r="E15" s="113" t="n">
        <x:v>45997</x:v>
      </x:c>
      <x:c r="F15" t="str">
        <x:v>/documents/drivers/DRV-002_BANK_INFO.pdf</x:v>
      </x:c>
      <x:c r="G15" t="str">
        <x:v>/drivers/DRV-002.jpg</x:v>
      </x:c>
      <x:c r="H15" t="str">
        <x:v>DRV-002|BANK_INFO</x:v>
      </x:c>
      <x:c r="I15" t="str">
        <x:v>/images/documents/DRV-002_BANK_INFO.jpg</x:v>
      </x:c>
    </x:row>
    <x:row r="16">
      <x:c r="A16" t="str">
        <x:v>DRV-003</x:v>
      </x:c>
      <x:c r="B16" t="str">
        <x:v>Alex Kim</x:v>
      </x:c>
      <x:c r="C16" t="str">
        <x:v>CDL</x:v>
      </x:c>
      <x:c r="D16" t="str">
        <x:v>VALID</x:v>
      </x:c>
      <x:c r="E16" s="113" t="n">
        <x:v>46420</x:v>
      </x:c>
      <x:c r="F16" t="str">
        <x:v>/documents/drivers/DRV-003_CDL.pdf</x:v>
      </x:c>
      <x:c r="G16" t="str">
        <x:v>/drivers/DRV-003.jpg</x:v>
      </x:c>
      <x:c r="H16" t="str">
        <x:v>DRV-003|CDL</x:v>
      </x:c>
      <x:c r="I16" t="str">
        <x:v>/images/documents/DRV-003_CDL.jpg</x:v>
      </x:c>
    </x:row>
    <x:row r="17">
      <x:c r="A17" t="str">
        <x:v>DRV-003</x:v>
      </x:c>
      <x:c r="B17" t="str">
        <x:v>Alex Kim</x:v>
      </x:c>
      <x:c r="C17" t="str">
        <x:v>MEDICAL_CARD</x:v>
      </x:c>
      <x:c r="D17" t="str">
        <x:v>VALID</x:v>
      </x:c>
      <x:c r="E17" s="113" t="n">
        <x:v>46659</x:v>
      </x:c>
      <x:c r="F17" t="str">
        <x:v>/documents/drivers/DRV-003_MEDICAL.pdf</x:v>
      </x:c>
      <x:c r="G17" t="str">
        <x:v>/drivers/DRV-003.jpg</x:v>
      </x:c>
      <x:c r="H17" t="str">
        <x:v>DRV-003|MEDICAL_CARD</x:v>
      </x:c>
      <x:c r="I17" t="str">
        <x:v>/images/documents/DRV-003_MEDICAL_CARD.jpg</x:v>
      </x:c>
    </x:row>
    <x:row r="18">
      <x:c r="A18" t="str">
        <x:v>DRV-003</x:v>
      </x:c>
      <x:c r="B18" t="str">
        <x:v>Alex Kim</x:v>
      </x:c>
      <x:c r="C18" t="str">
        <x:v>MVR</x:v>
      </x:c>
      <x:c r="D18" t="str">
        <x:v>VALID</x:v>
      </x:c>
      <x:c r="E18" s="113" t="n">
        <x:v>46449</x:v>
      </x:c>
      <x:c r="F18" t="str">
        <x:v>/documents/drivers/DRV-003_MVR.pdf</x:v>
      </x:c>
      <x:c r="G18" t="str">
        <x:v>/drivers/DRV-003.jpg</x:v>
      </x:c>
      <x:c r="H18" t="str">
        <x:v>DRV-003|MVR</x:v>
      </x:c>
      <x:c r="I18" t="str">
        <x:v>/images/documents/DRV-003_MVR.jpg</x:v>
      </x:c>
    </x:row>
    <x:row r="19">
      <x:c r="A19" t="str">
        <x:v>DRV-003</x:v>
      </x:c>
      <x:c r="B19" t="str">
        <x:v>Alex Kim</x:v>
      </x:c>
      <x:c r="C19" t="str">
        <x:v>I9</x:v>
      </x:c>
      <x:c r="D19" t="str">
        <x:v>VALID</x:v>
      </x:c>
      <x:c r="E19" s="113" t="n">
        <x:v>46038</x:v>
      </x:c>
      <x:c r="F19" t="str">
        <x:v>/documents/drivers/DRV-003_I9.pdf</x:v>
      </x:c>
      <x:c r="G19" t="str">
        <x:v>/drivers/DRV-003.jpg</x:v>
      </x:c>
      <x:c r="H19" t="str">
        <x:v>DRV-003|I9</x:v>
      </x:c>
      <x:c r="I19" t="str">
        <x:v>/images/documents/DRV-003_I9.jpg</x:v>
      </x:c>
    </x:row>
    <x:row r="20">
      <x:c r="A20" t="str">
        <x:v>DRV-003</x:v>
      </x:c>
      <x:c r="B20" t="str">
        <x:v>Alex Kim</x:v>
      </x:c>
      <x:c r="C20" t="str">
        <x:v>FMCSA</x:v>
      </x:c>
      <x:c r="D20" t="str">
        <x:v>VALID</x:v>
      </x:c>
      <x:c r="E20" s="113" t="n">
        <x:v>46031</x:v>
      </x:c>
      <x:c r="F20" t="str">
        <x:v>/documents/drivers/DRV-003_FMCSA.pdf</x:v>
      </x:c>
      <x:c r="G20" t="str">
        <x:v>/drivers/DRV-003.jpg</x:v>
      </x:c>
      <x:c r="H20" t="str">
        <x:v>DRV-003|FMCSA</x:v>
      </x:c>
      <x:c r="I20" t="str">
        <x:v>/images/documents/DRV-003_FMCSA.jpg</x:v>
      </x:c>
    </x:row>
    <x:row r="21">
      <x:c r="A21" t="str">
        <x:v>DRV-003</x:v>
      </x:c>
      <x:c r="B21" t="str">
        <x:v>Alex Kim</x:v>
      </x:c>
      <x:c r="C21" t="str">
        <x:v>W9</x:v>
      </x:c>
      <x:c r="D21" t="str">
        <x:v>VALID</x:v>
      </x:c>
      <x:c r="E21" s="113" t="n">
        <x:v>46203</x:v>
      </x:c>
      <x:c r="F21" t="str">
        <x:v>/documents/drivers/DRV-003_W9.pdf</x:v>
      </x:c>
      <x:c r="G21" t="str">
        <x:v>/drivers/DRV-003.jpg</x:v>
      </x:c>
      <x:c r="H21" t="str">
        <x:v>DRV-003|W9</x:v>
      </x:c>
      <x:c r="I21" t="str">
        <x:v>/images/documents/DRV-003_W9.jpg</x:v>
      </x:c>
    </x:row>
    <x:row r="22">
      <x:c r="A22" t="str">
        <x:v>DRV-003</x:v>
      </x:c>
      <x:c r="B22" t="str">
        <x:v>Alex Kim</x:v>
      </x:c>
      <x:c r="C22" t="str">
        <x:v>BANK_INFO</x:v>
      </x:c>
      <x:c r="D22" t="str">
        <x:v>VALID</x:v>
      </x:c>
      <x:c r="E22" s="113" t="n">
        <x:v>46015</x:v>
      </x:c>
      <x:c r="F22" t="str">
        <x:v>/documents/drivers/DRV-003_BANK_INFO.pdf</x:v>
      </x:c>
      <x:c r="G22" t="str">
        <x:v>/drivers/DRV-003.jpg</x:v>
      </x:c>
      <x:c r="H22" t="str">
        <x:v>DRV-003|BANK_INFO</x:v>
      </x:c>
      <x:c r="I22" t="str">
        <x:v>/images/documents/DRV-003_BANK_INFO.jpg</x:v>
      </x:c>
    </x:row>
    <x:row r="23">
      <x:c r="A23" t="str">
        <x:v>DRV-004</x:v>
      </x:c>
      <x:c r="B23" t="str">
        <x:v>Priya Patel</x:v>
      </x:c>
      <x:c r="C23" t="str">
        <x:v>CDL</x:v>
      </x:c>
      <x:c r="D23" t="str">
        <x:v>VALID</x:v>
      </x:c>
      <x:c r="E23" s="113" t="n">
        <x:v>46739</x:v>
      </x:c>
      <x:c r="F23" t="str">
        <x:v>/documents/drivers/DRV-004_CDL.pdf</x:v>
      </x:c>
      <x:c r="G23" t="str">
        <x:v>/drivers/DRV-004.jpg</x:v>
      </x:c>
      <x:c r="H23" t="str">
        <x:v>DRV-004|CDL</x:v>
      </x:c>
      <x:c r="I23" t="str">
        <x:v>/images/documents/DRV-004_CDL.jpg</x:v>
      </x:c>
    </x:row>
    <x:row r="24">
      <x:c r="A24" t="str">
        <x:v>DRV-004</x:v>
      </x:c>
      <x:c r="B24" t="str">
        <x:v>Priya Patel</x:v>
      </x:c>
      <x:c r="C24" t="str">
        <x:v>MEDICAL_CARD</x:v>
      </x:c>
      <x:c r="D24" t="str">
        <x:v>VALID</x:v>
      </x:c>
      <x:c r="E24" s="113" t="n">
        <x:v>46486</x:v>
      </x:c>
      <x:c r="F24" t="str">
        <x:v>/documents/drivers/DRV-004_MEDICAL.pdf</x:v>
      </x:c>
      <x:c r="G24" t="str">
        <x:v>/drivers/DRV-004.jpg</x:v>
      </x:c>
      <x:c r="H24" t="str">
        <x:v>DRV-004|MEDICAL_CARD</x:v>
      </x:c>
      <x:c r="I24" t="str">
        <x:v>/images/documents/DRV-004_MEDICAL_CARD.jpg</x:v>
      </x:c>
    </x:row>
    <x:row r="25">
      <x:c r="A25" t="str">
        <x:v>DRV-004</x:v>
      </x:c>
      <x:c r="B25" t="str">
        <x:v>Priya Patel</x:v>
      </x:c>
      <x:c r="C25" t="str">
        <x:v>MVR</x:v>
      </x:c>
      <x:c r="D25" t="str">
        <x:v>VALID</x:v>
      </x:c>
      <x:c r="E25" s="113" t="n">
        <x:v>46452</x:v>
      </x:c>
      <x:c r="F25" t="str">
        <x:v>/documents/drivers/DRV-004_MVR.pdf</x:v>
      </x:c>
      <x:c r="G25" t="str">
        <x:v>/drivers/DRV-004.jpg</x:v>
      </x:c>
      <x:c r="H25" t="str">
        <x:v>DRV-004|MVR</x:v>
      </x:c>
      <x:c r="I25" t="str">
        <x:v>/images/documents/DRV-004_MVR.jpg</x:v>
      </x:c>
    </x:row>
    <x:row r="26">
      <x:c r="A26" t="str">
        <x:v>DRV-004</x:v>
      </x:c>
      <x:c r="B26" t="str">
        <x:v>Priya Patel</x:v>
      </x:c>
      <x:c r="C26" t="str">
        <x:v>I9</x:v>
      </x:c>
      <x:c r="D26" t="str">
        <x:v>VALID</x:v>
      </x:c>
      <x:c r="E26" s="113" t="n">
        <x:v>45976</x:v>
      </x:c>
      <x:c r="F26" t="str">
        <x:v>/documents/drivers/DRV-004_I9.pdf</x:v>
      </x:c>
      <x:c r="G26" t="str">
        <x:v>/drivers/DRV-004.jpg</x:v>
      </x:c>
      <x:c r="H26" t="str">
        <x:v>DRV-004|I9</x:v>
      </x:c>
      <x:c r="I26" t="str">
        <x:v>/images/documents/DRV-004_I9.jpg</x:v>
      </x:c>
    </x:row>
    <x:row r="27">
      <x:c r="A27" t="str">
        <x:v>DRV-004</x:v>
      </x:c>
      <x:c r="B27" t="str">
        <x:v>Priya Patel</x:v>
      </x:c>
      <x:c r="C27" t="str">
        <x:v>FMCSA</x:v>
      </x:c>
      <x:c r="D27" t="str">
        <x:v>VALID</x:v>
      </x:c>
      <x:c r="E27" s="113" t="n">
        <x:v>46076</x:v>
      </x:c>
      <x:c r="F27" t="str">
        <x:v>/documents/drivers/DRV-004_FMCSA.pdf</x:v>
      </x:c>
      <x:c r="G27" t="str">
        <x:v>/drivers/DRV-004.jpg</x:v>
      </x:c>
      <x:c r="H27" t="str">
        <x:v>DRV-004|FMCSA</x:v>
      </x:c>
      <x:c r="I27" t="str">
        <x:v>/images/documents/DRV-004_FMCSA.jpg</x:v>
      </x:c>
    </x:row>
    <x:row r="28">
      <x:c r="A28" t="str">
        <x:v>DRV-004</x:v>
      </x:c>
      <x:c r="B28" t="str">
        <x:v>Priya Patel</x:v>
      </x:c>
      <x:c r="C28" t="str">
        <x:v>W9</x:v>
      </x:c>
      <x:c r="D28" t="str">
        <x:v>VALID</x:v>
      </x:c>
      <x:c r="E28" s="113" t="n">
        <x:v>46165</x:v>
      </x:c>
      <x:c r="F28" t="str">
        <x:v>/documents/drivers/DRV-004_W9.pdf</x:v>
      </x:c>
      <x:c r="G28" t="str">
        <x:v>/drivers/DRV-004.jpg</x:v>
      </x:c>
      <x:c r="H28" t="str">
        <x:v>DRV-004|W9</x:v>
      </x:c>
      <x:c r="I28" t="str">
        <x:v>/images/documents/DRV-004_W9.jpg</x:v>
      </x:c>
    </x:row>
    <x:row r="29">
      <x:c r="A29" t="str">
        <x:v>DRV-004</x:v>
      </x:c>
      <x:c r="B29" t="str">
        <x:v>Priya Patel</x:v>
      </x:c>
      <x:c r="C29" t="str">
        <x:v>BANK_INFO</x:v>
      </x:c>
      <x:c r="D29" t="str">
        <x:v>VALID</x:v>
      </x:c>
      <x:c r="E29" s="113" t="n">
        <x:v>46021</x:v>
      </x:c>
      <x:c r="F29" t="str">
        <x:v>/documents/drivers/DRV-004_BANK_INFO.pdf</x:v>
      </x:c>
      <x:c r="G29" t="str">
        <x:v>/drivers/DRV-004.jpg</x:v>
      </x:c>
      <x:c r="H29" t="str">
        <x:v>DRV-004|BANK_INFO</x:v>
      </x:c>
      <x:c r="I29" t="str">
        <x:v>/images/documents/DRV-004_BANK_INFO.jpg</x:v>
      </x:c>
    </x:row>
    <x:row r="30">
      <x:c r="A30" t="str">
        <x:v>DRV-005</x:v>
      </x:c>
      <x:c r="B30" t="str">
        <x:v>Kenji Tanaka</x:v>
      </x:c>
      <x:c r="C30" t="str">
        <x:v>CDL</x:v>
      </x:c>
      <x:c r="D30" t="str">
        <x:v>VALID</x:v>
      </x:c>
      <x:c r="E30" s="113" t="n">
        <x:v>46577</x:v>
      </x:c>
      <x:c r="F30" t="str">
        <x:v>/documents/drivers/DRV-005_CDL.pdf</x:v>
      </x:c>
      <x:c r="G30" t="str">
        <x:v>/drivers/DRV-005.jpg</x:v>
      </x:c>
      <x:c r="H30" t="str">
        <x:v>DRV-005|CDL</x:v>
      </x:c>
      <x:c r="I30" t="str">
        <x:v>/images/documents/DRV-005_CDL.jpg</x:v>
      </x:c>
    </x:row>
    <x:row r="31">
      <x:c r="A31" t="str">
        <x:v>DRV-005</x:v>
      </x:c>
      <x:c r="B31" t="str">
        <x:v>Kenji Tanaka</x:v>
      </x:c>
      <x:c r="C31" t="str">
        <x:v>MEDICAL_CARD</x:v>
      </x:c>
      <x:c r="D31" t="str">
        <x:v>VALID</x:v>
      </x:c>
      <x:c r="E31" s="113" t="n">
        <x:v>46496</x:v>
      </x:c>
      <x:c r="F31" t="str">
        <x:v>/documents/drivers/DRV-005_MEDICAL.pdf</x:v>
      </x:c>
      <x:c r="G31" t="str">
        <x:v>/drivers/DRV-005.jpg</x:v>
      </x:c>
      <x:c r="H31" t="str">
        <x:v>DRV-005|MEDICAL_CARD</x:v>
      </x:c>
      <x:c r="I31" t="str">
        <x:v>/images/documents/DRV-005_MEDICAL_CARD.jpg</x:v>
      </x:c>
    </x:row>
    <x:row r="32">
      <x:c r="A32" t="str">
        <x:v>DRV-005</x:v>
      </x:c>
      <x:c r="B32" t="str">
        <x:v>Kenji Tanaka</x:v>
      </x:c>
      <x:c r="C32" t="str">
        <x:v>MVR</x:v>
      </x:c>
      <x:c r="D32" t="str">
        <x:v>VALID</x:v>
      </x:c>
      <x:c r="E32" s="113" t="n">
        <x:v>46478</x:v>
      </x:c>
      <x:c r="F32" t="str">
        <x:v>/documents/drivers/DRV-005_MVR.pdf</x:v>
      </x:c>
      <x:c r="G32" t="str">
        <x:v>/drivers/DRV-005.jpg</x:v>
      </x:c>
      <x:c r="H32" t="str">
        <x:v>DRV-005|MVR</x:v>
      </x:c>
      <x:c r="I32" t="str">
        <x:v>/images/documents/DRV-005_MVR.jpg</x:v>
      </x:c>
    </x:row>
    <x:row r="33">
      <x:c r="A33" t="str">
        <x:v>DRV-005</x:v>
      </x:c>
      <x:c r="B33" t="str">
        <x:v>Kenji Tanaka</x:v>
      </x:c>
      <x:c r="C33" t="str">
        <x:v>I9</x:v>
      </x:c>
      <x:c r="D33" t="str">
        <x:v>VALID</x:v>
      </x:c>
      <x:c r="E33" s="113" t="n">
        <x:v>46246</x:v>
      </x:c>
      <x:c r="F33" t="str">
        <x:v>/documents/drivers/DRV-005_I9.pdf</x:v>
      </x:c>
      <x:c r="G33" t="str">
        <x:v>/drivers/DRV-005.jpg</x:v>
      </x:c>
      <x:c r="H33" t="str">
        <x:v>DRV-005|I9</x:v>
      </x:c>
      <x:c r="I33" t="str">
        <x:v>/images/documents/DRV-005_I9.jpg</x:v>
      </x:c>
    </x:row>
    <x:row r="34">
      <x:c r="A34" t="str">
        <x:v>DRV-005</x:v>
      </x:c>
      <x:c r="B34" t="str">
        <x:v>Kenji Tanaka</x:v>
      </x:c>
      <x:c r="C34" t="str">
        <x:v>FMCSA</x:v>
      </x:c>
      <x:c r="D34" t="str">
        <x:v>VALID</x:v>
      </x:c>
      <x:c r="E34" s="113" t="n">
        <x:v>46193</x:v>
      </x:c>
      <x:c r="F34" t="str">
        <x:v>/documents/drivers/DRV-005_FMCSA.pdf</x:v>
      </x:c>
      <x:c r="G34" t="str">
        <x:v>/drivers/DRV-005.jpg</x:v>
      </x:c>
      <x:c r="H34" t="str">
        <x:v>DRV-005|FMCSA</x:v>
      </x:c>
      <x:c r="I34" t="str">
        <x:v>/images/documents/DRV-005_FMCSA.jpg</x:v>
      </x:c>
    </x:row>
    <x:row r="35">
      <x:c r="A35" t="str">
        <x:v>DRV-005</x:v>
      </x:c>
      <x:c r="B35" t="str">
        <x:v>Kenji Tanaka</x:v>
      </x:c>
      <x:c r="C35" t="str">
        <x:v>W9</x:v>
      </x:c>
      <x:c r="D35" t="str">
        <x:v>VALID</x:v>
      </x:c>
      <x:c r="E35" s="113" t="n">
        <x:v>46091</x:v>
      </x:c>
      <x:c r="F35" t="str">
        <x:v>/documents/drivers/DRV-005_W9.pdf</x:v>
      </x:c>
      <x:c r="G35" t="str">
        <x:v>/drivers/DRV-005.jpg</x:v>
      </x:c>
      <x:c r="H35" t="str">
        <x:v>DRV-005|W9</x:v>
      </x:c>
      <x:c r="I35" t="str">
        <x:v>/images/documents/DRV-005_W9.jpg</x:v>
      </x:c>
    </x:row>
    <x:row r="36">
      <x:c r="A36" t="str">
        <x:v>DRV-005</x:v>
      </x:c>
      <x:c r="B36" t="str">
        <x:v>Kenji Tanaka</x:v>
      </x:c>
      <x:c r="C36" t="str">
        <x:v>BANK_INFO</x:v>
      </x:c>
      <x:c r="D36" t="str">
        <x:v>VALID</x:v>
      </x:c>
      <x:c r="E36" s="113" t="n">
        <x:v>46227</x:v>
      </x:c>
      <x:c r="F36" t="str">
        <x:v>/documents/drivers/DRV-005_BANK_INFO.pdf</x:v>
      </x:c>
      <x:c r="G36" t="str">
        <x:v>/drivers/DRV-005.jpg</x:v>
      </x:c>
      <x:c r="H36" t="str">
        <x:v>DRV-005|BANK_INFO</x:v>
      </x:c>
      <x:c r="I36" t="str">
        <x:v>/images/documents/DRV-005_BANK_INFO.jpg</x:v>
      </x:c>
    </x:row>
    <x:row r="37">
      <x:c r="A37" t="str">
        <x:v>DRV-006</x:v>
      </x:c>
      <x:c r="B37" t="str">
        <x:v>Marcus Chen</x:v>
      </x:c>
      <x:c r="C37" t="str">
        <x:v>CDL</x:v>
      </x:c>
      <x:c r="D37" t="str">
        <x:v>VALID</x:v>
      </x:c>
      <x:c r="E37" s="113" t="n">
        <x:v>46556</x:v>
      </x:c>
      <x:c r="F37" t="str">
        <x:v>/documents/drivers/DRV-006_CDL.pdf</x:v>
      </x:c>
      <x:c r="G37" t="str">
        <x:v>/drivers/DRV-006.jpg</x:v>
      </x:c>
      <x:c r="H37" t="str">
        <x:v>DRV-006|CDL</x:v>
      </x:c>
      <x:c r="I37" t="str">
        <x:v>/images/documents/DRV-006_CDL.jpg</x:v>
      </x:c>
    </x:row>
    <x:row r="38">
      <x:c r="A38" t="str">
        <x:v>DRV-006</x:v>
      </x:c>
      <x:c r="B38" t="str">
        <x:v>Marcus Chen</x:v>
      </x:c>
      <x:c r="C38" t="str">
        <x:v>MEDICAL_CARD</x:v>
      </x:c>
      <x:c r="D38" t="str">
        <x:v>VALID</x:v>
      </x:c>
      <x:c r="E38" s="113" t="n">
        <x:v>46394</x:v>
      </x:c>
      <x:c r="F38" t="str">
        <x:v>/documents/drivers/DRV-006_MEDICAL.pdf</x:v>
      </x:c>
      <x:c r="G38" t="str">
        <x:v>/drivers/DRV-006.jpg</x:v>
      </x:c>
      <x:c r="H38" t="str">
        <x:v>DRV-006|MEDICAL_CARD</x:v>
      </x:c>
      <x:c r="I38" t="str">
        <x:v>/images/documents/DRV-006_MEDICAL_CARD.jpg</x:v>
      </x:c>
    </x:row>
    <x:row r="39">
      <x:c r="A39" t="str">
        <x:v>DRV-006</x:v>
      </x:c>
      <x:c r="B39" t="str">
        <x:v>Marcus Chen</x:v>
      </x:c>
      <x:c r="C39" t="str">
        <x:v>MVR</x:v>
      </x:c>
      <x:c r="D39" t="str">
        <x:v>VALID</x:v>
      </x:c>
      <x:c r="E39" s="113" t="n">
        <x:v>46455</x:v>
      </x:c>
      <x:c r="F39" t="str">
        <x:v>/documents/drivers/DRV-006_MVR.pdf</x:v>
      </x:c>
      <x:c r="G39" t="str">
        <x:v>/drivers/DRV-006.jpg</x:v>
      </x:c>
      <x:c r="H39" t="str">
        <x:v>DRV-006|MVR</x:v>
      </x:c>
      <x:c r="I39" t="str">
        <x:v>/images/documents/DRV-006_MVR.jpg</x:v>
      </x:c>
    </x:row>
    <x:row r="40">
      <x:c r="A40" t="str">
        <x:v>DRV-006</x:v>
      </x:c>
      <x:c r="B40" t="str">
        <x:v>Marcus Chen</x:v>
      </x:c>
      <x:c r="C40" t="str">
        <x:v>I9</x:v>
      </x:c>
      <x:c r="D40" t="str">
        <x:v>VALID</x:v>
      </x:c>
      <x:c r="E40" s="113" t="n">
        <x:v>46011</x:v>
      </x:c>
      <x:c r="F40" t="str">
        <x:v>/documents/drivers/DRV-006_I9.pdf</x:v>
      </x:c>
      <x:c r="G40" t="str">
        <x:v>/drivers/DRV-006.jpg</x:v>
      </x:c>
      <x:c r="H40" t="str">
        <x:v>DRV-006|I9</x:v>
      </x:c>
      <x:c r="I40" t="str">
        <x:v>/images/documents/DRV-006_I9.jpg</x:v>
      </x:c>
    </x:row>
    <x:row r="41">
      <x:c r="A41" t="str">
        <x:v>DRV-006</x:v>
      </x:c>
      <x:c r="B41" t="str">
        <x:v>Marcus Chen</x:v>
      </x:c>
      <x:c r="C41" t="str">
        <x:v>FMCSA</x:v>
      </x:c>
      <x:c r="D41" t="str">
        <x:v>VALID</x:v>
      </x:c>
      <x:c r="E41" s="113" t="n">
        <x:v>46027</x:v>
      </x:c>
      <x:c r="F41" t="str">
        <x:v>/documents/drivers/DRV-006_FMCSA.pdf</x:v>
      </x:c>
      <x:c r="G41" t="str">
        <x:v>/drivers/DRV-006.jpg</x:v>
      </x:c>
      <x:c r="H41" t="str">
        <x:v>DRV-006|FMCSA</x:v>
      </x:c>
      <x:c r="I41" t="str">
        <x:v>/images/documents/DRV-006_FMCSA.jpg</x:v>
      </x:c>
    </x:row>
    <x:row r="42">
      <x:c r="A42" t="str">
        <x:v>DRV-006</x:v>
      </x:c>
      <x:c r="B42" t="str">
        <x:v>Marcus Chen</x:v>
      </x:c>
      <x:c r="C42" t="str">
        <x:v>W9</x:v>
      </x:c>
      <x:c r="D42" t="str">
        <x:v>VALID</x:v>
      </x:c>
      <x:c r="E42" s="113" t="n">
        <x:v>46092</x:v>
      </x:c>
      <x:c r="F42" t="str">
        <x:v>/documents/drivers/DRV-006_W9.pdf</x:v>
      </x:c>
      <x:c r="G42" t="str">
        <x:v>/drivers/DRV-006.jpg</x:v>
      </x:c>
      <x:c r="H42" t="str">
        <x:v>DRV-006|W9</x:v>
      </x:c>
      <x:c r="I42" t="str">
        <x:v>/images/documents/DRV-006_W9.jpg</x:v>
      </x:c>
    </x:row>
    <x:row r="43">
      <x:c r="A43" t="str">
        <x:v>DRV-006</x:v>
      </x:c>
      <x:c r="B43" t="str">
        <x:v>Marcus Chen</x:v>
      </x:c>
      <x:c r="C43" t="str">
        <x:v>BANK_INFO</x:v>
      </x:c>
      <x:c r="D43" t="str">
        <x:v>VALID</x:v>
      </x:c>
      <x:c r="E43" s="113" t="n">
        <x:v>46073</x:v>
      </x:c>
      <x:c r="F43" t="str">
        <x:v>/documents/drivers/DRV-006_BANK_INFO.pdf</x:v>
      </x:c>
      <x:c r="G43" t="str">
        <x:v>/drivers/DRV-006.jpg</x:v>
      </x:c>
      <x:c r="H43" t="str">
        <x:v>DRV-006|BANK_INFO</x:v>
      </x:c>
      <x:c r="I43" t="str">
        <x:v>/images/documents/DRV-006_BANK_INFO.jpg</x:v>
      </x:c>
    </x:row>
    <x:row r="44">
      <x:c r="A44" t="str">
        <x:v>DRV-007</x:v>
      </x:c>
      <x:c r="B44" t="str">
        <x:v>Sofia Gomez</x:v>
      </x:c>
      <x:c r="C44" t="str">
        <x:v>CDL</x:v>
      </x:c>
      <x:c r="D44" t="str">
        <x:v>VALID</x:v>
      </x:c>
      <x:c r="E44" s="113" t="n">
        <x:v>46530</x:v>
      </x:c>
      <x:c r="F44" t="str">
        <x:v>/documents/drivers/DRV-007_CDL.pdf</x:v>
      </x:c>
      <x:c r="G44" t="str">
        <x:v>/drivers/DRV-007.jpg</x:v>
      </x:c>
      <x:c r="H44" t="str">
        <x:v>DRV-007|CDL</x:v>
      </x:c>
      <x:c r="I44" t="str">
        <x:v>/images/documents/DRV-007_CDL.jpg</x:v>
      </x:c>
    </x:row>
    <x:row r="45">
      <x:c r="A45" t="str">
        <x:v>DRV-007</x:v>
      </x:c>
      <x:c r="B45" t="str">
        <x:v>Sofia Gomez</x:v>
      </x:c>
      <x:c r="C45" t="str">
        <x:v>MEDICAL_CARD</x:v>
      </x:c>
      <x:c r="D45" t="str">
        <x:v>VALID</x:v>
      </x:c>
      <x:c r="E45" s="113" t="n">
        <x:v>46469</x:v>
      </x:c>
      <x:c r="F45" t="str">
        <x:v>/documents/drivers/DRV-007_MEDICAL.pdf</x:v>
      </x:c>
      <x:c r="G45" t="str">
        <x:v>/drivers/DRV-007.jpg</x:v>
      </x:c>
      <x:c r="H45" t="str">
        <x:v>DRV-007|MEDICAL_CARD</x:v>
      </x:c>
      <x:c r="I45" t="str">
        <x:v>/images/documents/DRV-007_MEDICAL_CARD.jpg</x:v>
      </x:c>
    </x:row>
    <x:row r="46">
      <x:c r="A46" t="str">
        <x:v>DRV-007</x:v>
      </x:c>
      <x:c r="B46" t="str">
        <x:v>Sofia Gomez</x:v>
      </x:c>
      <x:c r="C46" t="str">
        <x:v>MVR</x:v>
      </x:c>
      <x:c r="D46" t="str">
        <x:v>VALID</x:v>
      </x:c>
      <x:c r="E46" s="113" t="n">
        <x:v>46456</x:v>
      </x:c>
      <x:c r="F46" t="str">
        <x:v>/documents/drivers/DRV-007_MVR.pdf</x:v>
      </x:c>
      <x:c r="G46" t="str">
        <x:v>/drivers/DRV-007.jpg</x:v>
      </x:c>
      <x:c r="H46" t="str">
        <x:v>DRV-007|MVR</x:v>
      </x:c>
      <x:c r="I46" t="str">
        <x:v>/images/documents/DRV-007_MVR.jpg</x:v>
      </x:c>
    </x:row>
    <x:row r="47">
      <x:c r="A47" t="str">
        <x:v>DRV-007</x:v>
      </x:c>
      <x:c r="B47" t="str">
        <x:v>Sofia Gomez</x:v>
      </x:c>
      <x:c r="C47" t="str">
        <x:v>I9</x:v>
      </x:c>
      <x:c r="D47" t="str">
        <x:v>VALID</x:v>
      </x:c>
      <x:c r="E47" s="113" t="n">
        <x:v>46204</x:v>
      </x:c>
      <x:c r="F47" t="str">
        <x:v>/documents/drivers/DRV-007_I9.pdf</x:v>
      </x:c>
      <x:c r="G47" t="str">
        <x:v>/drivers/DRV-007.jpg</x:v>
      </x:c>
      <x:c r="H47" t="str">
        <x:v>DRV-007|I9</x:v>
      </x:c>
      <x:c r="I47" t="str">
        <x:v>/images/documents/DRV-007_I9.jpg</x:v>
      </x:c>
    </x:row>
    <x:row r="48">
      <x:c r="A48" t="str">
        <x:v>DRV-007</x:v>
      </x:c>
      <x:c r="B48" t="str">
        <x:v>Sofia Gomez</x:v>
      </x:c>
      <x:c r="C48" t="str">
        <x:v>FMCSA</x:v>
      </x:c>
      <x:c r="D48" t="str">
        <x:v>VALID</x:v>
      </x:c>
      <x:c r="E48" s="113" t="n">
        <x:v>46036</x:v>
      </x:c>
      <x:c r="F48" t="str">
        <x:v>/documents/drivers/DRV-007_FMCSA.pdf</x:v>
      </x:c>
      <x:c r="G48" t="str">
        <x:v>/drivers/DRV-007.jpg</x:v>
      </x:c>
      <x:c r="H48" t="str">
        <x:v>DRV-007|FMCSA</x:v>
      </x:c>
      <x:c r="I48" t="str">
        <x:v>/images/documents/DRV-007_FMCSA.jpg</x:v>
      </x:c>
    </x:row>
    <x:row r="49">
      <x:c r="A49" t="str">
        <x:v>DRV-007</x:v>
      </x:c>
      <x:c r="B49" t="str">
        <x:v>Sofia Gomez</x:v>
      </x:c>
      <x:c r="C49" t="str">
        <x:v>W9</x:v>
      </x:c>
      <x:c r="D49" t="str">
        <x:v>VALID</x:v>
      </x:c>
      <x:c r="E49" s="113" t="n">
        <x:v>46021</x:v>
      </x:c>
      <x:c r="F49" t="str">
        <x:v>/documents/drivers/DRV-007_W9.pdf</x:v>
      </x:c>
      <x:c r="G49" t="str">
        <x:v>/drivers/DRV-007.jpg</x:v>
      </x:c>
      <x:c r="H49" t="str">
        <x:v>DRV-007|W9</x:v>
      </x:c>
      <x:c r="I49" t="str">
        <x:v>/images/documents/DRV-007_W9.jpg</x:v>
      </x:c>
    </x:row>
    <x:row r="50">
      <x:c r="A50" t="str">
        <x:v>DRV-007</x:v>
      </x:c>
      <x:c r="B50" t="str">
        <x:v>Sofia Gomez</x:v>
      </x:c>
      <x:c r="C50" t="str">
        <x:v>BANK_INFO</x:v>
      </x:c>
      <x:c r="D50" t="str">
        <x:v>VALID</x:v>
      </x:c>
      <x:c r="E50" s="113" t="n">
        <x:v>46210</x:v>
      </x:c>
      <x:c r="F50" t="str">
        <x:v>/documents/drivers/DRV-007_BANK_INFO.pdf</x:v>
      </x:c>
      <x:c r="G50" t="str">
        <x:v>/drivers/DRV-007.jpg</x:v>
      </x:c>
      <x:c r="H50" t="str">
        <x:v>DRV-007|BANK_INFO</x:v>
      </x:c>
      <x:c r="I50" t="str">
        <x:v>/images/documents/DRV-007_BANK_INFO.jpg</x:v>
      </x:c>
    </x:row>
    <x:row r="51">
      <x:c r="A51" t="str">
        <x:v>DRV-008</x:v>
      </x:c>
      <x:c r="B51" t="str">
        <x:v>Liam Smith</x:v>
      </x:c>
      <x:c r="C51" t="str">
        <x:v>CDL</x:v>
      </x:c>
      <x:c r="D51" t="str">
        <x:v>VALID</x:v>
      </x:c>
      <x:c r="E51" s="113" t="n">
        <x:v>46620</x:v>
      </x:c>
      <x:c r="F51" t="str">
        <x:v>/documents/drivers/DRV-008_CDL.pdf</x:v>
      </x:c>
      <x:c r="G51" t="str">
        <x:v>/drivers/DRV-008.jpg</x:v>
      </x:c>
      <x:c r="H51" t="str">
        <x:v>DRV-008|CDL</x:v>
      </x:c>
      <x:c r="I51" t="str">
        <x:v>/images/documents/DRV-008_CDL.jpg</x:v>
      </x:c>
    </x:row>
    <x:row r="52">
      <x:c r="A52" t="str">
        <x:v>DRV-008</x:v>
      </x:c>
      <x:c r="B52" t="str">
        <x:v>Liam Smith</x:v>
      </x:c>
      <x:c r="C52" t="str">
        <x:v>MEDICAL_CARD</x:v>
      </x:c>
      <x:c r="D52" t="str">
        <x:v>VALID</x:v>
      </x:c>
      <x:c r="E52" s="113" t="n">
        <x:v>46670</x:v>
      </x:c>
      <x:c r="F52" t="str">
        <x:v>/documents/drivers/DRV-008_MEDICAL.pdf</x:v>
      </x:c>
      <x:c r="G52" t="str">
        <x:v>/drivers/DRV-008.jpg</x:v>
      </x:c>
      <x:c r="H52" t="str">
        <x:v>DRV-008|MEDICAL_CARD</x:v>
      </x:c>
      <x:c r="I52" t="str">
        <x:v>/images/documents/DRV-008_MEDICAL_CARD.jpg</x:v>
      </x:c>
    </x:row>
    <x:row r="53">
      <x:c r="A53" t="str">
        <x:v>DRV-008</x:v>
      </x:c>
      <x:c r="B53" t="str">
        <x:v>Liam Smith</x:v>
      </x:c>
      <x:c r="C53" t="str">
        <x:v>MVR</x:v>
      </x:c>
      <x:c r="D53" t="str">
        <x:v>VALID</x:v>
      </x:c>
      <x:c r="E53" s="113" t="n">
        <x:v>46452</x:v>
      </x:c>
      <x:c r="F53" t="str">
        <x:v>/documents/drivers/DRV-008_MVR.pdf</x:v>
      </x:c>
      <x:c r="G53" t="str">
        <x:v>/drivers/DRV-008.jpg</x:v>
      </x:c>
      <x:c r="H53" t="str">
        <x:v>DRV-008|MVR</x:v>
      </x:c>
      <x:c r="I53" t="str">
        <x:v>/images/documents/DRV-008_MVR.jpg</x:v>
      </x:c>
    </x:row>
    <x:row r="54">
      <x:c r="A54" t="str">
        <x:v>DRV-008</x:v>
      </x:c>
      <x:c r="B54" t="str">
        <x:v>Liam Smith</x:v>
      </x:c>
      <x:c r="C54" t="str">
        <x:v>I9</x:v>
      </x:c>
      <x:c r="D54" t="str">
        <x:v>VALID</x:v>
      </x:c>
      <x:c r="E54" s="113" t="n">
        <x:v>46033</x:v>
      </x:c>
      <x:c r="F54" t="str">
        <x:v>/documents/drivers/DRV-008_I9.pdf</x:v>
      </x:c>
      <x:c r="G54" t="str">
        <x:v>/drivers/DRV-008.jpg</x:v>
      </x:c>
      <x:c r="H54" t="str">
        <x:v>DRV-008|I9</x:v>
      </x:c>
      <x:c r="I54" t="str">
        <x:v>/images/documents/DRV-008_I9.jpg</x:v>
      </x:c>
    </x:row>
    <x:row r="55">
      <x:c r="A55" t="str">
        <x:v>DRV-008</x:v>
      </x:c>
      <x:c r="B55" t="str">
        <x:v>Liam Smith</x:v>
      </x:c>
      <x:c r="C55" t="str">
        <x:v>FMCSA</x:v>
      </x:c>
      <x:c r="D55" t="str">
        <x:v>VALID</x:v>
      </x:c>
      <x:c r="E55" s="113" t="n">
        <x:v>46065</x:v>
      </x:c>
      <x:c r="F55" t="str">
        <x:v>/documents/drivers/DRV-008_FMCSA.pdf</x:v>
      </x:c>
      <x:c r="G55" t="str">
        <x:v>/drivers/DRV-008.jpg</x:v>
      </x:c>
      <x:c r="H55" t="str">
        <x:v>DRV-008|FMCSA</x:v>
      </x:c>
      <x:c r="I55" t="str">
        <x:v>/images/documents/DRV-008_FMCSA.jpg</x:v>
      </x:c>
    </x:row>
    <x:row r="56">
      <x:c r="A56" t="str">
        <x:v>DRV-008</x:v>
      </x:c>
      <x:c r="B56" t="str">
        <x:v>Liam Smith</x:v>
      </x:c>
      <x:c r="C56" t="str">
        <x:v>W9</x:v>
      </x:c>
      <x:c r="D56" t="str">
        <x:v>VALID</x:v>
      </x:c>
      <x:c r="E56" s="113" t="n">
        <x:v>46072</x:v>
      </x:c>
      <x:c r="F56" t="str">
        <x:v>/documents/drivers/DRV-008_W9.pdf</x:v>
      </x:c>
      <x:c r="G56" t="str">
        <x:v>/drivers/DRV-008.jpg</x:v>
      </x:c>
      <x:c r="H56" t="str">
        <x:v>DRV-008|W9</x:v>
      </x:c>
      <x:c r="I56" t="str">
        <x:v>/images/documents/DRV-008_W9.jpg</x:v>
      </x:c>
    </x:row>
    <x:row r="57">
      <x:c r="A57" t="str">
        <x:v>DRV-008</x:v>
      </x:c>
      <x:c r="B57" t="str">
        <x:v>Liam Smith</x:v>
      </x:c>
      <x:c r="C57" t="str">
        <x:v>BANK_INFO</x:v>
      </x:c>
      <x:c r="D57" t="str">
        <x:v>VALID</x:v>
      </x:c>
      <x:c r="E57" s="113" t="n">
        <x:v>46169</x:v>
      </x:c>
      <x:c r="F57" t="str">
        <x:v>/documents/drivers/DRV-008_BANK_INFO.pdf</x:v>
      </x:c>
      <x:c r="G57" t="str">
        <x:v>/drivers/DRV-008.jpg</x:v>
      </x:c>
      <x:c r="H57" t="str">
        <x:v>DRV-008|BANK_INFO</x:v>
      </x:c>
      <x:c r="I57" t="str">
        <x:v>/images/documents/DRV-008_BANK_INFO.jpg</x:v>
      </x:c>
    </x:row>
    <x:row r="58">
      <x:c r="A58" t="str">
        <x:v>DRV-009</x:v>
      </x:c>
      <x:c r="B58" t="str">
        <x:v>Emma Brown</x:v>
      </x:c>
      <x:c r="C58" t="str">
        <x:v>CDL</x:v>
      </x:c>
      <x:c r="D58" t="str">
        <x:v>VALID</x:v>
      </x:c>
      <x:c r="E58" s="113" t="n">
        <x:v>46424</x:v>
      </x:c>
      <x:c r="F58" t="str">
        <x:v>/documents/drivers/DRV-009_CDL.pdf</x:v>
      </x:c>
      <x:c r="G58" t="str">
        <x:v>/drivers/DRV-009.jpg</x:v>
      </x:c>
      <x:c r="H58" t="str">
        <x:v>DRV-009|CDL</x:v>
      </x:c>
      <x:c r="I58" t="str">
        <x:v>/images/documents/DRV-009_CDL.jpg</x:v>
      </x:c>
    </x:row>
    <x:row r="59">
      <x:c r="A59" t="str">
        <x:v>DRV-009</x:v>
      </x:c>
      <x:c r="B59" t="str">
        <x:v>Emma Brown</x:v>
      </x:c>
      <x:c r="C59" t="str">
        <x:v>MEDICAL_CARD</x:v>
      </x:c>
      <x:c r="D59" t="str">
        <x:v>VALID</x:v>
      </x:c>
      <x:c r="E59" s="113" t="n">
        <x:v>46645</x:v>
      </x:c>
      <x:c r="F59" t="str">
        <x:v>/documents/drivers/DRV-009_MEDICAL.pdf</x:v>
      </x:c>
      <x:c r="G59" t="str">
        <x:v>/drivers/DRV-009.jpg</x:v>
      </x:c>
      <x:c r="H59" t="str">
        <x:v>DRV-009|MEDICAL_CARD</x:v>
      </x:c>
      <x:c r="I59" t="str">
        <x:v>/images/documents/DRV-009_MEDICAL_CARD.jpg</x:v>
      </x:c>
    </x:row>
    <x:row r="60">
      <x:c r="A60" t="str">
        <x:v>DRV-009</x:v>
      </x:c>
      <x:c r="B60" t="str">
        <x:v>Emma Brown</x:v>
      </x:c>
      <x:c r="C60" t="str">
        <x:v>MVR</x:v>
      </x:c>
      <x:c r="D60" t="str">
        <x:v>VALID</x:v>
      </x:c>
      <x:c r="E60" s="113" t="n">
        <x:v>46451</x:v>
      </x:c>
      <x:c r="F60" t="str">
        <x:v>/documents/drivers/DRV-009_MVR.pdf</x:v>
      </x:c>
      <x:c r="G60" t="str">
        <x:v>/drivers/DRV-009.jpg</x:v>
      </x:c>
      <x:c r="H60" t="str">
        <x:v>DRV-009|MVR</x:v>
      </x:c>
      <x:c r="I60" t="str">
        <x:v>/images/documents/DRV-009_MVR.jpg</x:v>
      </x:c>
    </x:row>
    <x:row r="61">
      <x:c r="A61" t="str">
        <x:v>DRV-009</x:v>
      </x:c>
      <x:c r="B61" t="str">
        <x:v>Emma Brown</x:v>
      </x:c>
      <x:c r="C61" t="str">
        <x:v>I9</x:v>
      </x:c>
      <x:c r="D61" t="str">
        <x:v>VALID</x:v>
      </x:c>
      <x:c r="E61" s="113" t="n">
        <x:v>46165</x:v>
      </x:c>
      <x:c r="F61" t="str">
        <x:v>/documents/drivers/DRV-009_I9.pdf</x:v>
      </x:c>
      <x:c r="G61" t="str">
        <x:v>/drivers/DRV-009.jpg</x:v>
      </x:c>
      <x:c r="H61" t="str">
        <x:v>DRV-009|I9</x:v>
      </x:c>
      <x:c r="I61" t="str">
        <x:v>/images/documents/DRV-009_I9.jpg</x:v>
      </x:c>
    </x:row>
    <x:row r="62">
      <x:c r="A62" t="str">
        <x:v>DRV-009</x:v>
      </x:c>
      <x:c r="B62" t="str">
        <x:v>Emma Brown</x:v>
      </x:c>
      <x:c r="C62" t="str">
        <x:v>FMCSA</x:v>
      </x:c>
      <x:c r="D62" t="str">
        <x:v>VALID</x:v>
      </x:c>
      <x:c r="E62" s="113" t="n">
        <x:v>46244</x:v>
      </x:c>
      <x:c r="F62" t="str">
        <x:v>/documents/drivers/DRV-009_FMCSA.pdf</x:v>
      </x:c>
      <x:c r="G62" t="str">
        <x:v>/drivers/DRV-009.jpg</x:v>
      </x:c>
      <x:c r="H62" t="str">
        <x:v>DRV-009|FMCSA</x:v>
      </x:c>
      <x:c r="I62" t="str">
        <x:v>/images/documents/DRV-009_FMCSA.jpg</x:v>
      </x:c>
    </x:row>
    <x:row r="63">
      <x:c r="A63" t="str">
        <x:v>DRV-009</x:v>
      </x:c>
      <x:c r="B63" t="str">
        <x:v>Emma Brown</x:v>
      </x:c>
      <x:c r="C63" t="str">
        <x:v>W9</x:v>
      </x:c>
      <x:c r="D63" t="str">
        <x:v>VALID</x:v>
      </x:c>
      <x:c r="E63" s="113" t="n">
        <x:v>46060</x:v>
      </x:c>
      <x:c r="F63" t="str">
        <x:v>/documents/drivers/DRV-009_W9.pdf</x:v>
      </x:c>
      <x:c r="G63" t="str">
        <x:v>/drivers/DRV-009.jpg</x:v>
      </x:c>
      <x:c r="H63" t="str">
        <x:v>DRV-009|W9</x:v>
      </x:c>
      <x:c r="I63" t="str">
        <x:v>/images/documents/DRV-009_W9.jpg</x:v>
      </x:c>
    </x:row>
    <x:row r="64">
      <x:c r="A64" t="str">
        <x:v>DRV-009</x:v>
      </x:c>
      <x:c r="B64" t="str">
        <x:v>Emma Brown</x:v>
      </x:c>
      <x:c r="C64" t="str">
        <x:v>BANK_INFO</x:v>
      </x:c>
      <x:c r="D64" t="str">
        <x:v>VALID</x:v>
      </x:c>
      <x:c r="E64" s="113" t="n">
        <x:v>46144</x:v>
      </x:c>
      <x:c r="F64" t="str">
        <x:v>/documents/drivers/DRV-009_BANK_INFO.pdf</x:v>
      </x:c>
      <x:c r="G64" t="str">
        <x:v>/drivers/DRV-009.jpg</x:v>
      </x:c>
      <x:c r="H64" t="str">
        <x:v>DRV-009|BANK_INFO</x:v>
      </x:c>
      <x:c r="I64" t="str">
        <x:v>/images/documents/DRV-009_BANK_INFO.jpg</x:v>
      </x:c>
    </x:row>
    <x:row r="65">
      <x:c r="A65" t="str">
        <x:v>DRV-010</x:v>
      </x:c>
      <x:c r="B65" t="str">
        <x:v>Noah Wilson</x:v>
      </x:c>
      <x:c r="C65" t="str">
        <x:v>CDL</x:v>
      </x:c>
      <x:c r="D65" t="str">
        <x:v>VALID</x:v>
      </x:c>
      <x:c r="E65" s="113" t="n">
        <x:v>46647</x:v>
      </x:c>
      <x:c r="F65" t="str">
        <x:v>/documents/drivers/DRV-010_CDL.pdf</x:v>
      </x:c>
      <x:c r="G65" t="str">
        <x:v>/drivers/DRV-010.jpg</x:v>
      </x:c>
      <x:c r="H65" t="str">
        <x:v>DRV-010|CDL</x:v>
      </x:c>
      <x:c r="I65" t="str">
        <x:v>/images/documents/DRV-010_CDL.jpg</x:v>
      </x:c>
    </x:row>
    <x:row r="66">
      <x:c r="A66" t="str">
        <x:v>DRV-010</x:v>
      </x:c>
      <x:c r="B66" t="str">
        <x:v>Noah Wilson</x:v>
      </x:c>
      <x:c r="C66" t="str">
        <x:v>MEDICAL_CARD</x:v>
      </x:c>
      <x:c r="D66" t="str">
        <x:v>VALID</x:v>
      </x:c>
      <x:c r="E66" s="113" t="n">
        <x:v>46752</x:v>
      </x:c>
      <x:c r="F66" t="str">
        <x:v>/documents/drivers/DRV-010_MEDICAL.pdf</x:v>
      </x:c>
      <x:c r="G66" t="str">
        <x:v>/drivers/DRV-010.jpg</x:v>
      </x:c>
      <x:c r="H66" t="str">
        <x:v>DRV-010|MEDICAL_CARD</x:v>
      </x:c>
      <x:c r="I66" t="str">
        <x:v>/images/documents/DRV-010_MEDICAL_CARD.jpg</x:v>
      </x:c>
    </x:row>
    <x:row r="67">
      <x:c r="A67" t="str">
        <x:v>DRV-010</x:v>
      </x:c>
      <x:c r="B67" t="str">
        <x:v>Noah Wilson</x:v>
      </x:c>
      <x:c r="C67" t="str">
        <x:v>MVR</x:v>
      </x:c>
      <x:c r="D67" t="str">
        <x:v>VALID</x:v>
      </x:c>
      <x:c r="E67" s="113" t="n">
        <x:v>46481</x:v>
      </x:c>
      <x:c r="F67" t="str">
        <x:v>/documents/drivers/DRV-010_MVR.pdf</x:v>
      </x:c>
      <x:c r="G67" t="str">
        <x:v>/drivers/DRV-010.jpg</x:v>
      </x:c>
      <x:c r="H67" t="str">
        <x:v>DRV-010|MVR</x:v>
      </x:c>
      <x:c r="I67" t="str">
        <x:v>/images/documents/DRV-010_MVR.jpg</x:v>
      </x:c>
    </x:row>
    <x:row r="68">
      <x:c r="A68" t="str">
        <x:v>DRV-010</x:v>
      </x:c>
      <x:c r="B68" t="str">
        <x:v>Noah Wilson</x:v>
      </x:c>
      <x:c r="C68" t="str">
        <x:v>I9</x:v>
      </x:c>
      <x:c r="D68" t="str">
        <x:v>VALID</x:v>
      </x:c>
      <x:c r="E68" s="113" t="n">
        <x:v>46024</x:v>
      </x:c>
      <x:c r="F68" t="str">
        <x:v>/documents/drivers/DRV-010_I9.pdf</x:v>
      </x:c>
      <x:c r="G68" t="str">
        <x:v>/drivers/DRV-010.jpg</x:v>
      </x:c>
      <x:c r="H68" t="str">
        <x:v>DRV-010|I9</x:v>
      </x:c>
      <x:c r="I68" t="str">
        <x:v>/images/documents/DRV-010_I9.jpg</x:v>
      </x:c>
    </x:row>
    <x:row r="69">
      <x:c r="A69" t="str">
        <x:v>DRV-010</x:v>
      </x:c>
      <x:c r="B69" t="str">
        <x:v>Noah Wilson</x:v>
      </x:c>
      <x:c r="C69" t="str">
        <x:v>FMCSA</x:v>
      </x:c>
      <x:c r="D69" t="str">
        <x:v>VALID</x:v>
      </x:c>
      <x:c r="E69" s="113" t="n">
        <x:v>45985</x:v>
      </x:c>
      <x:c r="F69" t="str">
        <x:v>/documents/drivers/DRV-010_FMCSA.pdf</x:v>
      </x:c>
      <x:c r="G69" t="str">
        <x:v>/drivers/DRV-010.jpg</x:v>
      </x:c>
      <x:c r="H69" t="str">
        <x:v>DRV-010|FMCSA</x:v>
      </x:c>
      <x:c r="I69" t="str">
        <x:v>/images/documents/DRV-010_FMCSA.jpg</x:v>
      </x:c>
    </x:row>
    <x:row r="70">
      <x:c r="A70" t="str">
        <x:v>DRV-010</x:v>
      </x:c>
      <x:c r="B70" t="str">
        <x:v>Noah Wilson</x:v>
      </x:c>
      <x:c r="C70" t="str">
        <x:v>W9</x:v>
      </x:c>
      <x:c r="D70" t="str">
        <x:v>VALID</x:v>
      </x:c>
      <x:c r="E70" s="113" t="n">
        <x:v>46208</x:v>
      </x:c>
      <x:c r="F70" t="str">
        <x:v>/documents/drivers/DRV-010_W9.pdf</x:v>
      </x:c>
      <x:c r="G70" t="str">
        <x:v>/drivers/DRV-010.jpg</x:v>
      </x:c>
      <x:c r="H70" t="str">
        <x:v>DRV-010|W9</x:v>
      </x:c>
      <x:c r="I70" t="str">
        <x:v>/images/documents/DRV-010_W9.jpg</x:v>
      </x:c>
    </x:row>
    <x:row r="71">
      <x:c r="A71" t="str">
        <x:v>DRV-010</x:v>
      </x:c>
      <x:c r="B71" t="str">
        <x:v>Noah Wilson</x:v>
      </x:c>
      <x:c r="C71" t="str">
        <x:v>BANK_INFO</x:v>
      </x:c>
      <x:c r="D71" t="str">
        <x:v>VALID</x:v>
      </x:c>
      <x:c r="E71" s="113" t="n">
        <x:v>46061</x:v>
      </x:c>
      <x:c r="F71" t="str">
        <x:v>/documents/drivers/DRV-010_BANK_INFO.pdf</x:v>
      </x:c>
      <x:c r="G71" t="str">
        <x:v>/drivers/DRV-010.jpg</x:v>
      </x:c>
      <x:c r="H71" t="str">
        <x:v>DRV-010|BANK_INFO</x:v>
      </x:c>
      <x:c r="I71" t="str">
        <x:v>/images/documents/DRV-010_BANK_INFO.jpg</x:v>
      </x:c>
    </x:row>
    <x:row r="72">
      <x:c r="A72" t="str">
        <x:v>DRV-011</x:v>
      </x:c>
      <x:c r="B72" t="str">
        <x:v>Olivia Lee</x:v>
      </x:c>
      <x:c r="C72" t="str">
        <x:v>CDL</x:v>
      </x:c>
      <x:c r="D72" t="str">
        <x:v>VALID</x:v>
      </x:c>
      <x:c r="E72" s="113" t="n">
        <x:v>46566</x:v>
      </x:c>
      <x:c r="F72" t="str">
        <x:v>/documents/drivers/DRV-011_CDL.pdf</x:v>
      </x:c>
      <x:c r="G72" t="str">
        <x:v>/drivers/DRV-011.jpg</x:v>
      </x:c>
      <x:c r="H72" t="str">
        <x:v>DRV-011|CDL</x:v>
      </x:c>
      <x:c r="I72" t="str">
        <x:v>/images/documents/DRV-011_CDL.jpg</x:v>
      </x:c>
    </x:row>
    <x:row r="73">
      <x:c r="A73" t="str">
        <x:v>DRV-011</x:v>
      </x:c>
      <x:c r="B73" t="str">
        <x:v>Olivia Lee</x:v>
      </x:c>
      <x:c r="C73" t="str">
        <x:v>MEDICAL_CARD</x:v>
      </x:c>
      <x:c r="D73" t="str">
        <x:v>VALID</x:v>
      </x:c>
      <x:c r="E73" s="113" t="n">
        <x:v>46499</x:v>
      </x:c>
      <x:c r="F73" t="str">
        <x:v>/documents/drivers/DRV-011_MEDICAL.pdf</x:v>
      </x:c>
      <x:c r="G73" t="str">
        <x:v>/drivers/DRV-011.jpg</x:v>
      </x:c>
      <x:c r="H73" t="str">
        <x:v>DRV-011|MEDICAL_CARD</x:v>
      </x:c>
      <x:c r="I73" t="str">
        <x:v>/images/documents/DRV-011_MEDICAL_CARD.jpg</x:v>
      </x:c>
    </x:row>
    <x:row r="74">
      <x:c r="A74" t="str">
        <x:v>DRV-011</x:v>
      </x:c>
      <x:c r="B74" t="str">
        <x:v>Olivia Lee</x:v>
      </x:c>
      <x:c r="C74" t="str">
        <x:v>MVR</x:v>
      </x:c>
      <x:c r="D74" t="str">
        <x:v>VALID</x:v>
      </x:c>
      <x:c r="E74" s="113" t="n">
        <x:v>46484</x:v>
      </x:c>
      <x:c r="F74" t="str">
        <x:v>/documents/drivers/DRV-011_MVR.pdf</x:v>
      </x:c>
      <x:c r="G74" t="str">
        <x:v>/drivers/DRV-011.jpg</x:v>
      </x:c>
      <x:c r="H74" t="str">
        <x:v>DRV-011|MVR</x:v>
      </x:c>
      <x:c r="I74" t="str">
        <x:v>/images/documents/DRV-011_MVR.jpg</x:v>
      </x:c>
    </x:row>
    <x:row r="75">
      <x:c r="A75" t="str">
        <x:v>DRV-011</x:v>
      </x:c>
      <x:c r="B75" t="str">
        <x:v>Olivia Lee</x:v>
      </x:c>
      <x:c r="C75" t="str">
        <x:v>I9</x:v>
      </x:c>
      <x:c r="D75" t="str">
        <x:v>VALID</x:v>
      </x:c>
      <x:c r="E75" s="113" t="n">
        <x:v>46185</x:v>
      </x:c>
      <x:c r="F75" t="str">
        <x:v>/documents/drivers/DRV-011_I9.pdf</x:v>
      </x:c>
      <x:c r="G75" t="str">
        <x:v>/drivers/DRV-011.jpg</x:v>
      </x:c>
      <x:c r="H75" t="str">
        <x:v>DRV-011|I9</x:v>
      </x:c>
      <x:c r="I75" t="str">
        <x:v>/images/documents/DRV-011_I9.jpg</x:v>
      </x:c>
    </x:row>
    <x:row r="76">
      <x:c r="A76" t="str">
        <x:v>DRV-011</x:v>
      </x:c>
      <x:c r="B76" t="str">
        <x:v>Olivia Lee</x:v>
      </x:c>
      <x:c r="C76" t="str">
        <x:v>FMCSA</x:v>
      </x:c>
      <x:c r="D76" t="str">
        <x:v>VALID</x:v>
      </x:c>
      <x:c r="E76" s="113" t="n">
        <x:v>46033</x:v>
      </x:c>
      <x:c r="F76" t="str">
        <x:v>/documents/drivers/DRV-011_FMCSA.pdf</x:v>
      </x:c>
      <x:c r="G76" t="str">
        <x:v>/drivers/DRV-011.jpg</x:v>
      </x:c>
      <x:c r="H76" t="str">
        <x:v>DRV-011|FMCSA</x:v>
      </x:c>
      <x:c r="I76" t="str">
        <x:v>/images/documents/DRV-011_FMCSA.jpg</x:v>
      </x:c>
    </x:row>
    <x:row r="77">
      <x:c r="A77" t="str">
        <x:v>DRV-011</x:v>
      </x:c>
      <x:c r="B77" t="str">
        <x:v>Olivia Lee</x:v>
      </x:c>
      <x:c r="C77" t="str">
        <x:v>W9</x:v>
      </x:c>
      <x:c r="D77" t="str">
        <x:v>VALID</x:v>
      </x:c>
      <x:c r="E77" s="113" t="n">
        <x:v>46249</x:v>
      </x:c>
      <x:c r="F77" t="str">
        <x:v>/documents/drivers/DRV-011_W9.pdf</x:v>
      </x:c>
      <x:c r="G77" t="str">
        <x:v>/drivers/DRV-011.jpg</x:v>
      </x:c>
      <x:c r="H77" t="str">
        <x:v>DRV-011|W9</x:v>
      </x:c>
      <x:c r="I77" t="str">
        <x:v>/images/documents/DRV-011_W9.jpg</x:v>
      </x:c>
    </x:row>
    <x:row r="78">
      <x:c r="A78" t="str">
        <x:v>DRV-011</x:v>
      </x:c>
      <x:c r="B78" t="str">
        <x:v>Olivia Lee</x:v>
      </x:c>
      <x:c r="C78" t="str">
        <x:v>BANK_INFO</x:v>
      </x:c>
      <x:c r="D78" t="str">
        <x:v>VALID</x:v>
      </x:c>
      <x:c r="E78" s="113" t="n">
        <x:v>46025</x:v>
      </x:c>
      <x:c r="F78" t="str">
        <x:v>/documents/drivers/DRV-011_BANK_INFO.pdf</x:v>
      </x:c>
      <x:c r="G78" t="str">
        <x:v>/drivers/DRV-011.jpg</x:v>
      </x:c>
      <x:c r="H78" t="str">
        <x:v>DRV-011|BANK_INFO</x:v>
      </x:c>
      <x:c r="I78" t="str">
        <x:v>/images/documents/DRV-011_BANK_INFO.jpg</x:v>
      </x:c>
    </x:row>
    <x:row r="79">
      <x:c r="A79" t="str">
        <x:v>DRV-012</x:v>
      </x:c>
      <x:c r="B79" t="str">
        <x:v>Robert Johnson</x:v>
      </x:c>
      <x:c r="C79" t="str">
        <x:v>CDL</x:v>
      </x:c>
      <x:c r="D79" t="str">
        <x:v>VALID</x:v>
      </x:c>
      <x:c r="E79" s="113" t="n">
        <x:v>46706</x:v>
      </x:c>
      <x:c r="F79" t="str">
        <x:v>/documents/drivers/DRV-012_CDL.pdf</x:v>
      </x:c>
      <x:c r="G79" t="str">
        <x:v>/drivers/DRV-012.jpg</x:v>
      </x:c>
      <x:c r="H79" t="str">
        <x:v>DRV-012|CDL</x:v>
      </x:c>
      <x:c r="I79" t="str">
        <x:v>/images/documents/DRV-012_CDL.jpg</x:v>
      </x:c>
    </x:row>
    <x:row r="80">
      <x:c r="A80" t="str">
        <x:v>DRV-012</x:v>
      </x:c>
      <x:c r="B80" t="str">
        <x:v>Robert Johnson</x:v>
      </x:c>
      <x:c r="C80" t="str">
        <x:v>MEDICAL_CARD</x:v>
      </x:c>
      <x:c r="D80" t="str">
        <x:v>VALID</x:v>
      </x:c>
      <x:c r="E80" s="113" t="n">
        <x:v>46609</x:v>
      </x:c>
      <x:c r="F80" t="str">
        <x:v>/documents/drivers/DRV-012_MEDICAL.pdf</x:v>
      </x:c>
      <x:c r="G80" t="str">
        <x:v>/drivers/DRV-012.jpg</x:v>
      </x:c>
      <x:c r="H80" t="str">
        <x:v>DRV-012|MEDICAL_CARD</x:v>
      </x:c>
      <x:c r="I80" t="str">
        <x:v>/images/documents/DRV-012_MEDICAL_CARD.jpg</x:v>
      </x:c>
    </x:row>
    <x:row r="81">
      <x:c r="A81" t="str">
        <x:v>DRV-012</x:v>
      </x:c>
      <x:c r="B81" t="str">
        <x:v>Robert Johnson</x:v>
      </x:c>
      <x:c r="C81" t="str">
        <x:v>MVR</x:v>
      </x:c>
      <x:c r="D81" t="str">
        <x:v>VALID</x:v>
      </x:c>
      <x:c r="E81" s="113" t="n">
        <x:v>46519</x:v>
      </x:c>
      <x:c r="F81" t="str">
        <x:v>/documents/drivers/DRV-012_MVR.pdf</x:v>
      </x:c>
      <x:c r="G81" t="str">
        <x:v>/drivers/DRV-012.jpg</x:v>
      </x:c>
      <x:c r="H81" t="str">
        <x:v>DRV-012|MVR</x:v>
      </x:c>
      <x:c r="I81" t="str">
        <x:v>/images/documents/DRV-012_MVR.jpg</x:v>
      </x:c>
    </x:row>
    <x:row r="82">
      <x:c r="A82" t="str">
        <x:v>DRV-012</x:v>
      </x:c>
      <x:c r="B82" t="str">
        <x:v>Robert Johnson</x:v>
      </x:c>
      <x:c r="C82" t="str">
        <x:v>I9</x:v>
      </x:c>
      <x:c r="D82" t="str">
        <x:v>VALID</x:v>
      </x:c>
      <x:c r="E82" s="113" t="n">
        <x:v>46000</x:v>
      </x:c>
      <x:c r="F82" t="str">
        <x:v>/documents/drivers/DRV-012_I9.pdf</x:v>
      </x:c>
      <x:c r="G82" t="str">
        <x:v>/drivers/DRV-012.jpg</x:v>
      </x:c>
      <x:c r="H82" t="str">
        <x:v>DRV-012|I9</x:v>
      </x:c>
      <x:c r="I82" t="str">
        <x:v>/images/documents/DRV-012_I9.jpg</x:v>
      </x:c>
    </x:row>
    <x:row r="83">
      <x:c r="A83" t="str">
        <x:v>DRV-012</x:v>
      </x:c>
      <x:c r="B83" t="str">
        <x:v>Robert Johnson</x:v>
      </x:c>
      <x:c r="C83" t="str">
        <x:v>FMCSA</x:v>
      </x:c>
      <x:c r="D83" t="str">
        <x:v>VALID</x:v>
      </x:c>
      <x:c r="E83" s="113" t="n">
        <x:v>46147</x:v>
      </x:c>
      <x:c r="F83" t="str">
        <x:v>/documents/drivers/DRV-012_FMCSA.pdf</x:v>
      </x:c>
      <x:c r="G83" t="str">
        <x:v>/drivers/DRV-012.jpg</x:v>
      </x:c>
      <x:c r="H83" t="str">
        <x:v>DRV-012|FMCSA</x:v>
      </x:c>
      <x:c r="I83" t="str">
        <x:v>/images/documents/DRV-012_FMCSA.jpg</x:v>
      </x:c>
    </x:row>
    <x:row r="84">
      <x:c r="A84" t="str">
        <x:v>DRV-012</x:v>
      </x:c>
      <x:c r="B84" t="str">
        <x:v>Robert Johnson</x:v>
      </x:c>
      <x:c r="C84" t="str">
        <x:v>W9</x:v>
      </x:c>
      <x:c r="D84" t="str">
        <x:v>VALID</x:v>
      </x:c>
      <x:c r="E84" s="113" t="n">
        <x:v>46018</x:v>
      </x:c>
      <x:c r="F84" t="str">
        <x:v>/documents/drivers/DRV-012_W9.pdf</x:v>
      </x:c>
      <x:c r="G84" t="str">
        <x:v>/drivers/DRV-012.jpg</x:v>
      </x:c>
      <x:c r="H84" t="str">
        <x:v>DRV-012|W9</x:v>
      </x:c>
      <x:c r="I84" t="str">
        <x:v>/images/documents/DRV-012_W9.jpg</x:v>
      </x:c>
    </x:row>
    <x:row r="85">
      <x:c r="A85" t="str">
        <x:v>DRV-012</x:v>
      </x:c>
      <x:c r="B85" t="str">
        <x:v>Robert Johnson</x:v>
      </x:c>
      <x:c r="C85" t="str">
        <x:v>BANK_INFO</x:v>
      </x:c>
      <x:c r="D85" t="str">
        <x:v>VALID</x:v>
      </x:c>
      <x:c r="E85" s="113" t="n">
        <x:v>46069</x:v>
      </x:c>
      <x:c r="F85" t="str">
        <x:v>/documents/drivers/DRV-012_BANK_INFO.pdf</x:v>
      </x:c>
      <x:c r="G85" t="str">
        <x:v>/drivers/DRV-012.jpg</x:v>
      </x:c>
      <x:c r="H85" t="str">
        <x:v>DRV-012|BANK_INFO</x:v>
      </x:c>
      <x:c r="I85" t="str">
        <x:v>/images/documents/DRV-012_BANK_INFO.jpg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1.760000228881836" hidden="0" customWidth="1"/>
    <x:col min="2" max="2" width="85.87000274658203" hidden="0" customWidth="1"/>
  </x:cols>
  <x:sheetData>
    <x:row r="1">
      <x:c r="A1" s="118" t="str">
        <x:v>BOF Source-of-Truth Cleanup Summary</x:v>
      </x:c>
      <x:c r="B1" s="118" t="str"/>
      <x:c r="C1" s="118" t="str"/>
      <x:c r="D1" s="118" t="str"/>
    </x:row>
    <x:row r="2">
      <x:c r="A2" t="str">
        <x:v>Input workbook</x:v>
      </x:c>
      <x:c r="B2" t="str">
        <x:v>main-source_enhanced_bof_aligned(9).xlsx</x:v>
      </x:c>
      <x:c r="C2" t="str"/>
      <x:c r="D2" t="str"/>
    </x:row>
    <x:row r="3">
      <x:c r="A3" t="str">
        <x:v>Reference workbook</x:v>
      </x:c>
      <x:c r="B3" t="str">
        <x:v>driver_templates_expanded2_expirations_2027.xlsx</x:v>
      </x:c>
      <x:c r="C3" t="str"/>
      <x:c r="D3" t="str"/>
    </x:row>
    <x:row r="4">
      <x:c r="A4" t="str">
        <x:v>Driver template source used</x:v>
      </x:c>
      <x:c r="B4" t="str">
        <x:v>Sheet1 rows where Driver ID matches DRV-###</x:v>
      </x:c>
      <x:c r="C4" t="str"/>
      <x:c r="D4" t="str"/>
    </x:row>
    <x:row r="5">
      <x:c r="A5" t="str">
        <x:v>Preferred medical source</x:v>
      </x:c>
      <x:c r="B5" t="str">
        <x:v>Document Type = Medical Certification; Med Card Expiration</x:v>
      </x:c>
      <x:c r="C5" t="str"/>
      <x:c r="D5" t="str"/>
    </x:row>
    <x:row r="6">
      <x:c r="A6" t="str">
        <x:v>Preferred CDL source</x:v>
      </x:c>
      <x:c r="B6" t="str">
        <x:v>Document Type = CDL Summary; CDL Expiration</x:v>
      </x:c>
      <x:c r="C6" t="str"/>
      <x:c r="D6" t="str"/>
    </x:row>
    <x:row r="7">
      <x:c r="A7" t="str">
        <x:v>Preferred MVR source</x:v>
      </x:c>
      <x:c r="B7" t="str">
        <x:v>Document Type = MVR Background Report; MVR Expiration</x:v>
      </x:c>
      <x:c r="C7" t="str"/>
      <x:c r="D7" t="str"/>
    </x:row>
    <x:row r="8">
      <x:c r="A8" t="str">
        <x:v>Total drivers reconciled</x:v>
      </x:c>
      <x:c r="B8" t="n">
        <x:v>12</x:v>
      </x:c>
      <x:c r="C8" t="str"/>
      <x:c r="D8" t="str"/>
    </x:row>
    <x:row r="9">
      <x:c r="A9" t="str">
        <x:v>Total cell changes logged</x:v>
      </x:c>
      <x:c r="B9" t="n">
        <x:v>200</x:v>
      </x:c>
      <x:c r="C9" t="str"/>
      <x:c r="D9" t="str"/>
    </x:row>
    <x:row r="10">
      <x:c r="A10" t="str">
        <x:v>Bad 2026-04-22 active med date</x:v>
      </x:c>
      <x:c r="B10" t="str">
        <x:v>Removed/overridden in updated sheets if present</x:v>
      </x:c>
      <x:c r="C10" t="str"/>
      <x:c r="D10" t="str"/>
    </x:row>
    <x:row r="11">
      <x:c r="A11" t="str">
        <x:v>Additional cleanup</x:v>
      </x:c>
      <x:c r="B11" t="str">
        <x:v>Updated Vercel_Documents expiration dates and closed stale medical-expiring compliance events.</x:v>
      </x:c>
    </x:row>
    <x:row r="12">
      <x:c r="A12" t="str">
        <x:v>Stale active medical events</x:v>
      </x:c>
      <x:c r="B12" t="str">
        <x:v>Medical Card Expiring events were converted to Medical Certification Verified where tied to stale date logic.</x:v>
      </x:c>
    </x:row>
    <x:row r="13">
      <x:c r="A13" t="str">
        <x:v>Audit note</x:v>
      </x:c>
      <x:c r="B13" t="str">
        <x:v>Field_Differences preserves old values for traceability; active data sheets use corrected values.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2.380000114440918" hidden="0" customWidth="1"/>
    <x:col min="3" max="3" width="11.84000015258789" hidden="0" customWidth="1"/>
    <x:col min="4" max="4" width="19.3799991607666" hidden="0" customWidth="1"/>
    <x:col min="5" max="5" width="12.649999618530273" hidden="0" customWidth="1"/>
    <x:col min="6" max="6" width="50.7400016784668" hidden="0" customWidth="1"/>
  </x:cols>
  <x:sheetData>
    <x:row r="1">
      <x:c r="A1" s="118" t="str">
        <x:v>Driver ID</x:v>
      </x:c>
      <x:c r="B1" s="118" t="str">
        <x:v>Full Name</x:v>
      </x:c>
      <x:c r="C1" s="118" t="str">
        <x:v>CDL Expiration</x:v>
      </x:c>
      <x:c r="D1" s="118" t="str">
        <x:v>Medical Card Expiration</x:v>
      </x:c>
      <x:c r="E1" s="118" t="str">
        <x:v>MVR Expiration</x:v>
      </x:c>
      <x:c r="F1" s="118" t="str">
        <x:v>Source Rows Used</x:v>
      </x:c>
    </x:row>
    <x:row r="2">
      <x:c r="A2" t="str">
        <x:v>DRV-001</x:v>
      </x:c>
      <x:c r="B2" t="str">
        <x:v>John Carter</x:v>
      </x:c>
      <x:c r="C2" s="113" t="n">
        <x:v>46621</x:v>
      </x:c>
      <x:c r="D2" s="113" t="n">
        <x:v>46638</x:v>
      </x:c>
      <x:c r="E2" s="113" t="n">
        <x:v>46677</x:v>
      </x:c>
      <x:c r="F2" t="str">
        <x:v>CDL Summary / Medical Certification / MVR Background Report</x:v>
      </x:c>
    </x:row>
    <x:row r="3">
      <x:c r="A3" t="str">
        <x:v>DRV-002</x:v>
      </x:c>
      <x:c r="B3" t="str">
        <x:v>Maria Lopez</x:v>
      </x:c>
      <x:c r="C3" s="113" t="n">
        <x:v>46518</x:v>
      </x:c>
      <x:c r="D3" s="113" t="n">
        <x:v>46596</x:v>
      </x:c>
      <x:c r="E3" s="113" t="n">
        <x:v>46455</x:v>
      </x:c>
      <x:c r="F3" t="str">
        <x:v>CDL Summary / Medical Certification / MVR Background Report</x:v>
      </x:c>
    </x:row>
    <x:row r="4">
      <x:c r="A4" t="str">
        <x:v>DRV-003</x:v>
      </x:c>
      <x:c r="B4" t="str">
        <x:v>Alex Kim</x:v>
      </x:c>
      <x:c r="C4" s="113" t="n">
        <x:v>46420</x:v>
      </x:c>
      <x:c r="D4" s="113" t="n">
        <x:v>46659</x:v>
      </x:c>
      <x:c r="E4" s="113" t="n">
        <x:v>46449</x:v>
      </x:c>
      <x:c r="F4" t="str">
        <x:v>CDL Summary / Medical Certification / MVR Background Report</x:v>
      </x:c>
    </x:row>
    <x:row r="5">
      <x:c r="A5" t="str">
        <x:v>DRV-004</x:v>
      </x:c>
      <x:c r="B5" t="str">
        <x:v>Priya Patel</x:v>
      </x:c>
      <x:c r="C5" s="113" t="n">
        <x:v>46739</x:v>
      </x:c>
      <x:c r="D5" s="113" t="n">
        <x:v>46486</x:v>
      </x:c>
      <x:c r="E5" s="113" t="n">
        <x:v>46452</x:v>
      </x:c>
      <x:c r="F5" t="str">
        <x:v>CDL Summary / Medical Certification / MVR Background Report</x:v>
      </x:c>
    </x:row>
    <x:row r="6">
      <x:c r="A6" t="str">
        <x:v>DRV-005</x:v>
      </x:c>
      <x:c r="B6" t="str">
        <x:v>Kenji Tanaka</x:v>
      </x:c>
      <x:c r="C6" s="113" t="n">
        <x:v>46577</x:v>
      </x:c>
      <x:c r="D6" s="113" t="n">
        <x:v>46496</x:v>
      </x:c>
      <x:c r="E6" s="113" t="n">
        <x:v>46478</x:v>
      </x:c>
      <x:c r="F6" t="str">
        <x:v>CDL Summary / Medical Certification / MVR Background Report</x:v>
      </x:c>
    </x:row>
    <x:row r="7">
      <x:c r="A7" t="str">
        <x:v>DRV-006</x:v>
      </x:c>
      <x:c r="B7" t="str">
        <x:v>Marcus Chen</x:v>
      </x:c>
      <x:c r="C7" s="113" t="n">
        <x:v>46556</x:v>
      </x:c>
      <x:c r="D7" s="113" t="n">
        <x:v>46394</x:v>
      </x:c>
      <x:c r="E7" s="113" t="n">
        <x:v>46455</x:v>
      </x:c>
      <x:c r="F7" t="str">
        <x:v>CDL Summary / Medical Certification / MVR Background Report</x:v>
      </x:c>
    </x:row>
    <x:row r="8">
      <x:c r="A8" t="str">
        <x:v>DRV-007</x:v>
      </x:c>
      <x:c r="B8" t="str">
        <x:v>Sofia Gomez</x:v>
      </x:c>
      <x:c r="C8" s="113" t="n">
        <x:v>46530</x:v>
      </x:c>
      <x:c r="D8" s="113" t="n">
        <x:v>46469</x:v>
      </x:c>
      <x:c r="E8" s="113" t="n">
        <x:v>46456</x:v>
      </x:c>
      <x:c r="F8" t="str">
        <x:v>CDL Summary / Medical Certification / MVR Background Report</x:v>
      </x:c>
    </x:row>
    <x:row r="9">
      <x:c r="A9" t="str">
        <x:v>DRV-008</x:v>
      </x:c>
      <x:c r="B9" t="str">
        <x:v>Liam Smith</x:v>
      </x:c>
      <x:c r="C9" s="113" t="n">
        <x:v>46620</x:v>
      </x:c>
      <x:c r="D9" s="113" t="n">
        <x:v>46670</x:v>
      </x:c>
      <x:c r="E9" s="113" t="n">
        <x:v>46452</x:v>
      </x:c>
      <x:c r="F9" t="str">
        <x:v>CDL Summary / Medical Certification / MVR Background Report</x:v>
      </x:c>
    </x:row>
    <x:row r="10">
      <x:c r="A10" t="str">
        <x:v>DRV-009</x:v>
      </x:c>
      <x:c r="B10" t="str">
        <x:v>Emma Brown</x:v>
      </x:c>
      <x:c r="C10" s="113" t="n">
        <x:v>46424</x:v>
      </x:c>
      <x:c r="D10" s="113" t="n">
        <x:v>46645</x:v>
      </x:c>
      <x:c r="E10" s="113" t="n">
        <x:v>46451</x:v>
      </x:c>
      <x:c r="F10" t="str">
        <x:v>CDL Summary / Medical Certification / MVR Background Report</x:v>
      </x:c>
    </x:row>
    <x:row r="11">
      <x:c r="A11" t="str">
        <x:v>DRV-010</x:v>
      </x:c>
      <x:c r="B11" t="str">
        <x:v>Noah Wilson</x:v>
      </x:c>
      <x:c r="C11" s="113" t="n">
        <x:v>46647</x:v>
      </x:c>
      <x:c r="D11" s="113" t="n">
        <x:v>46752</x:v>
      </x:c>
      <x:c r="E11" s="113" t="n">
        <x:v>46481</x:v>
      </x:c>
      <x:c r="F11" t="str">
        <x:v>CDL Summary / Medical Certification / MVR Background Report</x:v>
      </x:c>
    </x:row>
    <x:row r="12">
      <x:c r="A12" t="str">
        <x:v>DRV-011</x:v>
      </x:c>
      <x:c r="B12" t="str">
        <x:v>Olivia Lee</x:v>
      </x:c>
      <x:c r="C12" s="113" t="n">
        <x:v>46566</x:v>
      </x:c>
      <x:c r="D12" s="113" t="n">
        <x:v>46499</x:v>
      </x:c>
      <x:c r="E12" s="113" t="n">
        <x:v>46484</x:v>
      </x:c>
      <x:c r="F12" t="str">
        <x:v>CDL Summary / Medical Certification / MVR Background Report</x:v>
      </x:c>
    </x:row>
    <x:row r="13">
      <x:c r="A13" t="str">
        <x:v>DRV-012</x:v>
      </x:c>
      <x:c r="B13" t="str">
        <x:v>Robert Johnson</x:v>
      </x:c>
      <x:c r="C13" s="113" t="n">
        <x:v>46706</x:v>
      </x:c>
      <x:c r="D13" s="113" t="n">
        <x:v>46609</x:v>
      </x:c>
      <x:c r="E13" s="113" t="n">
        <x:v>46519</x:v>
      </x:c>
      <x:c r="F13" t="str">
        <x:v>CDL Summary / Medical Certification / MVR Background Report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3.5" hidden="0" customWidth="1"/>
    <x:col min="3" max="3" width="7.130000114440918" hidden="0" customWidth="1"/>
    <x:col min="4" max="4" width="12.380000114440918" hidden="0" customWidth="1"/>
    <x:col min="5" max="5" width="25.440000534057617" hidden="0" customWidth="1"/>
    <x:col min="6" max="6" width="51.68000030517578" hidden="0" customWidth="1"/>
    <x:col min="7" max="7" width="66.48999786376953" hidden="0" customWidth="1"/>
    <x:col min="8" max="8" width="35.130001068115234" hidden="0" customWidth="1"/>
    <x:col min="9" max="9" width="59.349998474121094" hidden="0" customWidth="1"/>
  </x:cols>
  <x:sheetData>
    <x:row r="1">
      <x:c r="A1" s="174" t="str">
        <x:v>Sheet</x:v>
      </x:c>
      <x:c r="B1" s="174" t="str">
        <x:v>Row</x:v>
      </x:c>
      <x:c r="C1" s="174" t="str">
        <x:v>Driver ID</x:v>
      </x:c>
      <x:c r="D1" s="174" t="str">
        <x:v>Driver Name</x:v>
      </x:c>
      <x:c r="E1" s="174" t="str">
        <x:v>Field</x:v>
      </x:c>
      <x:c r="F1" s="174" t="str">
        <x:v>Old Value</x:v>
      </x:c>
      <x:c r="G1" s="174" t="str">
        <x:v>New Value</x:v>
      </x:c>
      <x:c r="H1" s="174" t="str">
        <x:v>Action</x:v>
      </x:c>
      <x:c r="I1" s="174" t="str">
        <x:v>Notes</x:v>
      </x:c>
    </x:row>
    <x:row r="2">
      <x:c r="A2" t="str">
        <x:v>Drivers_Clean</x:v>
      </x:c>
      <x:c r="B2" t="n">
        <x:v>2</x:v>
      </x:c>
      <x:c r="C2" t="str">
        <x:v>DRV-001</x:v>
      </x:c>
      <x:c r="D2" t="str">
        <x:v>John Carter</x:v>
      </x:c>
      <x:c r="E2" t="str">
        <x:v>Medical Card Expiration</x:v>
      </x:c>
      <x:c r="F2" t="str">
        <x:v>2026-03-13</x:v>
      </x:c>
      <x:c r="G2" t="str">
        <x:v>2027-09-08</x:v>
      </x:c>
      <x:c r="H2" t="str">
        <x:v>Updated from driver_templates_expanded2</x:v>
      </x:c>
      <x:c r="I2"/>
    </x:row>
    <x:row r="3">
      <x:c r="A3" t="str">
        <x:v>Drivers_Clean</x:v>
      </x:c>
      <x:c r="B3" t="n">
        <x:v>2</x:v>
      </x:c>
      <x:c r="C3" t="str">
        <x:v>DRV-001</x:v>
      </x:c>
      <x:c r="D3" t="str">
        <x:v>John Carter</x:v>
      </x:c>
      <x:c r="E3" t="str">
        <x:v>MVR Expiration</x:v>
      </x:c>
      <x:c r="F3" t="str">
        <x:v>2026-02-27</x:v>
      </x:c>
      <x:c r="G3" t="str">
        <x:v>2027-10-17</x:v>
      </x:c>
      <x:c r="H3" t="str">
        <x:v>Updated from driver_templates_expanded2</x:v>
      </x:c>
      <x:c r="I3"/>
    </x:row>
    <x:row r="4">
      <x:c r="A4" t="str">
        <x:v>Drivers_Clean</x:v>
      </x:c>
      <x:c r="B4" t="n">
        <x:v>2</x:v>
      </x:c>
      <x:c r="C4" t="str">
        <x:v>DRV-001</x:v>
      </x:c>
      <x:c r="D4" t="str">
        <x:v>John Carter</x:v>
      </x:c>
      <x:c r="E4" t="str">
        <x:v>Compliance Status</x:v>
      </x:c>
      <x:c r="F4" t="str">
        <x:v>❌ MED CARD EXPIRED | MVR EXPIRED | TRUCK NEEDS SERVICE</x:v>
      </x:c>
      <x:c r="G4" t="str">
        <x:v>READY</x:v>
      </x:c>
      <x:c r="H4" t="str">
        <x:v>Reset after 2027 expiration cleanup</x:v>
      </x:c>
      <x:c r="I4" t="str">
        <x:v>Previous status may have been driven by stale expiry data.</x:v>
      </x:c>
    </x:row>
    <x:row r="5">
      <x:c r="A5" t="str">
        <x:v>Drivers_Clean</x:v>
      </x:c>
      <x:c r="B5" t="n">
        <x:v>3</x:v>
      </x:c>
      <x:c r="C5" t="str">
        <x:v>DRV-002</x:v>
      </x:c>
      <x:c r="D5" t="str">
        <x:v>Maria Lopez</x:v>
      </x:c>
      <x:c r="E5" t="str">
        <x:v>MVR Expiration</x:v>
      </x:c>
      <x:c r="F5" t="str">
        <x:v>2027-03-19</x:v>
      </x:c>
      <x:c r="G5" t="str">
        <x:v>2027-03-09</x:v>
      </x:c>
      <x:c r="H5" t="str">
        <x:v>Updated from driver_templates_expanded2</x:v>
      </x:c>
      <x:c r="I5"/>
    </x:row>
    <x:row r="6">
      <x:c r="A6" t="str">
        <x:v>Drivers_Clean</x:v>
      </x:c>
      <x:c r="B6" t="n">
        <x:v>3</x:v>
      </x:c>
      <x:c r="C6" t="str">
        <x:v>DRV-002</x:v>
      </x:c>
      <x:c r="D6" t="str">
        <x:v>Maria Lopez</x:v>
      </x:c>
      <x:c r="E6" t="str">
        <x:v>Compliance Status</x:v>
      </x:c>
      <x:c r="F6" t="str">
        <x:v>❌ TRUCK NEEDS SERVICE</x:v>
      </x:c>
      <x:c r="G6" t="str">
        <x:v>READY</x:v>
      </x:c>
      <x:c r="H6" t="str">
        <x:v>Reset after 2027 expiration cleanup</x:v>
      </x:c>
      <x:c r="I6" t="str">
        <x:v>Previous status may have been driven by stale expiry data.</x:v>
      </x:c>
    </x:row>
    <x:row r="7">
      <x:c r="A7" t="str">
        <x:v>Drivers_Clean</x:v>
      </x:c>
      <x:c r="B7" t="n">
        <x:v>4</x:v>
      </x:c>
      <x:c r="C7" t="str">
        <x:v>DRV-003</x:v>
      </x:c>
      <x:c r="D7" t="str">
        <x:v>Alex Kim</x:v>
      </x:c>
      <x:c r="E7" t="str">
        <x:v>MVR Expiration</x:v>
      </x:c>
      <x:c r="F7" t="str">
        <x:v>2027-03-19</x:v>
      </x:c>
      <x:c r="G7" t="str">
        <x:v>2027-03-03</x:v>
      </x:c>
      <x:c r="H7" t="str">
        <x:v>Updated from driver_templates_expanded2</x:v>
      </x:c>
      <x:c r="I7"/>
    </x:row>
    <x:row r="8">
      <x:c r="A8" t="str">
        <x:v>Drivers_Clean</x:v>
      </x:c>
      <x:c r="B8" t="n">
        <x:v>4</x:v>
      </x:c>
      <x:c r="C8" t="str">
        <x:v>DRV-003</x:v>
      </x:c>
      <x:c r="D8" t="str">
        <x:v>Alex Kim</x:v>
      </x:c>
      <x:c r="E8" t="str">
        <x:v>Compliance Status</x:v>
      </x:c>
      <x:c r="F8" t="str">
        <x:v>❌ TRUCK NEEDS SERVICE</x:v>
      </x:c>
      <x:c r="G8" t="str">
        <x:v>READY</x:v>
      </x:c>
      <x:c r="H8" t="str">
        <x:v>Reset after 2027 expiration cleanup</x:v>
      </x:c>
      <x:c r="I8" t="str">
        <x:v>Previous status may have been driven by stale expiry data.</x:v>
      </x:c>
    </x:row>
    <x:row r="9">
      <x:c r="A9" t="str">
        <x:v>Drivers_Clean</x:v>
      </x:c>
      <x:c r="B9" t="n">
        <x:v>5</x:v>
      </x:c>
      <x:c r="C9" t="str">
        <x:v>DRV-004</x:v>
      </x:c>
      <x:c r="D9" t="str">
        <x:v>Priya Patel</x:v>
      </x:c>
      <x:c r="E9" t="str">
        <x:v>MVR Expiration</x:v>
      </x:c>
      <x:c r="F9" t="str">
        <x:v>2027-03-19</x:v>
      </x:c>
      <x:c r="G9" t="str">
        <x:v>2027-03-06</x:v>
      </x:c>
      <x:c r="H9" t="str">
        <x:v>Updated from driver_templates_expanded2</x:v>
      </x:c>
      <x:c r="I9"/>
    </x:row>
    <x:row r="10">
      <x:c r="A10" t="str">
        <x:v>Drivers_Clean</x:v>
      </x:c>
      <x:c r="B10" t="n">
        <x:v>5</x:v>
      </x:c>
      <x:c r="C10" t="str">
        <x:v>DRV-004</x:v>
      </x:c>
      <x:c r="D10" t="str">
        <x:v>Priya Patel</x:v>
      </x:c>
      <x:c r="E10" t="str">
        <x:v>Compliance Status</x:v>
      </x:c>
      <x:c r="F10" t="str">
        <x:v>❌ TRUCK NEEDS SERVICE</x:v>
      </x:c>
      <x:c r="G10" t="str">
        <x:v>READY</x:v>
      </x:c>
      <x:c r="H10" t="str">
        <x:v>Reset after 2027 expiration cleanup</x:v>
      </x:c>
      <x:c r="I10" t="str">
        <x:v>Previous status may have been driven by stale expiry data.</x:v>
      </x:c>
    </x:row>
    <x:row r="11">
      <x:c r="A11" t="str">
        <x:v>Drivers_Clean</x:v>
      </x:c>
      <x:c r="B11" t="n">
        <x:v>6</x:v>
      </x:c>
      <x:c r="C11" t="str">
        <x:v>DRV-005</x:v>
      </x:c>
      <x:c r="D11" t="str">
        <x:v>Kenji Tanaka</x:v>
      </x:c>
      <x:c r="E11" t="str">
        <x:v>MVR Expiration</x:v>
      </x:c>
      <x:c r="F11" t="str">
        <x:v>2027-03-19</x:v>
      </x:c>
      <x:c r="G11" t="str">
        <x:v>2027-04-01</x:v>
      </x:c>
      <x:c r="H11" t="str">
        <x:v>Updated from driver_templates_expanded2</x:v>
      </x:c>
      <x:c r="I11"/>
    </x:row>
    <x:row r="12">
      <x:c r="A12" t="str">
        <x:v>Drivers_Clean</x:v>
      </x:c>
      <x:c r="B12" t="n">
        <x:v>6</x:v>
      </x:c>
      <x:c r="C12" t="str">
        <x:v>DRV-005</x:v>
      </x:c>
      <x:c r="D12" t="str">
        <x:v>Kenji Tanaka</x:v>
      </x:c>
      <x:c r="E12" t="str">
        <x:v>Compliance Status</x:v>
      </x:c>
      <x:c r="F12" t="str">
        <x:v>❌ TRUCK NEEDS SERVICE</x:v>
      </x:c>
      <x:c r="G12" t="str">
        <x:v>READY</x:v>
      </x:c>
      <x:c r="H12" t="str">
        <x:v>Reset after 2027 expiration cleanup</x:v>
      </x:c>
      <x:c r="I12" t="str">
        <x:v>Previous status may have been driven by stale expiry data.</x:v>
      </x:c>
    </x:row>
    <x:row r="13">
      <x:c r="A13" t="str">
        <x:v>Drivers_Clean</x:v>
      </x:c>
      <x:c r="B13" t="n">
        <x:v>7</x:v>
      </x:c>
      <x:c r="C13" t="str">
        <x:v>DRV-006</x:v>
      </x:c>
      <x:c r="D13" t="str">
        <x:v>Marcus Chen</x:v>
      </x:c>
      <x:c r="E13" t="str">
        <x:v>CDL Expiration Date</x:v>
      </x:c>
      <x:c r="F13" t="str">
        <x:v>2025-06-18</x:v>
      </x:c>
      <x:c r="G13" t="str">
        <x:v>2027-06-18</x:v>
      </x:c>
      <x:c r="H13" t="str">
        <x:v>Updated from driver_templates_expanded2</x:v>
      </x:c>
      <x:c r="I13"/>
    </x:row>
    <x:row r="14">
      <x:c r="A14" t="str">
        <x:v>Drivers_Clean</x:v>
      </x:c>
      <x:c r="B14" t="n">
        <x:v>7</x:v>
      </x:c>
      <x:c r="C14" t="str">
        <x:v>DRV-006</x:v>
      </x:c>
      <x:c r="D14" t="str">
        <x:v>Marcus Chen</x:v>
      </x:c>
      <x:c r="E14" t="str">
        <x:v>MVR Expiration</x:v>
      </x:c>
      <x:c r="F14" t="str">
        <x:v>2027-03-19</x:v>
      </x:c>
      <x:c r="G14" t="str">
        <x:v>2027-03-09</x:v>
      </x:c>
      <x:c r="H14" t="str">
        <x:v>Updated from driver_templates_expanded2</x:v>
      </x:c>
      <x:c r="I14"/>
    </x:row>
    <x:row r="15">
      <x:c r="A15" t="str">
        <x:v>Drivers_Clean</x:v>
      </x:c>
      <x:c r="B15" t="n">
        <x:v>7</x:v>
      </x:c>
      <x:c r="C15" t="str">
        <x:v>DRV-006</x:v>
      </x:c>
      <x:c r="D15" t="str">
        <x:v>Marcus Chen</x:v>
      </x:c>
      <x:c r="E15" t="str">
        <x:v>Compliance Status</x:v>
      </x:c>
      <x:c r="F15" t="str">
        <x:v>❌ CDL EXPIRED | TRUCK NEEDS SERVICE</x:v>
      </x:c>
      <x:c r="G15" t="str">
        <x:v>READY</x:v>
      </x:c>
      <x:c r="H15" t="str">
        <x:v>Reset after 2027 expiration cleanup</x:v>
      </x:c>
      <x:c r="I15" t="str">
        <x:v>Previous status may have been driven by stale expiry data.</x:v>
      </x:c>
    </x:row>
    <x:row r="16">
      <x:c r="A16" t="str">
        <x:v>Drivers_Clean</x:v>
      </x:c>
      <x:c r="B16" t="n">
        <x:v>8</x:v>
      </x:c>
      <x:c r="C16" t="str">
        <x:v>DRV-007</x:v>
      </x:c>
      <x:c r="D16" t="str">
        <x:v>Sofia Gomez</x:v>
      </x:c>
      <x:c r="E16" t="str">
        <x:v>Medical Card Expiration</x:v>
      </x:c>
      <x:c r="F16" t="str">
        <x:v>2025-03-23</x:v>
      </x:c>
      <x:c r="G16" t="str">
        <x:v>2027-03-23</x:v>
      </x:c>
      <x:c r="H16" t="str">
        <x:v>Updated from driver_templates_expanded2</x:v>
      </x:c>
      <x:c r="I16"/>
    </x:row>
    <x:row r="17">
      <x:c r="A17" t="str">
        <x:v>Drivers_Clean</x:v>
      </x:c>
      <x:c r="B17" t="n">
        <x:v>8</x:v>
      </x:c>
      <x:c r="C17" t="str">
        <x:v>DRV-007</x:v>
      </x:c>
      <x:c r="D17" t="str">
        <x:v>Sofia Gomez</x:v>
      </x:c>
      <x:c r="E17" t="str">
        <x:v>MVR Expiration</x:v>
      </x:c>
      <x:c r="F17" t="str">
        <x:v>2027-03-19</x:v>
      </x:c>
      <x:c r="G17" t="str">
        <x:v>2027-03-10</x:v>
      </x:c>
      <x:c r="H17" t="str">
        <x:v>Updated from driver_templates_expanded2</x:v>
      </x:c>
      <x:c r="I17"/>
    </x:row>
    <x:row r="18">
      <x:c r="A18" t="str">
        <x:v>Drivers_Clean</x:v>
      </x:c>
      <x:c r="B18" t="n">
        <x:v>8</x:v>
      </x:c>
      <x:c r="C18" t="str">
        <x:v>DRV-007</x:v>
      </x:c>
      <x:c r="D18" t="str">
        <x:v>Sofia Gomez</x:v>
      </x:c>
      <x:c r="E18" t="str">
        <x:v>Compliance Status</x:v>
      </x:c>
      <x:c r="F18" t="str">
        <x:v>❌ MED CARD EXPIRED</x:v>
      </x:c>
      <x:c r="G18" t="str">
        <x:v>READY</x:v>
      </x:c>
      <x:c r="H18" t="str">
        <x:v>Reset after 2027 expiration cleanup</x:v>
      </x:c>
      <x:c r="I18" t="str">
        <x:v>Previous status may have been driven by stale expiry data.</x:v>
      </x:c>
    </x:row>
    <x:row r="19">
      <x:c r="A19" t="str">
        <x:v>Drivers_Clean</x:v>
      </x:c>
      <x:c r="B19" t="n">
        <x:v>9</x:v>
      </x:c>
      <x:c r="C19" t="str">
        <x:v>DRV-008</x:v>
      </x:c>
      <x:c r="D19" t="str">
        <x:v>Liam Smith</x:v>
      </x:c>
      <x:c r="E19" t="str">
        <x:v>MVR Expiration</x:v>
      </x:c>
      <x:c r="F19" t="str">
        <x:v>2027-03-19</x:v>
      </x:c>
      <x:c r="G19" t="str">
        <x:v>2027-03-06</x:v>
      </x:c>
      <x:c r="H19" t="str">
        <x:v>Updated from driver_templates_expanded2</x:v>
      </x:c>
      <x:c r="I19"/>
    </x:row>
    <x:row r="20">
      <x:c r="A20" t="str">
        <x:v>Drivers_Clean</x:v>
      </x:c>
      <x:c r="B20" t="n">
        <x:v>9</x:v>
      </x:c>
      <x:c r="C20" t="str">
        <x:v>DRV-008</x:v>
      </x:c>
      <x:c r="D20" t="str">
        <x:v>Liam Smith</x:v>
      </x:c>
      <x:c r="E20" t="str">
        <x:v>Compliance Status</x:v>
      </x:c>
      <x:c r="F20" t="str">
        <x:v>❌ TRUCK NEEDS SERVICE</x:v>
      </x:c>
      <x:c r="G20" t="str">
        <x:v>READY</x:v>
      </x:c>
      <x:c r="H20" t="str">
        <x:v>Reset after 2027 expiration cleanup</x:v>
      </x:c>
      <x:c r="I20" t="str">
        <x:v>Previous status may have been driven by stale expiry data.</x:v>
      </x:c>
    </x:row>
    <x:row r="21">
      <x:c r="A21" t="str">
        <x:v>Drivers_Clean</x:v>
      </x:c>
      <x:c r="B21" t="n">
        <x:v>10</x:v>
      </x:c>
      <x:c r="C21" t="str">
        <x:v>DRV-009</x:v>
      </x:c>
      <x:c r="D21" t="str">
        <x:v>Emma Brown</x:v>
      </x:c>
      <x:c r="E21" t="str">
        <x:v>MVR Expiration</x:v>
      </x:c>
      <x:c r="F21" t="str">
        <x:v>2027-03-19</x:v>
      </x:c>
      <x:c r="G21" t="str">
        <x:v>2027-03-05</x:v>
      </x:c>
      <x:c r="H21" t="str">
        <x:v>Updated from driver_templates_expanded2</x:v>
      </x:c>
      <x:c r="I21"/>
    </x:row>
    <x:row r="22">
      <x:c r="A22" t="str">
        <x:v>Drivers_Clean</x:v>
      </x:c>
      <x:c r="B22" t="n">
        <x:v>10</x:v>
      </x:c>
      <x:c r="C22" t="str">
        <x:v>DRV-009</x:v>
      </x:c>
      <x:c r="D22" t="str">
        <x:v>Emma Brown</x:v>
      </x:c>
      <x:c r="E22" t="str">
        <x:v>Compliance Status</x:v>
      </x:c>
      <x:c r="F22" t="str">
        <x:v>❌ TRUCK NEEDS SERVICE</x:v>
      </x:c>
      <x:c r="G22" t="str">
        <x:v>READY</x:v>
      </x:c>
      <x:c r="H22" t="str">
        <x:v>Reset after 2027 expiration cleanup</x:v>
      </x:c>
      <x:c r="I22" t="str">
        <x:v>Previous status may have been driven by stale expiry data.</x:v>
      </x:c>
    </x:row>
    <x:row r="23">
      <x:c r="A23" t="str">
        <x:v>Drivers_Clean</x:v>
      </x:c>
      <x:c r="B23" t="n">
        <x:v>11</x:v>
      </x:c>
      <x:c r="C23" t="str">
        <x:v>DRV-010</x:v>
      </x:c>
      <x:c r="D23" t="str">
        <x:v>Noah Wilson</x:v>
      </x:c>
      <x:c r="E23" t="str">
        <x:v>MVR Expiration</x:v>
      </x:c>
      <x:c r="F23" t="str">
        <x:v>2027-03-19</x:v>
      </x:c>
      <x:c r="G23" t="str">
        <x:v>2027-04-04</x:v>
      </x:c>
      <x:c r="H23" t="str">
        <x:v>Updated from driver_templates_expanded2</x:v>
      </x:c>
      <x:c r="I23"/>
    </x:row>
    <x:row r="24">
      <x:c r="A24" t="str">
        <x:v>Drivers_Clean</x:v>
      </x:c>
      <x:c r="B24" t="n">
        <x:v>11</x:v>
      </x:c>
      <x:c r="C24" t="str">
        <x:v>DRV-010</x:v>
      </x:c>
      <x:c r="D24" t="str">
        <x:v>Noah Wilson</x:v>
      </x:c>
      <x:c r="E24" t="str">
        <x:v>Compliance Status</x:v>
      </x:c>
      <x:c r="F24" t="str">
        <x:v>✅ COMPLIANT</x:v>
      </x:c>
      <x:c r="G24" t="str">
        <x:v>READY</x:v>
      </x:c>
      <x:c r="H24" t="str">
        <x:v>Reset after 2027 expiration cleanup</x:v>
      </x:c>
      <x:c r="I24" t="str">
        <x:v>Previous status may have been driven by stale expiry data.</x:v>
      </x:c>
    </x:row>
    <x:row r="25">
      <x:c r="A25" t="str">
        <x:v>Drivers_Clean</x:v>
      </x:c>
      <x:c r="B25" t="n">
        <x:v>12</x:v>
      </x:c>
      <x:c r="C25" t="str">
        <x:v>DRV-011</x:v>
      </x:c>
      <x:c r="D25" t="str">
        <x:v>Olivia Lee</x:v>
      </x:c>
      <x:c r="E25" t="str">
        <x:v>MVR Expiration</x:v>
      </x:c>
      <x:c r="F25" t="str">
        <x:v>2027-03-19</x:v>
      </x:c>
      <x:c r="G25" t="str">
        <x:v>2027-04-07</x:v>
      </x:c>
      <x:c r="H25" t="str">
        <x:v>Updated from driver_templates_expanded2</x:v>
      </x:c>
      <x:c r="I25"/>
    </x:row>
    <x:row r="26">
      <x:c r="A26" t="str">
        <x:v>Drivers_Clean</x:v>
      </x:c>
      <x:c r="B26" t="n">
        <x:v>12</x:v>
      </x:c>
      <x:c r="C26" t="str">
        <x:v>DRV-011</x:v>
      </x:c>
      <x:c r="D26" t="str">
        <x:v>Olivia Lee</x:v>
      </x:c>
      <x:c r="E26" t="str">
        <x:v>Compliance Status</x:v>
      </x:c>
      <x:c r="F26" t="str">
        <x:v>✅ COMPLIANT</x:v>
      </x:c>
      <x:c r="G26" t="str">
        <x:v>READY</x:v>
      </x:c>
      <x:c r="H26" t="str">
        <x:v>Reset after 2027 expiration cleanup</x:v>
      </x:c>
      <x:c r="I26" t="str">
        <x:v>Previous status may have been driven by stale expiry data.</x:v>
      </x:c>
    </x:row>
    <x:row r="27">
      <x:c r="A27" t="str">
        <x:v>Drivers_Clean</x:v>
      </x:c>
      <x:c r="B27" t="n">
        <x:v>13</x:v>
      </x:c>
      <x:c r="C27" t="str">
        <x:v>DRV-012</x:v>
      </x:c>
      <x:c r="D27" t="str">
        <x:v>Robert Johnson</x:v>
      </x:c>
      <x:c r="E27" t="str">
        <x:v>Phone Number</x:v>
      </x:c>
      <x:c r="F27" t="str">
        <x:v>618-555-0100</x:v>
      </x:c>
      <x:c r="G27" t="str">
        <x:v>618-555-0101</x:v>
      </x:c>
      <x:c r="H27" t="str">
        <x:v>Updated from driver_templates_expanded2</x:v>
      </x:c>
      <x:c r="I27"/>
    </x:row>
    <x:row r="28">
      <x:c r="A28" t="str">
        <x:v>Drivers_Clean</x:v>
      </x:c>
      <x:c r="B28" t="n">
        <x:v>13</x:v>
      </x:c>
      <x:c r="C28" t="str">
        <x:v>DRV-012</x:v>
      </x:c>
      <x:c r="D28" t="str">
        <x:v>Robert Johnson</x:v>
      </x:c>
      <x:c r="E28" t="str">
        <x:v>Address</x:v>
      </x:c>
      <x:c r="F28" t="str">
        <x:v>1040 Demo Street, Akron, OH 44308</x:v>
      </x:c>
      <x:c r="G28" t="str">
        <x:v>920 Demo Street, Chicago, IL 60605</x:v>
      </x:c>
      <x:c r="H28" t="str">
        <x:v>Updated from driver_templates_expanded2</x:v>
      </x:c>
      <x:c r="I28"/>
    </x:row>
    <x:row r="29">
      <x:c r="A29" t="str">
        <x:v>Drivers_Clean</x:v>
      </x:c>
      <x:c r="B29" t="n">
        <x:v>13</x:v>
      </x:c>
      <x:c r="C29" t="str">
        <x:v>DRV-012</x:v>
      </x:c>
      <x:c r="D29" t="str">
        <x:v>Robert Johnson</x:v>
      </x:c>
      <x:c r="E29" t="str">
        <x:v>CDL Expiration Date</x:v>
      </x:c>
      <x:c r="F29" t="str">
        <x:v>2026-04-23</x:v>
      </x:c>
      <x:c r="G29" t="str">
        <x:v>2027-11-15</x:v>
      </x:c>
      <x:c r="H29" t="str">
        <x:v>Updated from driver_templates_expanded2</x:v>
      </x:c>
      <x:c r="I29"/>
    </x:row>
    <x:row r="30">
      <x:c r="A30" t="str">
        <x:v>Drivers_Clean</x:v>
      </x:c>
      <x:c r="B30" t="n">
        <x:v>13</x:v>
      </x:c>
      <x:c r="C30" t="str">
        <x:v>DRV-012</x:v>
      </x:c>
      <x:c r="D30" t="str">
        <x:v>Robert Johnson</x:v>
      </x:c>
      <x:c r="E30" t="str">
        <x:v>Medical Card Expiration</x:v>
      </x:c>
      <x:c r="F30" t="str">
        <x:v>2026-01-20</x:v>
      </x:c>
      <x:c r="G30" t="str">
        <x:v>2027-08-10</x:v>
      </x:c>
      <x:c r="H30" t="str">
        <x:v>Updated from driver_templates_expanded2</x:v>
      </x:c>
      <x:c r="I30"/>
    </x:row>
    <x:row r="31">
      <x:c r="A31" t="str">
        <x:v>Drivers_Clean</x:v>
      </x:c>
      <x:c r="B31" t="n">
        <x:v>13</x:v>
      </x:c>
      <x:c r="C31" t="str">
        <x:v>DRV-012</x:v>
      </x:c>
      <x:c r="D31" t="str">
        <x:v>Robert Johnson</x:v>
      </x:c>
      <x:c r="E31" t="str">
        <x:v>MVR Expiration</x:v>
      </x:c>
      <x:c r="F31" t="str">
        <x:v>2025-12-06</x:v>
      </x:c>
      <x:c r="G31" t="str">
        <x:v>2027-05-12</x:v>
      </x:c>
      <x:c r="H31" t="str">
        <x:v>Updated from driver_templates_expanded2</x:v>
      </x:c>
      <x:c r="I31"/>
    </x:row>
    <x:row r="32">
      <x:c r="A32" t="str">
        <x:v>Drivers_Clean</x:v>
      </x:c>
      <x:c r="B32" t="n">
        <x:v>13</x:v>
      </x:c>
      <x:c r="C32" t="str">
        <x:v>DRV-012</x:v>
      </x:c>
      <x:c r="D32" t="str">
        <x:v>Robert Johnson</x:v>
      </x:c>
      <x:c r="E32" t="str">
        <x:v>Compliance Status</x:v>
      </x:c>
      <x:c r="F32" t="str">
        <x:v>❌ MED CARD EXPIRED | MVR EXPIRED</x:v>
      </x:c>
      <x:c r="G32" t="str">
        <x:v>READY</x:v>
      </x:c>
      <x:c r="H32" t="str">
        <x:v>Reset after 2027 expiration cleanup</x:v>
      </x:c>
      <x:c r="I32" t="str">
        <x:v>Previous status may have been driven by stale expiry data.</x:v>
      </x:c>
    </x:row>
    <x:row r="33">
      <x:c r="A33" t="str">
        <x:v>Vercel_Drivers</x:v>
      </x:c>
      <x:c r="B33" t="n">
        <x:v>2</x:v>
      </x:c>
      <x:c r="C33" t="str">
        <x:v>DRV-001</x:v>
      </x:c>
      <x:c r="D33" t="str">
        <x:v>John Carter</x:v>
      </x:c>
      <x:c r="E33" t="str">
        <x:v>Medical Card Expiration</x:v>
      </x:c>
      <x:c r="F33" t="str">
        <x:v>2026-03-13</x:v>
      </x:c>
      <x:c r="G33" t="str">
        <x:v>2027-09-08</x:v>
      </x:c>
      <x:c r="H33" t="str">
        <x:v>Updated from driver_templates_expanded2</x:v>
      </x:c>
      <x:c r="I33"/>
    </x:row>
    <x:row r="34">
      <x:c r="A34" t="str">
        <x:v>Vercel_Drivers</x:v>
      </x:c>
      <x:c r="B34" t="n">
        <x:v>2</x:v>
      </x:c>
      <x:c r="C34" t="str">
        <x:v>DRV-001</x:v>
      </x:c>
      <x:c r="D34" t="str">
        <x:v>John Carter</x:v>
      </x:c>
      <x:c r="E34" t="str">
        <x:v>MVR Expiration</x:v>
      </x:c>
      <x:c r="F34" t="str">
        <x:v>2026-02-27</x:v>
      </x:c>
      <x:c r="G34" t="str">
        <x:v>2027-10-17</x:v>
      </x:c>
      <x:c r="H34" t="str">
        <x:v>Updated from driver_templates_expanded2</x:v>
      </x:c>
      <x:c r="I34"/>
    </x:row>
    <x:row r="35">
      <x:c r="A35" t="str">
        <x:v>Vercel_Drivers</x:v>
      </x:c>
      <x:c r="B35" t="n">
        <x:v>2</x:v>
      </x:c>
      <x:c r="C35" t="str">
        <x:v>DRV-001</x:v>
      </x:c>
      <x:c r="D35" t="str">
        <x:v>John Carter</x:v>
      </x:c>
      <x:c r="E35" t="str">
        <x:v>Compliance Status</x:v>
      </x:c>
      <x:c r="F35" t="str">
        <x:v>❌ MED CARD EXPIRED | MVR EXPIRED | TRUCK NEEDS SERVICE</x:v>
      </x:c>
      <x:c r="G35" t="str">
        <x:v>⚠️ TRUCK NEEDS SERVICE</x:v>
      </x:c>
      <x:c r="H35" t="str">
        <x:v>Cleaned stale expiration flags</x:v>
      </x:c>
      <x:c r="I35" t="str">
        <x:v>Removed MED CARD/CDL/MVR expired flags after 2027 source correction.</x:v>
      </x:c>
    </x:row>
    <x:row r="36">
      <x:c r="A36" t="str">
        <x:v>Vercel_Drivers</x:v>
      </x:c>
      <x:c r="B36" t="n">
        <x:v>3</x:v>
      </x:c>
      <x:c r="C36" t="str">
        <x:v>DRV-002</x:v>
      </x:c>
      <x:c r="D36" t="str">
        <x:v>Maria Lopez</x:v>
      </x:c>
      <x:c r="E36" t="str">
        <x:v>MVR Expiration</x:v>
      </x:c>
      <x:c r="F36" t="str">
        <x:v>2027-03-19</x:v>
      </x:c>
      <x:c r="G36" t="str">
        <x:v>2027-03-09</x:v>
      </x:c>
      <x:c r="H36" t="str">
        <x:v>Updated from driver_templates_expanded2</x:v>
      </x:c>
      <x:c r="I36"/>
    </x:row>
    <x:row r="37">
      <x:c r="A37" t="str">
        <x:v>Vercel_Drivers</x:v>
      </x:c>
      <x:c r="B37" t="n">
        <x:v>3</x:v>
      </x:c>
      <x:c r="C37" t="str">
        <x:v>DRV-002</x:v>
      </x:c>
      <x:c r="D37" t="str">
        <x:v>Maria Lopez</x:v>
      </x:c>
      <x:c r="E37" t="str">
        <x:v>Compliance Status</x:v>
      </x:c>
      <x:c r="F37" t="str">
        <x:v>❌ TRUCK NEEDS SERVICE</x:v>
      </x:c>
      <x:c r="G37" t="str">
        <x:v>⚠️ TRUCK NEEDS SERVICE</x:v>
      </x:c>
      <x:c r="H37" t="str">
        <x:v>Cleaned stale expiration flags</x:v>
      </x:c>
      <x:c r="I37" t="str">
        <x:v>Removed MED CARD/CDL/MVR expired flags after 2027 source correction.</x:v>
      </x:c>
    </x:row>
    <x:row r="38">
      <x:c r="A38" t="str">
        <x:v>Vercel_Drivers</x:v>
      </x:c>
      <x:c r="B38" t="n">
        <x:v>4</x:v>
      </x:c>
      <x:c r="C38" t="str">
        <x:v>DRV-003</x:v>
      </x:c>
      <x:c r="D38" t="str">
        <x:v>Alex Kim</x:v>
      </x:c>
      <x:c r="E38" t="str">
        <x:v>MVR Expiration</x:v>
      </x:c>
      <x:c r="F38" t="str">
        <x:v>2027-03-19</x:v>
      </x:c>
      <x:c r="G38" t="str">
        <x:v>2027-03-03</x:v>
      </x:c>
      <x:c r="H38" t="str">
        <x:v>Updated from driver_templates_expanded2</x:v>
      </x:c>
      <x:c r="I38"/>
    </x:row>
    <x:row r="39">
      <x:c r="A39" t="str">
        <x:v>Vercel_Drivers</x:v>
      </x:c>
      <x:c r="B39" t="n">
        <x:v>4</x:v>
      </x:c>
      <x:c r="C39" t="str">
        <x:v>DRV-003</x:v>
      </x:c>
      <x:c r="D39" t="str">
        <x:v>Alex Kim</x:v>
      </x:c>
      <x:c r="E39" t="str">
        <x:v>Compliance Status</x:v>
      </x:c>
      <x:c r="F39" t="str">
        <x:v>❌ TRUCK NEEDS SERVICE</x:v>
      </x:c>
      <x:c r="G39" t="str">
        <x:v>⚠️ TRUCK NEEDS SERVICE</x:v>
      </x:c>
      <x:c r="H39" t="str">
        <x:v>Cleaned stale expiration flags</x:v>
      </x:c>
      <x:c r="I39" t="str">
        <x:v>Removed MED CARD/CDL/MVR expired flags after 2027 source correction.</x:v>
      </x:c>
    </x:row>
    <x:row r="40">
      <x:c r="A40" t="str">
        <x:v>Vercel_Drivers</x:v>
      </x:c>
      <x:c r="B40" t="n">
        <x:v>5</x:v>
      </x:c>
      <x:c r="C40" t="str">
        <x:v>DRV-004</x:v>
      </x:c>
      <x:c r="D40" t="str">
        <x:v>Priya Patel</x:v>
      </x:c>
      <x:c r="E40" t="str">
        <x:v>MVR Expiration</x:v>
      </x:c>
      <x:c r="F40" t="str">
        <x:v>2027-03-19</x:v>
      </x:c>
      <x:c r="G40" t="str">
        <x:v>2027-03-06</x:v>
      </x:c>
      <x:c r="H40" t="str">
        <x:v>Updated from driver_templates_expanded2</x:v>
      </x:c>
      <x:c r="I40"/>
    </x:row>
    <x:row r="41">
      <x:c r="A41" t="str">
        <x:v>Vercel_Drivers</x:v>
      </x:c>
      <x:c r="B41" t="n">
        <x:v>5</x:v>
      </x:c>
      <x:c r="C41" t="str">
        <x:v>DRV-004</x:v>
      </x:c>
      <x:c r="D41" t="str">
        <x:v>Priya Patel</x:v>
      </x:c>
      <x:c r="E41" t="str">
        <x:v>Compliance Status</x:v>
      </x:c>
      <x:c r="F41" t="str">
        <x:v>❌ TRUCK NEEDS SERVICE</x:v>
      </x:c>
      <x:c r="G41" t="str">
        <x:v>⚠️ TRUCK NEEDS SERVICE</x:v>
      </x:c>
      <x:c r="H41" t="str">
        <x:v>Cleaned stale expiration flags</x:v>
      </x:c>
      <x:c r="I41" t="str">
        <x:v>Removed MED CARD/CDL/MVR expired flags after 2027 source correction.</x:v>
      </x:c>
    </x:row>
    <x:row r="42">
      <x:c r="A42" t="str">
        <x:v>Vercel_Drivers</x:v>
      </x:c>
      <x:c r="B42" t="n">
        <x:v>6</x:v>
      </x:c>
      <x:c r="C42" t="str">
        <x:v>DRV-005</x:v>
      </x:c>
      <x:c r="D42" t="str">
        <x:v>Kenji Tanaka</x:v>
      </x:c>
      <x:c r="E42" t="str">
        <x:v>MVR Expiration</x:v>
      </x:c>
      <x:c r="F42" t="str">
        <x:v>2027-03-19</x:v>
      </x:c>
      <x:c r="G42" t="str">
        <x:v>2027-04-01</x:v>
      </x:c>
      <x:c r="H42" t="str">
        <x:v>Updated from driver_templates_expanded2</x:v>
      </x:c>
      <x:c r="I42"/>
    </x:row>
    <x:row r="43">
      <x:c r="A43" t="str">
        <x:v>Vercel_Drivers</x:v>
      </x:c>
      <x:c r="B43" t="n">
        <x:v>6</x:v>
      </x:c>
      <x:c r="C43" t="str">
        <x:v>DRV-005</x:v>
      </x:c>
      <x:c r="D43" t="str">
        <x:v>Kenji Tanaka</x:v>
      </x:c>
      <x:c r="E43" t="str">
        <x:v>Compliance Status</x:v>
      </x:c>
      <x:c r="F43" t="str">
        <x:v>❌ TRUCK NEEDS SERVICE</x:v>
      </x:c>
      <x:c r="G43" t="str">
        <x:v>⚠️ TRUCK NEEDS SERVICE</x:v>
      </x:c>
      <x:c r="H43" t="str">
        <x:v>Cleaned stale expiration flags</x:v>
      </x:c>
      <x:c r="I43" t="str">
        <x:v>Removed MED CARD/CDL/MVR expired flags after 2027 source correction.</x:v>
      </x:c>
    </x:row>
    <x:row r="44">
      <x:c r="A44" t="str">
        <x:v>Vercel_Drivers</x:v>
      </x:c>
      <x:c r="B44" t="n">
        <x:v>7</x:v>
      </x:c>
      <x:c r="C44" t="str">
        <x:v>DRV-006</x:v>
      </x:c>
      <x:c r="D44" t="str">
        <x:v>Marcus Chen</x:v>
      </x:c>
      <x:c r="E44" t="str">
        <x:v>CDL Expiration Date</x:v>
      </x:c>
      <x:c r="F44" t="str">
        <x:v>2025-06-18</x:v>
      </x:c>
      <x:c r="G44" t="str">
        <x:v>2027-06-18</x:v>
      </x:c>
      <x:c r="H44" t="str">
        <x:v>Updated from driver_templates_expanded2</x:v>
      </x:c>
      <x:c r="I44"/>
    </x:row>
    <x:row r="45">
      <x:c r="A45" t="str">
        <x:v>Vercel_Drivers</x:v>
      </x:c>
      <x:c r="B45" t="n">
        <x:v>7</x:v>
      </x:c>
      <x:c r="C45" t="str">
        <x:v>DRV-006</x:v>
      </x:c>
      <x:c r="D45" t="str">
        <x:v>Marcus Chen</x:v>
      </x:c>
      <x:c r="E45" t="str">
        <x:v>MVR Expiration</x:v>
      </x:c>
      <x:c r="F45" t="str">
        <x:v>2027-03-19</x:v>
      </x:c>
      <x:c r="G45" t="str">
        <x:v>2027-03-09</x:v>
      </x:c>
      <x:c r="H45" t="str">
        <x:v>Updated from driver_templates_expanded2</x:v>
      </x:c>
      <x:c r="I45"/>
    </x:row>
    <x:row r="46">
      <x:c r="A46" t="str">
        <x:v>Vercel_Drivers</x:v>
      </x:c>
      <x:c r="B46" t="n">
        <x:v>7</x:v>
      </x:c>
      <x:c r="C46" t="str">
        <x:v>DRV-006</x:v>
      </x:c>
      <x:c r="D46" t="str">
        <x:v>Marcus Chen</x:v>
      </x:c>
      <x:c r="E46" t="str">
        <x:v>Compliance Status</x:v>
      </x:c>
      <x:c r="F46" t="str">
        <x:v>❌ CDL EXPIRED | TRUCK NEEDS SERVICE</x:v>
      </x:c>
      <x:c r="G46" t="str">
        <x:v>⚠️ TRUCK NEEDS SERVICE</x:v>
      </x:c>
      <x:c r="H46" t="str">
        <x:v>Cleaned stale expiration flags</x:v>
      </x:c>
      <x:c r="I46" t="str">
        <x:v>Removed MED CARD/CDL/MVR expired flags after 2027 source correction.</x:v>
      </x:c>
    </x:row>
    <x:row r="47">
      <x:c r="A47" t="str">
        <x:v>Vercel_Drivers</x:v>
      </x:c>
      <x:c r="B47" t="n">
        <x:v>8</x:v>
      </x:c>
      <x:c r="C47" t="str">
        <x:v>DRV-007</x:v>
      </x:c>
      <x:c r="D47" t="str">
        <x:v>Sofia Gomez</x:v>
      </x:c>
      <x:c r="E47" t="str">
        <x:v>Medical Card Expiration</x:v>
      </x:c>
      <x:c r="F47" t="str">
        <x:v>2025-03-23</x:v>
      </x:c>
      <x:c r="G47" t="str">
        <x:v>2027-03-23</x:v>
      </x:c>
      <x:c r="H47" t="str">
        <x:v>Updated from driver_templates_expanded2</x:v>
      </x:c>
      <x:c r="I47"/>
    </x:row>
    <x:row r="48">
      <x:c r="A48" t="str">
        <x:v>Vercel_Drivers</x:v>
      </x:c>
      <x:c r="B48" t="n">
        <x:v>8</x:v>
      </x:c>
      <x:c r="C48" t="str">
        <x:v>DRV-007</x:v>
      </x:c>
      <x:c r="D48" t="str">
        <x:v>Sofia Gomez</x:v>
      </x:c>
      <x:c r="E48" t="str">
        <x:v>MVR Expiration</x:v>
      </x:c>
      <x:c r="F48" t="str">
        <x:v>2027-03-19</x:v>
      </x:c>
      <x:c r="G48" t="str">
        <x:v>2027-03-10</x:v>
      </x:c>
      <x:c r="H48" t="str">
        <x:v>Updated from driver_templates_expanded2</x:v>
      </x:c>
      <x:c r="I48"/>
    </x:row>
    <x:row r="49">
      <x:c r="A49" t="str">
        <x:v>Vercel_Drivers</x:v>
      </x:c>
      <x:c r="B49" t="n">
        <x:v>8</x:v>
      </x:c>
      <x:c r="C49" t="str">
        <x:v>DRV-007</x:v>
      </x:c>
      <x:c r="D49" t="str">
        <x:v>Sofia Gomez</x:v>
      </x:c>
      <x:c r="E49" t="str">
        <x:v>Compliance Status</x:v>
      </x:c>
      <x:c r="F49" t="str">
        <x:v>❌ MED CARD EXPIRED</x:v>
      </x:c>
      <x:c r="G49" t="str">
        <x:v>READY</x:v>
      </x:c>
      <x:c r="H49" t="str">
        <x:v>Cleaned stale expiration flags</x:v>
      </x:c>
      <x:c r="I49" t="str">
        <x:v>Removed MED CARD/CDL/MVR expired flags after 2027 source correction.</x:v>
      </x:c>
    </x:row>
    <x:row r="50">
      <x:c r="A50" t="str">
        <x:v>Vercel_Drivers</x:v>
      </x:c>
      <x:c r="B50" t="n">
        <x:v>9</x:v>
      </x:c>
      <x:c r="C50" t="str">
        <x:v>DRV-008</x:v>
      </x:c>
      <x:c r="D50" t="str">
        <x:v>Liam Smith</x:v>
      </x:c>
      <x:c r="E50" t="str">
        <x:v>MVR Expiration</x:v>
      </x:c>
      <x:c r="F50" t="str">
        <x:v>2027-03-19</x:v>
      </x:c>
      <x:c r="G50" t="str">
        <x:v>2027-03-06</x:v>
      </x:c>
      <x:c r="H50" t="str">
        <x:v>Updated from driver_templates_expanded2</x:v>
      </x:c>
      <x:c r="I50"/>
    </x:row>
    <x:row r="51">
      <x:c r="A51" t="str">
        <x:v>Vercel_Drivers</x:v>
      </x:c>
      <x:c r="B51" t="n">
        <x:v>9</x:v>
      </x:c>
      <x:c r="C51" t="str">
        <x:v>DRV-008</x:v>
      </x:c>
      <x:c r="D51" t="str">
        <x:v>Liam Smith</x:v>
      </x:c>
      <x:c r="E51" t="str">
        <x:v>Compliance Status</x:v>
      </x:c>
      <x:c r="F51" t="str">
        <x:v>❌ TRUCK NEEDS SERVICE</x:v>
      </x:c>
      <x:c r="G51" t="str">
        <x:v>⚠️ TRUCK NEEDS SERVICE</x:v>
      </x:c>
      <x:c r="H51" t="str">
        <x:v>Cleaned stale expiration flags</x:v>
      </x:c>
      <x:c r="I51" t="str">
        <x:v>Removed MED CARD/CDL/MVR expired flags after 2027 source correction.</x:v>
      </x:c>
    </x:row>
    <x:row r="52">
      <x:c r="A52" t="str">
        <x:v>Vercel_Drivers</x:v>
      </x:c>
      <x:c r="B52" t="n">
        <x:v>10</x:v>
      </x:c>
      <x:c r="C52" t="str">
        <x:v>DRV-009</x:v>
      </x:c>
      <x:c r="D52" t="str">
        <x:v>Emma Brown</x:v>
      </x:c>
      <x:c r="E52" t="str">
        <x:v>MVR Expiration</x:v>
      </x:c>
      <x:c r="F52" t="str">
        <x:v>2027-03-19</x:v>
      </x:c>
      <x:c r="G52" t="str">
        <x:v>2027-03-05</x:v>
      </x:c>
      <x:c r="H52" t="str">
        <x:v>Updated from driver_templates_expanded2</x:v>
      </x:c>
      <x:c r="I52"/>
    </x:row>
    <x:row r="53">
      <x:c r="A53" t="str">
        <x:v>Vercel_Drivers</x:v>
      </x:c>
      <x:c r="B53" t="n">
        <x:v>10</x:v>
      </x:c>
      <x:c r="C53" t="str">
        <x:v>DRV-009</x:v>
      </x:c>
      <x:c r="D53" t="str">
        <x:v>Emma Brown</x:v>
      </x:c>
      <x:c r="E53" t="str">
        <x:v>Compliance Status</x:v>
      </x:c>
      <x:c r="F53" t="str">
        <x:v>❌ TRUCK NEEDS SERVICE</x:v>
      </x:c>
      <x:c r="G53" t="str">
        <x:v>⚠️ TRUCK NEEDS SERVICE</x:v>
      </x:c>
      <x:c r="H53" t="str">
        <x:v>Cleaned stale expiration flags</x:v>
      </x:c>
      <x:c r="I53" t="str">
        <x:v>Removed MED CARD/CDL/MVR expired flags after 2027 source correction.</x:v>
      </x:c>
    </x:row>
    <x:row r="54">
      <x:c r="A54" t="str">
        <x:v>Vercel_Drivers</x:v>
      </x:c>
      <x:c r="B54" t="n">
        <x:v>11</x:v>
      </x:c>
      <x:c r="C54" t="str">
        <x:v>DRV-010</x:v>
      </x:c>
      <x:c r="D54" t="str">
        <x:v>Noah Wilson</x:v>
      </x:c>
      <x:c r="E54" t="str">
        <x:v>MVR Expiration</x:v>
      </x:c>
      <x:c r="F54" t="str">
        <x:v>2027-03-19</x:v>
      </x:c>
      <x:c r="G54" t="str">
        <x:v>2027-04-04</x:v>
      </x:c>
      <x:c r="H54" t="str">
        <x:v>Updated from driver_templates_expanded2</x:v>
      </x:c>
      <x:c r="I54"/>
    </x:row>
    <x:row r="55">
      <x:c r="A55" t="str">
        <x:v>Vercel_Drivers</x:v>
      </x:c>
      <x:c r="B55" t="n">
        <x:v>11</x:v>
      </x:c>
      <x:c r="C55" t="str">
        <x:v>DRV-010</x:v>
      </x:c>
      <x:c r="D55" t="str">
        <x:v>Noah Wilson</x:v>
      </x:c>
      <x:c r="E55" t="str">
        <x:v>Compliance Status</x:v>
      </x:c>
      <x:c r="F55" t="str">
        <x:v>✅ COMPLIANT</x:v>
      </x:c>
      <x:c r="G55" t="str">
        <x:v>READY</x:v>
      </x:c>
      <x:c r="H55" t="str">
        <x:v>Cleaned stale expiration flags</x:v>
      </x:c>
      <x:c r="I55" t="str">
        <x:v>Removed MED CARD/CDL/MVR expired flags after 2027 source correction.</x:v>
      </x:c>
    </x:row>
    <x:row r="56">
      <x:c r="A56" t="str">
        <x:v>Vercel_Drivers</x:v>
      </x:c>
      <x:c r="B56" t="n">
        <x:v>12</x:v>
      </x:c>
      <x:c r="C56" t="str">
        <x:v>DRV-011</x:v>
      </x:c>
      <x:c r="D56" t="str">
        <x:v>Olivia Lee</x:v>
      </x:c>
      <x:c r="E56" t="str">
        <x:v>MVR Expiration</x:v>
      </x:c>
      <x:c r="F56" t="str">
        <x:v>2027-03-19</x:v>
      </x:c>
      <x:c r="G56" t="str">
        <x:v>2027-04-07</x:v>
      </x:c>
      <x:c r="H56" t="str">
        <x:v>Updated from driver_templates_expanded2</x:v>
      </x:c>
      <x:c r="I56"/>
    </x:row>
    <x:row r="57">
      <x:c r="A57" t="str">
        <x:v>Vercel_Drivers</x:v>
      </x:c>
      <x:c r="B57" t="n">
        <x:v>12</x:v>
      </x:c>
      <x:c r="C57" t="str">
        <x:v>DRV-011</x:v>
      </x:c>
      <x:c r="D57" t="str">
        <x:v>Olivia Lee</x:v>
      </x:c>
      <x:c r="E57" t="str">
        <x:v>Compliance Status</x:v>
      </x:c>
      <x:c r="F57" t="str">
        <x:v>✅ COMPLIANT</x:v>
      </x:c>
      <x:c r="G57" t="str">
        <x:v>READY</x:v>
      </x:c>
      <x:c r="H57" t="str">
        <x:v>Cleaned stale expiration flags</x:v>
      </x:c>
      <x:c r="I57" t="str">
        <x:v>Removed MED CARD/CDL/MVR expired flags after 2027 source correction.</x:v>
      </x:c>
    </x:row>
    <x:row r="58">
      <x:c r="A58" t="str">
        <x:v>Vercel_Drivers</x:v>
      </x:c>
      <x:c r="B58" t="n">
        <x:v>13</x:v>
      </x:c>
      <x:c r="C58" t="str">
        <x:v>DRV-012</x:v>
      </x:c>
      <x:c r="D58" t="str">
        <x:v>Robert Johnson</x:v>
      </x:c>
      <x:c r="E58" t="str">
        <x:v>CDL Expiration Date</x:v>
      </x:c>
      <x:c r="F58" t="str">
        <x:v>2026-04-23</x:v>
      </x:c>
      <x:c r="G58" t="str">
        <x:v>2027-11-15</x:v>
      </x:c>
      <x:c r="H58" t="str">
        <x:v>Updated from driver_templates_expanded2</x:v>
      </x:c>
      <x:c r="I58"/>
    </x:row>
    <x:row r="59">
      <x:c r="A59" t="str">
        <x:v>Vercel_Drivers</x:v>
      </x:c>
      <x:c r="B59" t="n">
        <x:v>13</x:v>
      </x:c>
      <x:c r="C59" t="str">
        <x:v>DRV-012</x:v>
      </x:c>
      <x:c r="D59" t="str">
        <x:v>Robert Johnson</x:v>
      </x:c>
      <x:c r="E59" t="str">
        <x:v>Medical Card Expiration</x:v>
      </x:c>
      <x:c r="F59" t="str">
        <x:v>2026-01-20</x:v>
      </x:c>
      <x:c r="G59" t="str">
        <x:v>2027-08-10</x:v>
      </x:c>
      <x:c r="H59" t="str">
        <x:v>Updated from driver_templates_expanded2</x:v>
      </x:c>
      <x:c r="I59"/>
    </x:row>
    <x:row r="60">
      <x:c r="A60" t="str">
        <x:v>Vercel_Drivers</x:v>
      </x:c>
      <x:c r="B60" t="n">
        <x:v>13</x:v>
      </x:c>
      <x:c r="C60" t="str">
        <x:v>DRV-012</x:v>
      </x:c>
      <x:c r="D60" t="str">
        <x:v>Robert Johnson</x:v>
      </x:c>
      <x:c r="E60" t="str">
        <x:v>MVR Expiration</x:v>
      </x:c>
      <x:c r="F60" t="str">
        <x:v>2025-12-06</x:v>
      </x:c>
      <x:c r="G60" t="str">
        <x:v>2027-05-12</x:v>
      </x:c>
      <x:c r="H60" t="str">
        <x:v>Updated from driver_templates_expanded2</x:v>
      </x:c>
      <x:c r="I60"/>
    </x:row>
    <x:row r="61">
      <x:c r="A61" t="str">
        <x:v>Vercel_Drivers</x:v>
      </x:c>
      <x:c r="B61" t="n">
        <x:v>13</x:v>
      </x:c>
      <x:c r="C61" t="str">
        <x:v>DRV-012</x:v>
      </x:c>
      <x:c r="D61" t="str">
        <x:v>Robert Johnson</x:v>
      </x:c>
      <x:c r="E61" t="str">
        <x:v>Compliance Status</x:v>
      </x:c>
      <x:c r="F61" t="str">
        <x:v>❌ MED CARD EXPIRED | MVR EXPIRED</x:v>
      </x:c>
      <x:c r="G61" t="str">
        <x:v>READY</x:v>
      </x:c>
      <x:c r="H61" t="str">
        <x:v>Cleaned stale expiration flags</x:v>
      </x:c>
      <x:c r="I61" t="str">
        <x:v>Removed MED CARD/CDL/MVR expired flags after 2027 source correction.</x:v>
      </x:c>
    </x:row>
    <x:row r="62">
      <x:c r="A62" t="str">
        <x:v>Documents_Clean</x:v>
      </x:c>
      <x:c r="B62" t="n">
        <x:v>2</x:v>
      </x:c>
      <x:c r="C62" t="str">
        <x:v>DRV-001</x:v>
      </x:c>
      <x:c r="D62" t="str">
        <x:v>John Carter</x:v>
      </x:c>
      <x:c r="E62" t="str">
        <x:v>CDL Expiration Date</x:v>
      </x:c>
      <x:c r="F62" t="str">
        <x:v>2026-08-25</x:v>
      </x:c>
      <x:c r="G62" t="str">
        <x:v>2027-08-22</x:v>
      </x:c>
      <x:c r="H62" t="str">
        <x:v>Updated from driver_templates_expanded2</x:v>
      </x:c>
      <x:c r="I62"/>
    </x:row>
    <x:row r="63">
      <x:c r="A63" t="str">
        <x:v>Documents_Clean</x:v>
      </x:c>
      <x:c r="B63" t="n">
        <x:v>3</x:v>
      </x:c>
      <x:c r="C63" t="str">
        <x:v>DRV-001</x:v>
      </x:c>
      <x:c r="D63" t="str">
        <x:v>John Carter</x:v>
      </x:c>
      <x:c r="E63" t="str">
        <x:v>MEDICAL_CARD Expiration Date</x:v>
      </x:c>
      <x:c r="F63" t="str">
        <x:v>2026-01-07</x:v>
      </x:c>
      <x:c r="G63" t="str">
        <x:v>2027-09-08</x:v>
      </x:c>
      <x:c r="H63" t="str">
        <x:v>Updated from driver_templates_expanded2</x:v>
      </x:c>
      <x:c r="I63"/>
    </x:row>
    <x:row r="64">
      <x:c r="A64" t="str">
        <x:v>Documents_Clean</x:v>
      </x:c>
      <x:c r="B64" t="n">
        <x:v>4</x:v>
      </x:c>
      <x:c r="C64" t="str">
        <x:v>DRV-001</x:v>
      </x:c>
      <x:c r="D64" t="str">
        <x:v>John Carter</x:v>
      </x:c>
      <x:c r="E64" t="str">
        <x:v>MVR Expiration Date</x:v>
      </x:c>
      <x:c r="F64" t="str">
        <x:v>2026-01-15</x:v>
      </x:c>
      <x:c r="G64" t="str">
        <x:v>2027-10-17</x:v>
      </x:c>
      <x:c r="H64" t="str">
        <x:v>Updated from driver_templates_expanded2</x:v>
      </x:c>
      <x:c r="I64"/>
    </x:row>
    <x:row r="65">
      <x:c r="A65" t="str">
        <x:v>Documents_Clean</x:v>
      </x:c>
      <x:c r="B65" t="n">
        <x:v>9</x:v>
      </x:c>
      <x:c r="C65" t="str">
        <x:v>DRV-002</x:v>
      </x:c>
      <x:c r="D65" t="str">
        <x:v>Maria Lopez</x:v>
      </x:c>
      <x:c r="E65" t="str">
        <x:v>MEDICAL_CARD Expiration Date</x:v>
      </x:c>
      <x:c r="F65" t="str">
        <x:v>2026-08-30</x:v>
      </x:c>
      <x:c r="G65" t="str">
        <x:v>2027-07-28</x:v>
      </x:c>
      <x:c r="H65" t="str">
        <x:v>Updated from driver_templates_expanded2</x:v>
      </x:c>
      <x:c r="I65"/>
    </x:row>
    <x:row r="66">
      <x:c r="A66" t="str">
        <x:v>Documents_Clean</x:v>
      </x:c>
      <x:c r="B66" t="n">
        <x:v>10</x:v>
      </x:c>
      <x:c r="C66" t="str">
        <x:v>DRV-002</x:v>
      </x:c>
      <x:c r="D66" t="str">
        <x:v>Maria Lopez</x:v>
      </x:c>
      <x:c r="E66" t="str">
        <x:v>MEDICAL_CARD Expiration Date</x:v>
      </x:c>
      <x:c r="F66" t="str">
        <x:v>2026-08-30</x:v>
      </x:c>
      <x:c r="G66" t="str">
        <x:v>2027-07-28</x:v>
      </x:c>
      <x:c r="H66" t="str">
        <x:v>Updated from driver_templates_expanded2</x:v>
      </x:c>
      <x:c r="I66"/>
    </x:row>
    <x:row r="67">
      <x:c r="A67" t="str">
        <x:v>Documents_Clean</x:v>
      </x:c>
      <x:c r="B67" t="n">
        <x:v>11</x:v>
      </x:c>
      <x:c r="C67" t="str">
        <x:v>DRV-002</x:v>
      </x:c>
      <x:c r="D67" t="str">
        <x:v>Maria Lopez</x:v>
      </x:c>
      <x:c r="E67" t="str">
        <x:v>MVR Expiration Date</x:v>
      </x:c>
      <x:c r="F67" t="str">
        <x:v>2026-01-15</x:v>
      </x:c>
      <x:c r="G67" t="str">
        <x:v>2027-03-09</x:v>
      </x:c>
      <x:c r="H67" t="str">
        <x:v>Updated from driver_templates_expanded2</x:v>
      </x:c>
      <x:c r="I67"/>
    </x:row>
    <x:row r="68">
      <x:c r="A68" t="str">
        <x:v>Documents_Clean</x:v>
      </x:c>
      <x:c r="B68" t="n">
        <x:v>16</x:v>
      </x:c>
      <x:c r="C68" t="str">
        <x:v>DRV-003</x:v>
      </x:c>
      <x:c r="D68" t="str">
        <x:v>Alex Kim</x:v>
      </x:c>
      <x:c r="E68" t="str">
        <x:v>CDL Expiration Date</x:v>
      </x:c>
      <x:c r="F68" t="str">
        <x:v>2026-04-09</x:v>
      </x:c>
      <x:c r="G68" t="str">
        <x:v>2027-02-02</x:v>
      </x:c>
      <x:c r="H68" t="str">
        <x:v>Updated from driver_templates_expanded2</x:v>
      </x:c>
      <x:c r="I68"/>
    </x:row>
    <x:row r="69">
      <x:c r="A69" t="str">
        <x:v>Documents_Clean</x:v>
      </x:c>
      <x:c r="B69" t="n">
        <x:v>17</x:v>
      </x:c>
      <x:c r="C69" t="str">
        <x:v>DRV-003</x:v>
      </x:c>
      <x:c r="D69" t="str">
        <x:v>Alex Kim</x:v>
      </x:c>
      <x:c r="E69" t="str">
        <x:v>MEDICAL_CARD Expiration Date</x:v>
      </x:c>
      <x:c r="F69" t="str">
        <x:v>2026-08-05</x:v>
      </x:c>
      <x:c r="G69" t="str">
        <x:v>2027-09-29</x:v>
      </x:c>
      <x:c r="H69" t="str">
        <x:v>Updated from driver_templates_expanded2</x:v>
      </x:c>
      <x:c r="I69"/>
    </x:row>
    <x:row r="70">
      <x:c r="A70" t="str">
        <x:v>Documents_Clean</x:v>
      </x:c>
      <x:c r="B70" t="n">
        <x:v>18</x:v>
      </x:c>
      <x:c r="C70" t="str">
        <x:v>DRV-003</x:v>
      </x:c>
      <x:c r="D70" t="str">
        <x:v>Alex Kim</x:v>
      </x:c>
      <x:c r="E70" t="str">
        <x:v>MVR Expiration Date</x:v>
      </x:c>
      <x:c r="F70" t="str">
        <x:v>2026-03-26</x:v>
      </x:c>
      <x:c r="G70" t="str">
        <x:v>2027-03-03</x:v>
      </x:c>
      <x:c r="H70" t="str">
        <x:v>Updated from driver_templates_expanded2</x:v>
      </x:c>
      <x:c r="I70"/>
    </x:row>
    <x:row r="71">
      <x:c r="A71" t="str">
        <x:v>Documents_Clean</x:v>
      </x:c>
      <x:c r="B71" t="n">
        <x:v>23</x:v>
      </x:c>
      <x:c r="C71" t="str">
        <x:v>DRV-004</x:v>
      </x:c>
      <x:c r="D71" t="str">
        <x:v>Priya Patel</x:v>
      </x:c>
      <x:c r="E71" t="str">
        <x:v>CDL Expiration Date</x:v>
      </x:c>
      <x:c r="F71" t="str">
        <x:v>2026-03-16</x:v>
      </x:c>
      <x:c r="G71" t="str">
        <x:v>2027-12-18</x:v>
      </x:c>
      <x:c r="H71" t="str">
        <x:v>Updated from driver_templates_expanded2</x:v>
      </x:c>
      <x:c r="I71"/>
    </x:row>
    <x:row r="72">
      <x:c r="A72" t="str">
        <x:v>Documents_Clean</x:v>
      </x:c>
      <x:c r="B72" t="n">
        <x:v>24</x:v>
      </x:c>
      <x:c r="C72" t="str">
        <x:v>DRV-004</x:v>
      </x:c>
      <x:c r="D72" t="str">
        <x:v>Priya Patel</x:v>
      </x:c>
      <x:c r="E72" t="str">
        <x:v>MEDICAL_CARD Expiration Date</x:v>
      </x:c>
      <x:c r="F72" t="str">
        <x:v>2026-08-15</x:v>
      </x:c>
      <x:c r="G72" t="str">
        <x:v>2027-04-09</x:v>
      </x:c>
      <x:c r="H72" t="str">
        <x:v>Updated from driver_templates_expanded2</x:v>
      </x:c>
      <x:c r="I72"/>
    </x:row>
    <x:row r="73">
      <x:c r="A73" t="str">
        <x:v>Documents_Clean</x:v>
      </x:c>
      <x:c r="B73" t="n">
        <x:v>25</x:v>
      </x:c>
      <x:c r="C73" t="str">
        <x:v>DRV-004</x:v>
      </x:c>
      <x:c r="D73" t="str">
        <x:v>Priya Patel</x:v>
      </x:c>
      <x:c r="E73" t="str">
        <x:v>MVR Expiration Date</x:v>
      </x:c>
      <x:c r="F73" t="str">
        <x:v>2026-08-20</x:v>
      </x:c>
      <x:c r="G73" t="str">
        <x:v>2027-03-06</x:v>
      </x:c>
      <x:c r="H73" t="str">
        <x:v>Updated from driver_templates_expanded2</x:v>
      </x:c>
      <x:c r="I73"/>
    </x:row>
    <x:row r="74">
      <x:c r="A74" t="str">
        <x:v>Documents_Clean</x:v>
      </x:c>
      <x:c r="B74" t="n">
        <x:v>30</x:v>
      </x:c>
      <x:c r="C74" t="str">
        <x:v>DRV-005</x:v>
      </x:c>
      <x:c r="D74" t="str">
        <x:v>Kenji Tanaka</x:v>
      </x:c>
      <x:c r="E74" t="str">
        <x:v>CDL Expiration Date</x:v>
      </x:c>
      <x:c r="F74" t="str">
        <x:v>2025-12-30</x:v>
      </x:c>
      <x:c r="G74" t="str">
        <x:v>2027-07-09</x:v>
      </x:c>
      <x:c r="H74" t="str">
        <x:v>Updated from driver_templates_expanded2</x:v>
      </x:c>
      <x:c r="I74"/>
    </x:row>
    <x:row r="75">
      <x:c r="A75" t="str">
        <x:v>Documents_Clean</x:v>
      </x:c>
      <x:c r="B75" t="n">
        <x:v>31</x:v>
      </x:c>
      <x:c r="C75" t="str">
        <x:v>DRV-005</x:v>
      </x:c>
      <x:c r="D75" t="str">
        <x:v>Kenji Tanaka</x:v>
      </x:c>
      <x:c r="E75" t="str">
        <x:v>MEDICAL_CARD Expiration Date</x:v>
      </x:c>
      <x:c r="F75" t="str">
        <x:v>2025-11-16</x:v>
      </x:c>
      <x:c r="G75" t="str">
        <x:v>2027-04-19</x:v>
      </x:c>
      <x:c r="H75" t="str">
        <x:v>Updated from driver_templates_expanded2</x:v>
      </x:c>
      <x:c r="I75"/>
    </x:row>
    <x:row r="76">
      <x:c r="A76" t="str">
        <x:v>Documents_Clean</x:v>
      </x:c>
      <x:c r="B76" t="n">
        <x:v>32</x:v>
      </x:c>
      <x:c r="C76" t="str">
        <x:v>DRV-005</x:v>
      </x:c>
      <x:c r="D76" t="str">
        <x:v>Kenji Tanaka</x:v>
      </x:c>
      <x:c r="E76" t="str">
        <x:v>MVR Expiration Date</x:v>
      </x:c>
      <x:c r="F76" t="str">
        <x:v>2026-01-30</x:v>
      </x:c>
      <x:c r="G76" t="str">
        <x:v>2027-04-01</x:v>
      </x:c>
      <x:c r="H76" t="str">
        <x:v>Updated from driver_templates_expanded2</x:v>
      </x:c>
      <x:c r="I76"/>
    </x:row>
    <x:row r="77">
      <x:c r="A77" t="str">
        <x:v>Documents_Clean</x:v>
      </x:c>
      <x:c r="B77" t="n">
        <x:v>37</x:v>
      </x:c>
      <x:c r="C77" t="str">
        <x:v>DRV-006</x:v>
      </x:c>
      <x:c r="D77" t="str">
        <x:v>Marcus Chen</x:v>
      </x:c>
      <x:c r="E77" t="str">
        <x:v>CDL Expiration Date</x:v>
      </x:c>
      <x:c r="F77" t="str">
        <x:v>2026-02-09</x:v>
      </x:c>
      <x:c r="G77" t="str">
        <x:v>2027-06-18</x:v>
      </x:c>
      <x:c r="H77" t="str">
        <x:v>Updated from driver_templates_expanded2</x:v>
      </x:c>
      <x:c r="I77"/>
    </x:row>
    <x:row r="78">
      <x:c r="A78" t="str">
        <x:v>Documents_Clean</x:v>
      </x:c>
      <x:c r="B78" t="n">
        <x:v>38</x:v>
      </x:c>
      <x:c r="C78" t="str">
        <x:v>DRV-006</x:v>
      </x:c>
      <x:c r="D78" t="str">
        <x:v>Marcus Chen</x:v>
      </x:c>
      <x:c r="E78" t="str">
        <x:v>MEDICAL_CARD Expiration Date</x:v>
      </x:c>
      <x:c r="F78" t="str">
        <x:v>2026-03-04</x:v>
      </x:c>
      <x:c r="G78" t="str">
        <x:v>2027-01-07</x:v>
      </x:c>
      <x:c r="H78" t="str">
        <x:v>Updated from driver_templates_expanded2</x:v>
      </x:c>
      <x:c r="I78"/>
    </x:row>
    <x:row r="79">
      <x:c r="A79" t="str">
        <x:v>Documents_Clean</x:v>
      </x:c>
      <x:c r="B79" t="n">
        <x:v>39</x:v>
      </x:c>
      <x:c r="C79" t="str">
        <x:v>DRV-006</x:v>
      </x:c>
      <x:c r="D79" t="str">
        <x:v>Marcus Chen</x:v>
      </x:c>
      <x:c r="E79" t="str">
        <x:v>MVR Expiration Date</x:v>
      </x:c>
      <x:c r="F79" t="str">
        <x:v>2026-05-27</x:v>
      </x:c>
      <x:c r="G79" t="str">
        <x:v>2027-03-09</x:v>
      </x:c>
      <x:c r="H79" t="str">
        <x:v>Updated from driver_templates_expanded2</x:v>
      </x:c>
      <x:c r="I79"/>
    </x:row>
    <x:row r="80">
      <x:c r="A80" t="str">
        <x:v>Documents_Clean</x:v>
      </x:c>
      <x:c r="B80" t="n">
        <x:v>44</x:v>
      </x:c>
      <x:c r="C80" t="str">
        <x:v>DRV-007</x:v>
      </x:c>
      <x:c r="D80" t="str">
        <x:v>Sofia Gomez</x:v>
      </x:c>
      <x:c r="E80" t="str">
        <x:v>CDL Expiration Date</x:v>
      </x:c>
      <x:c r="F80" t="str">
        <x:v>2026-07-01</x:v>
      </x:c>
      <x:c r="G80" t="str">
        <x:v>2027-05-23</x:v>
      </x:c>
      <x:c r="H80" t="str">
        <x:v>Updated from driver_templates_expanded2</x:v>
      </x:c>
      <x:c r="I80"/>
    </x:row>
    <x:row r="81">
      <x:c r="A81" t="str">
        <x:v>Documents_Clean</x:v>
      </x:c>
      <x:c r="B81" t="n">
        <x:v>45</x:v>
      </x:c>
      <x:c r="C81" t="str">
        <x:v>DRV-007</x:v>
      </x:c>
      <x:c r="D81" t="str">
        <x:v>Sofia Gomez</x:v>
      </x:c>
      <x:c r="E81" t="str">
        <x:v>MEDICAL_CARD Expiration Date</x:v>
      </x:c>
      <x:c r="F81" t="str">
        <x:v>2026-05-13</x:v>
      </x:c>
      <x:c r="G81" t="str">
        <x:v>2027-03-23</x:v>
      </x:c>
      <x:c r="H81" t="str">
        <x:v>Updated from driver_templates_expanded2</x:v>
      </x:c>
      <x:c r="I81"/>
    </x:row>
    <x:row r="82">
      <x:c r="A82" t="str">
        <x:v>Documents_Clean</x:v>
      </x:c>
      <x:c r="B82" t="n">
        <x:v>46</x:v>
      </x:c>
      <x:c r="C82" t="str">
        <x:v>DRV-007</x:v>
      </x:c>
      <x:c r="D82" t="str">
        <x:v>Sofia Gomez</x:v>
      </x:c>
      <x:c r="E82" t="str">
        <x:v>MVR Expiration Date</x:v>
      </x:c>
      <x:c r="F82" t="str">
        <x:v>2026-05-10</x:v>
      </x:c>
      <x:c r="G82" t="str">
        <x:v>2027-03-10</x:v>
      </x:c>
      <x:c r="H82" t="str">
        <x:v>Updated from driver_templates_expanded2</x:v>
      </x:c>
      <x:c r="I82"/>
    </x:row>
    <x:row r="83">
      <x:c r="A83" t="str">
        <x:v>Documents_Clean</x:v>
      </x:c>
      <x:c r="B83" t="n">
        <x:v>51</x:v>
      </x:c>
      <x:c r="C83" t="str">
        <x:v>DRV-008</x:v>
      </x:c>
      <x:c r="D83" t="str">
        <x:v>Liam Smith</x:v>
      </x:c>
      <x:c r="E83" t="str">
        <x:v>CDL Expiration Date</x:v>
      </x:c>
      <x:c r="F83" t="str">
        <x:v>2026-07-15</x:v>
      </x:c>
      <x:c r="G83" t="str">
        <x:v>2027-08-21</x:v>
      </x:c>
      <x:c r="H83" t="str">
        <x:v>Updated from driver_templates_expanded2</x:v>
      </x:c>
      <x:c r="I83"/>
    </x:row>
    <x:row r="84">
      <x:c r="A84" t="str">
        <x:v>Documents_Clean</x:v>
      </x:c>
      <x:c r="B84" t="n">
        <x:v>52</x:v>
      </x:c>
      <x:c r="C84" t="str">
        <x:v>DRV-008</x:v>
      </x:c>
      <x:c r="D84" t="str">
        <x:v>Liam Smith</x:v>
      </x:c>
      <x:c r="E84" t="str">
        <x:v>MEDICAL_CARD Expiration Date</x:v>
      </x:c>
      <x:c r="F84" t="str">
        <x:v>2026-04-19</x:v>
      </x:c>
      <x:c r="G84" t="str">
        <x:v>2027-10-10</x:v>
      </x:c>
      <x:c r="H84" t="str">
        <x:v>Updated from driver_templates_expanded2</x:v>
      </x:c>
      <x:c r="I84"/>
    </x:row>
    <x:row r="85">
      <x:c r="A85" t="str">
        <x:v>Documents_Clean</x:v>
      </x:c>
      <x:c r="B85" t="n">
        <x:v>53</x:v>
      </x:c>
      <x:c r="C85" t="str">
        <x:v>DRV-008</x:v>
      </x:c>
      <x:c r="D85" t="str">
        <x:v>Liam Smith</x:v>
      </x:c>
      <x:c r="E85" t="str">
        <x:v>MVR Expiration Date</x:v>
      </x:c>
      <x:c r="F85" t="str">
        <x:v>2026-04-15</x:v>
      </x:c>
      <x:c r="G85" t="str">
        <x:v>2027-03-06</x:v>
      </x:c>
      <x:c r="H85" t="str">
        <x:v>Updated from driver_templates_expanded2</x:v>
      </x:c>
      <x:c r="I85"/>
    </x:row>
    <x:row r="86">
      <x:c r="A86" t="str">
        <x:v>Documents_Clean</x:v>
      </x:c>
      <x:c r="B86" t="n">
        <x:v>58</x:v>
      </x:c>
      <x:c r="C86" t="str">
        <x:v>DRV-009</x:v>
      </x:c>
      <x:c r="D86" t="str">
        <x:v>Emma Brown</x:v>
      </x:c>
      <x:c r="E86" t="str">
        <x:v>CDL Expiration Date</x:v>
      </x:c>
      <x:c r="F86" t="str">
        <x:v>2026-03-31</x:v>
      </x:c>
      <x:c r="G86" t="str">
        <x:v>2027-02-06</x:v>
      </x:c>
      <x:c r="H86" t="str">
        <x:v>Updated from driver_templates_expanded2</x:v>
      </x:c>
      <x:c r="I86"/>
    </x:row>
    <x:row r="87">
      <x:c r="A87" t="str">
        <x:v>Documents_Clean</x:v>
      </x:c>
      <x:c r="B87" t="n">
        <x:v>59</x:v>
      </x:c>
      <x:c r="C87" t="str">
        <x:v>DRV-009</x:v>
      </x:c>
      <x:c r="D87" t="str">
        <x:v>Emma Brown</x:v>
      </x:c>
      <x:c r="E87" t="str">
        <x:v>MEDICAL_CARD Expiration Date</x:v>
      </x:c>
      <x:c r="F87" t="str">
        <x:v>2026-05-02</x:v>
      </x:c>
      <x:c r="G87" t="str">
        <x:v>2027-09-15</x:v>
      </x:c>
      <x:c r="H87" t="str">
        <x:v>Updated from driver_templates_expanded2</x:v>
      </x:c>
      <x:c r="I87"/>
    </x:row>
    <x:row r="88">
      <x:c r="A88" t="str">
        <x:v>Documents_Clean</x:v>
      </x:c>
      <x:c r="B88" t="n">
        <x:v>60</x:v>
      </x:c>
      <x:c r="C88" t="str">
        <x:v>DRV-009</x:v>
      </x:c>
      <x:c r="D88" t="str">
        <x:v>Emma Brown</x:v>
      </x:c>
      <x:c r="E88" t="str">
        <x:v>MVR Expiration Date</x:v>
      </x:c>
      <x:c r="F88" t="str">
        <x:v>2026-03-09</x:v>
      </x:c>
      <x:c r="G88" t="str">
        <x:v>2027-03-05</x:v>
      </x:c>
      <x:c r="H88" t="str">
        <x:v>Updated from driver_templates_expanded2</x:v>
      </x:c>
      <x:c r="I88"/>
    </x:row>
    <x:row r="89">
      <x:c r="A89" t="str">
        <x:v>Documents_Clean</x:v>
      </x:c>
      <x:c r="B89" t="n">
        <x:v>65</x:v>
      </x:c>
      <x:c r="C89" t="str">
        <x:v>DRV-010</x:v>
      </x:c>
      <x:c r="D89" t="str">
        <x:v>Noah Wilson</x:v>
      </x:c>
      <x:c r="E89" t="str">
        <x:v>CDL Expiration Date</x:v>
      </x:c>
      <x:c r="F89" t="str">
        <x:v>2025-11-22</x:v>
      </x:c>
      <x:c r="G89" t="str">
        <x:v>2027-09-17</x:v>
      </x:c>
      <x:c r="H89" t="str">
        <x:v>Updated from driver_templates_expanded2</x:v>
      </x:c>
      <x:c r="I89"/>
    </x:row>
    <x:row r="90">
      <x:c r="A90" t="str">
        <x:v>Documents_Clean</x:v>
      </x:c>
      <x:c r="B90" t="n">
        <x:v>66</x:v>
      </x:c>
      <x:c r="C90" t="str">
        <x:v>DRV-010</x:v>
      </x:c>
      <x:c r="D90" t="str">
        <x:v>Noah Wilson</x:v>
      </x:c>
      <x:c r="E90" t="str">
        <x:v>MEDICAL_CARD Expiration Date</x:v>
      </x:c>
      <x:c r="F90" t="str">
        <x:v>2025-12-21</x:v>
      </x:c>
      <x:c r="G90" t="str">
        <x:v>2027-12-31</x:v>
      </x:c>
      <x:c r="H90" t="str">
        <x:v>Updated from driver_templates_expanded2</x:v>
      </x:c>
      <x:c r="I90"/>
    </x:row>
    <x:row r="91">
      <x:c r="A91" t="str">
        <x:v>Documents_Clean</x:v>
      </x:c>
      <x:c r="B91" t="n">
        <x:v>67</x:v>
      </x:c>
      <x:c r="C91" t="str">
        <x:v>DRV-010</x:v>
      </x:c>
      <x:c r="D91" t="str">
        <x:v>Noah Wilson</x:v>
      </x:c>
      <x:c r="E91" t="str">
        <x:v>MVR Expiration Date</x:v>
      </x:c>
      <x:c r="F91" t="str">
        <x:v>2026-02-03</x:v>
      </x:c>
      <x:c r="G91" t="str">
        <x:v>2027-04-04</x:v>
      </x:c>
      <x:c r="H91" t="str">
        <x:v>Updated from driver_templates_expanded2</x:v>
      </x:c>
      <x:c r="I91"/>
    </x:row>
    <x:row r="92">
      <x:c r="A92" t="str">
        <x:v>Documents_Clean</x:v>
      </x:c>
      <x:c r="B92" t="n">
        <x:v>72</x:v>
      </x:c>
      <x:c r="C92" t="str">
        <x:v>DRV-011</x:v>
      </x:c>
      <x:c r="D92" t="str">
        <x:v>Olivia Lee</x:v>
      </x:c>
      <x:c r="E92" t="str">
        <x:v>CDL Expiration Date</x:v>
      </x:c>
      <x:c r="F92" t="str">
        <x:v>2025-12-12</x:v>
      </x:c>
      <x:c r="G92" t="str">
        <x:v>2027-06-28</x:v>
      </x:c>
      <x:c r="H92" t="str">
        <x:v>Updated from driver_templates_expanded2</x:v>
      </x:c>
      <x:c r="I92"/>
    </x:row>
    <x:row r="93">
      <x:c r="A93" t="str">
        <x:v>Documents_Clean</x:v>
      </x:c>
      <x:c r="B93" t="n">
        <x:v>73</x:v>
      </x:c>
      <x:c r="C93" t="str">
        <x:v>DRV-011</x:v>
      </x:c>
      <x:c r="D93" t="str">
        <x:v>Olivia Lee</x:v>
      </x:c>
      <x:c r="E93" t="str">
        <x:v>MEDICAL_CARD Expiration Date</x:v>
      </x:c>
      <x:c r="F93" t="str">
        <x:v>2025-11-20</x:v>
      </x:c>
      <x:c r="G93" t="str">
        <x:v>2027-04-22</x:v>
      </x:c>
      <x:c r="H93" t="str">
        <x:v>Updated from driver_templates_expanded2</x:v>
      </x:c>
      <x:c r="I93"/>
    </x:row>
    <x:row r="94">
      <x:c r="A94" t="str">
        <x:v>Documents_Clean</x:v>
      </x:c>
      <x:c r="B94" t="n">
        <x:v>74</x:v>
      </x:c>
      <x:c r="C94" t="str">
        <x:v>DRV-011</x:v>
      </x:c>
      <x:c r="D94" t="str">
        <x:v>Olivia Lee</x:v>
      </x:c>
      <x:c r="E94" t="str">
        <x:v>MVR Expiration Date</x:v>
      </x:c>
      <x:c r="F94" t="str">
        <x:v>2026-03-28</x:v>
      </x:c>
      <x:c r="G94" t="str">
        <x:v>2027-04-07</x:v>
      </x:c>
      <x:c r="H94" t="str">
        <x:v>Updated from driver_templates_expanded2</x:v>
      </x:c>
      <x:c r="I94"/>
    </x:row>
    <x:row r="95">
      <x:c r="A95" t="str">
        <x:v>Documents_Clean</x:v>
      </x:c>
      <x:c r="B95" t="n">
        <x:v>79</x:v>
      </x:c>
      <x:c r="C95" t="str">
        <x:v>DRV-012</x:v>
      </x:c>
      <x:c r="D95" t="str">
        <x:v>Robert Johnson</x:v>
      </x:c>
      <x:c r="E95" t="str">
        <x:v>CDL Expiration Date</x:v>
      </x:c>
      <x:c r="F95" t="str">
        <x:v>2026-04-23</x:v>
      </x:c>
      <x:c r="G95" t="str">
        <x:v>2027-11-15</x:v>
      </x:c>
      <x:c r="H95" t="str">
        <x:v>Updated from driver_templates_expanded2</x:v>
      </x:c>
      <x:c r="I95"/>
    </x:row>
    <x:row r="96">
      <x:c r="A96" t="str">
        <x:v>Documents_Clean</x:v>
      </x:c>
      <x:c r="B96" t="n">
        <x:v>80</x:v>
      </x:c>
      <x:c r="C96" t="str">
        <x:v>DRV-012</x:v>
      </x:c>
      <x:c r="D96" t="str">
        <x:v>Robert Johnson</x:v>
      </x:c>
      <x:c r="E96" t="str">
        <x:v>MEDICAL_CARD Expiration Date</x:v>
      </x:c>
      <x:c r="F96" t="str">
        <x:v>2026-01-20</x:v>
      </x:c>
      <x:c r="G96" t="str">
        <x:v>2027-08-10</x:v>
      </x:c>
      <x:c r="H96" t="str">
        <x:v>Updated from driver_templates_expanded2</x:v>
      </x:c>
      <x:c r="I96"/>
    </x:row>
    <x:row r="97">
      <x:c r="A97" t="str">
        <x:v>Documents_Clean</x:v>
      </x:c>
      <x:c r="B97" t="n">
        <x:v>81</x:v>
      </x:c>
      <x:c r="C97" t="str">
        <x:v>DRV-012</x:v>
      </x:c>
      <x:c r="D97" t="str">
        <x:v>Robert Johnson</x:v>
      </x:c>
      <x:c r="E97" t="str">
        <x:v>MVR Expiration Date</x:v>
      </x:c>
      <x:c r="F97" t="str">
        <x:v>2025-12-06</x:v>
      </x:c>
      <x:c r="G97" t="str">
        <x:v>2027-05-12</x:v>
      </x:c>
      <x:c r="H97" t="str">
        <x:v>Updated from driver_templates_expanded2</x:v>
      </x:c>
      <x:c r="I97"/>
    </x:row>
    <x:row r="98">
      <x:c r="A98" t="str">
        <x:v>Documents</x:v>
      </x:c>
      <x:c r="B98" t="n">
        <x:v>2</x:v>
      </x:c>
      <x:c r="C98" t="str">
        <x:v>DRV-001</x:v>
      </x:c>
      <x:c r="D98" t="str">
        <x:v>John Carter</x:v>
      </x:c>
      <x:c r="E98" t="str">
        <x:v>Expiration Date</x:v>
      </x:c>
      <x:c r="F98" t="str">
        <x:v>2026-08-25</x:v>
      </x:c>
      <x:c r="G98" t="str">
        <x:v>2027-08-22</x:v>
      </x:c>
      <x:c r="H98" t="str">
        <x:v>Updated from driver_templates_expanded2</x:v>
      </x:c>
      <x:c r="I98"/>
    </x:row>
    <x:row r="99">
      <x:c r="A99" t="str">
        <x:v>Documents</x:v>
      </x:c>
      <x:c r="B99" t="n">
        <x:v>3</x:v>
      </x:c>
      <x:c r="C99" t="str">
        <x:v>DRV-001</x:v>
      </x:c>
      <x:c r="D99" t="str">
        <x:v>John Carter</x:v>
      </x:c>
      <x:c r="E99" t="str">
        <x:v>Expiration Date</x:v>
      </x:c>
      <x:c r="F99" t="str">
        <x:v>2026-01-07</x:v>
      </x:c>
      <x:c r="G99" t="str">
        <x:v>2027-09-08</x:v>
      </x:c>
      <x:c r="H99" t="str">
        <x:v>Updated from driver_templates_expanded2</x:v>
      </x:c>
      <x:c r="I99"/>
    </x:row>
    <x:row r="100">
      <x:c r="A100" t="str">
        <x:v>Documents</x:v>
      </x:c>
      <x:c r="B100" t="n">
        <x:v>4</x:v>
      </x:c>
      <x:c r="C100" t="str">
        <x:v>DRV-001</x:v>
      </x:c>
      <x:c r="D100" t="str">
        <x:v>John Carter</x:v>
      </x:c>
      <x:c r="E100" t="str">
        <x:v>Expiration Date</x:v>
      </x:c>
      <x:c r="F100" t="str">
        <x:v>2026-01-15</x:v>
      </x:c>
      <x:c r="G100" t="str">
        <x:v>2027-10-17</x:v>
      </x:c>
      <x:c r="H100" t="str">
        <x:v>Updated from driver_templates_expanded2</x:v>
      </x:c>
      <x:c r="I100"/>
    </x:row>
    <x:row r="101">
      <x:c r="A101" t="str">
        <x:v>Documents</x:v>
      </x:c>
      <x:c r="B101" t="n">
        <x:v>9</x:v>
      </x:c>
      <x:c r="C101" t="str">
        <x:v>DRV-002</x:v>
      </x:c>
      <x:c r="D101" t="str">
        <x:v>Maria Lopez</x:v>
      </x:c>
      <x:c r="E101" t="str">
        <x:v>Expiration Date</x:v>
      </x:c>
      <x:c r="F101" t="str">
        <x:v>2026-08-30</x:v>
      </x:c>
      <x:c r="G101" t="str">
        <x:v>2027-07-28</x:v>
      </x:c>
      <x:c r="H101" t="str">
        <x:v>Updated from driver_templates_expanded2</x:v>
      </x:c>
      <x:c r="I101"/>
    </x:row>
    <x:row r="102">
      <x:c r="A102" t="str">
        <x:v>Documents</x:v>
      </x:c>
      <x:c r="B102" t="n">
        <x:v>10</x:v>
      </x:c>
      <x:c r="C102" t="str">
        <x:v>DRV-002</x:v>
      </x:c>
      <x:c r="D102" t="str">
        <x:v>Maria Lopez</x:v>
      </x:c>
      <x:c r="E102" t="str">
        <x:v>Expiration Date</x:v>
      </x:c>
      <x:c r="F102" t="str">
        <x:v>2026-08-30</x:v>
      </x:c>
      <x:c r="G102" t="str">
        <x:v>2027-07-28</x:v>
      </x:c>
      <x:c r="H102" t="str">
        <x:v>Updated from driver_templates_expanded2</x:v>
      </x:c>
      <x:c r="I102"/>
    </x:row>
    <x:row r="103">
      <x:c r="A103" t="str">
        <x:v>Documents</x:v>
      </x:c>
      <x:c r="B103" t="n">
        <x:v>11</x:v>
      </x:c>
      <x:c r="C103" t="str">
        <x:v>DRV-002</x:v>
      </x:c>
      <x:c r="D103" t="str">
        <x:v>Maria Lopez</x:v>
      </x:c>
      <x:c r="E103" t="str">
        <x:v>Expiration Date</x:v>
      </x:c>
      <x:c r="F103" t="str">
        <x:v>2026-01-15</x:v>
      </x:c>
      <x:c r="G103" t="str">
        <x:v>2027-03-09</x:v>
      </x:c>
      <x:c r="H103" t="str">
        <x:v>Updated from driver_templates_expanded2</x:v>
      </x:c>
      <x:c r="I103"/>
    </x:row>
    <x:row r="104">
      <x:c r="A104" t="str">
        <x:v>Documents</x:v>
      </x:c>
      <x:c r="B104" t="n">
        <x:v>16</x:v>
      </x:c>
      <x:c r="C104" t="str">
        <x:v>DRV-003</x:v>
      </x:c>
      <x:c r="D104" t="str">
        <x:v>Alex Kim</x:v>
      </x:c>
      <x:c r="E104" t="str">
        <x:v>Expiration Date</x:v>
      </x:c>
      <x:c r="F104" t="str">
        <x:v>2026-04-09</x:v>
      </x:c>
      <x:c r="G104" t="str">
        <x:v>2027-02-02</x:v>
      </x:c>
      <x:c r="H104" t="str">
        <x:v>Updated from driver_templates_expanded2</x:v>
      </x:c>
      <x:c r="I104"/>
    </x:row>
    <x:row r="105">
      <x:c r="A105" t="str">
        <x:v>Documents</x:v>
      </x:c>
      <x:c r="B105" t="n">
        <x:v>17</x:v>
      </x:c>
      <x:c r="C105" t="str">
        <x:v>DRV-003</x:v>
      </x:c>
      <x:c r="D105" t="str">
        <x:v>Alex Kim</x:v>
      </x:c>
      <x:c r="E105" t="str">
        <x:v>Expiration Date</x:v>
      </x:c>
      <x:c r="F105" t="str">
        <x:v>2026-08-05</x:v>
      </x:c>
      <x:c r="G105" t="str">
        <x:v>2027-09-29</x:v>
      </x:c>
      <x:c r="H105" t="str">
        <x:v>Updated from driver_templates_expanded2</x:v>
      </x:c>
      <x:c r="I105"/>
    </x:row>
    <x:row r="106">
      <x:c r="A106" t="str">
        <x:v>Documents</x:v>
      </x:c>
      <x:c r="B106" t="n">
        <x:v>18</x:v>
      </x:c>
      <x:c r="C106" t="str">
        <x:v>DRV-003</x:v>
      </x:c>
      <x:c r="D106" t="str">
        <x:v>Alex Kim</x:v>
      </x:c>
      <x:c r="E106" t="str">
        <x:v>Expiration Date</x:v>
      </x:c>
      <x:c r="F106" t="str">
        <x:v>2026-03-26</x:v>
      </x:c>
      <x:c r="G106" t="str">
        <x:v>2027-03-03</x:v>
      </x:c>
      <x:c r="H106" t="str">
        <x:v>Updated from driver_templates_expanded2</x:v>
      </x:c>
      <x:c r="I106"/>
    </x:row>
    <x:row r="107">
      <x:c r="A107" t="str">
        <x:v>Documents</x:v>
      </x:c>
      <x:c r="B107" t="n">
        <x:v>23</x:v>
      </x:c>
      <x:c r="C107" t="str">
        <x:v>DRV-004</x:v>
      </x:c>
      <x:c r="D107" t="str">
        <x:v>Priya Patel</x:v>
      </x:c>
      <x:c r="E107" t="str">
        <x:v>Expiration Date</x:v>
      </x:c>
      <x:c r="F107" t="str">
        <x:v>2026-03-16</x:v>
      </x:c>
      <x:c r="G107" t="str">
        <x:v>2027-12-18</x:v>
      </x:c>
      <x:c r="H107" t="str">
        <x:v>Updated from driver_templates_expanded2</x:v>
      </x:c>
      <x:c r="I107"/>
    </x:row>
    <x:row r="108">
      <x:c r="A108" t="str">
        <x:v>Documents</x:v>
      </x:c>
      <x:c r="B108" t="n">
        <x:v>24</x:v>
      </x:c>
      <x:c r="C108" t="str">
        <x:v>DRV-004</x:v>
      </x:c>
      <x:c r="D108" t="str">
        <x:v>Priya Patel</x:v>
      </x:c>
      <x:c r="E108" t="str">
        <x:v>Expiration Date</x:v>
      </x:c>
      <x:c r="F108" t="str">
        <x:v>2026-08-15</x:v>
      </x:c>
      <x:c r="G108" t="str">
        <x:v>2027-04-09</x:v>
      </x:c>
      <x:c r="H108" t="str">
        <x:v>Updated from driver_templates_expanded2</x:v>
      </x:c>
      <x:c r="I108"/>
    </x:row>
    <x:row r="109">
      <x:c r="A109" t="str">
        <x:v>Documents</x:v>
      </x:c>
      <x:c r="B109" t="n">
        <x:v>25</x:v>
      </x:c>
      <x:c r="C109" t="str">
        <x:v>DRV-004</x:v>
      </x:c>
      <x:c r="D109" t="str">
        <x:v>Priya Patel</x:v>
      </x:c>
      <x:c r="E109" t="str">
        <x:v>Expiration Date</x:v>
      </x:c>
      <x:c r="F109" t="str">
        <x:v>2026-08-20</x:v>
      </x:c>
      <x:c r="G109" t="str">
        <x:v>2027-03-06</x:v>
      </x:c>
      <x:c r="H109" t="str">
        <x:v>Updated from driver_templates_expanded2</x:v>
      </x:c>
      <x:c r="I109"/>
    </x:row>
    <x:row r="110">
      <x:c r="A110" t="str">
        <x:v>Documents</x:v>
      </x:c>
      <x:c r="B110" t="n">
        <x:v>30</x:v>
      </x:c>
      <x:c r="C110" t="str">
        <x:v>DRV-005</x:v>
      </x:c>
      <x:c r="D110" t="str">
        <x:v>Kenji Tanaka</x:v>
      </x:c>
      <x:c r="E110" t="str">
        <x:v>Expiration Date</x:v>
      </x:c>
      <x:c r="F110" t="str">
        <x:v>2025-12-30</x:v>
      </x:c>
      <x:c r="G110" t="str">
        <x:v>2027-07-09</x:v>
      </x:c>
      <x:c r="H110" t="str">
        <x:v>Updated from driver_templates_expanded2</x:v>
      </x:c>
      <x:c r="I110"/>
    </x:row>
    <x:row r="111">
      <x:c r="A111" t="str">
        <x:v>Documents</x:v>
      </x:c>
      <x:c r="B111" t="n">
        <x:v>31</x:v>
      </x:c>
      <x:c r="C111" t="str">
        <x:v>DRV-005</x:v>
      </x:c>
      <x:c r="D111" t="str">
        <x:v>Kenji Tanaka</x:v>
      </x:c>
      <x:c r="E111" t="str">
        <x:v>Expiration Date</x:v>
      </x:c>
      <x:c r="F111" t="str">
        <x:v>2025-11-16</x:v>
      </x:c>
      <x:c r="G111" t="str">
        <x:v>2027-04-19</x:v>
      </x:c>
      <x:c r="H111" t="str">
        <x:v>Updated from driver_templates_expanded2</x:v>
      </x:c>
      <x:c r="I111"/>
    </x:row>
    <x:row r="112">
      <x:c r="A112" t="str">
        <x:v>Documents</x:v>
      </x:c>
      <x:c r="B112" t="n">
        <x:v>32</x:v>
      </x:c>
      <x:c r="C112" t="str">
        <x:v>DRV-005</x:v>
      </x:c>
      <x:c r="D112" t="str">
        <x:v>Kenji Tanaka</x:v>
      </x:c>
      <x:c r="E112" t="str">
        <x:v>Expiration Date</x:v>
      </x:c>
      <x:c r="F112" t="str">
        <x:v>2026-01-30</x:v>
      </x:c>
      <x:c r="G112" t="str">
        <x:v>2027-04-01</x:v>
      </x:c>
      <x:c r="H112" t="str">
        <x:v>Updated from driver_templates_expanded2</x:v>
      </x:c>
      <x:c r="I112"/>
    </x:row>
    <x:row r="113">
      <x:c r="A113" t="str">
        <x:v>Documents</x:v>
      </x:c>
      <x:c r="B113" t="n">
        <x:v>37</x:v>
      </x:c>
      <x:c r="C113" t="str">
        <x:v>DRV-006</x:v>
      </x:c>
      <x:c r="D113" t="str">
        <x:v>Marcus Chen</x:v>
      </x:c>
      <x:c r="E113" t="str">
        <x:v>Expiration Date</x:v>
      </x:c>
      <x:c r="F113" t="str">
        <x:v>2026-02-09</x:v>
      </x:c>
      <x:c r="G113" t="str">
        <x:v>2027-06-18</x:v>
      </x:c>
      <x:c r="H113" t="str">
        <x:v>Updated from driver_templates_expanded2</x:v>
      </x:c>
      <x:c r="I113"/>
    </x:row>
    <x:row r="114">
      <x:c r="A114" t="str">
        <x:v>Documents</x:v>
      </x:c>
      <x:c r="B114" t="n">
        <x:v>38</x:v>
      </x:c>
      <x:c r="C114" t="str">
        <x:v>DRV-006</x:v>
      </x:c>
      <x:c r="D114" t="str">
        <x:v>Marcus Chen</x:v>
      </x:c>
      <x:c r="E114" t="str">
        <x:v>Expiration Date</x:v>
      </x:c>
      <x:c r="F114" t="str">
        <x:v>2026-03-04</x:v>
      </x:c>
      <x:c r="G114" t="str">
        <x:v>2027-01-07</x:v>
      </x:c>
      <x:c r="H114" t="str">
        <x:v>Updated from driver_templates_expanded2</x:v>
      </x:c>
      <x:c r="I114"/>
    </x:row>
    <x:row r="115">
      <x:c r="A115" t="str">
        <x:v>Documents</x:v>
      </x:c>
      <x:c r="B115" t="n">
        <x:v>39</x:v>
      </x:c>
      <x:c r="C115" t="str">
        <x:v>DRV-006</x:v>
      </x:c>
      <x:c r="D115" t="str">
        <x:v>Marcus Chen</x:v>
      </x:c>
      <x:c r="E115" t="str">
        <x:v>Expiration Date</x:v>
      </x:c>
      <x:c r="F115" t="str">
        <x:v>2026-05-27</x:v>
      </x:c>
      <x:c r="G115" t="str">
        <x:v>2027-03-09</x:v>
      </x:c>
      <x:c r="H115" t="str">
        <x:v>Updated from driver_templates_expanded2</x:v>
      </x:c>
      <x:c r="I115"/>
    </x:row>
    <x:row r="116">
      <x:c r="A116" t="str">
        <x:v>Documents</x:v>
      </x:c>
      <x:c r="B116" t="n">
        <x:v>44</x:v>
      </x:c>
      <x:c r="C116" t="str">
        <x:v>DRV-007</x:v>
      </x:c>
      <x:c r="D116" t="str">
        <x:v>Sofia Gomez</x:v>
      </x:c>
      <x:c r="E116" t="str">
        <x:v>Expiration Date</x:v>
      </x:c>
      <x:c r="F116" t="str">
        <x:v>2026-07-01</x:v>
      </x:c>
      <x:c r="G116" t="str">
        <x:v>2027-05-23</x:v>
      </x:c>
      <x:c r="H116" t="str">
        <x:v>Updated from driver_templates_expanded2</x:v>
      </x:c>
      <x:c r="I116"/>
    </x:row>
    <x:row r="117">
      <x:c r="A117" t="str">
        <x:v>Documents</x:v>
      </x:c>
      <x:c r="B117" t="n">
        <x:v>45</x:v>
      </x:c>
      <x:c r="C117" t="str">
        <x:v>DRV-007</x:v>
      </x:c>
      <x:c r="D117" t="str">
        <x:v>Sofia Gomez</x:v>
      </x:c>
      <x:c r="E117" t="str">
        <x:v>Expiration Date</x:v>
      </x:c>
      <x:c r="F117" t="str">
        <x:v>2026-05-13</x:v>
      </x:c>
      <x:c r="G117" t="str">
        <x:v>2027-03-23</x:v>
      </x:c>
      <x:c r="H117" t="str">
        <x:v>Updated from driver_templates_expanded2</x:v>
      </x:c>
      <x:c r="I117"/>
    </x:row>
    <x:row r="118">
      <x:c r="A118" t="str">
        <x:v>Documents</x:v>
      </x:c>
      <x:c r="B118" t="n">
        <x:v>46</x:v>
      </x:c>
      <x:c r="C118" t="str">
        <x:v>DRV-007</x:v>
      </x:c>
      <x:c r="D118" t="str">
        <x:v>Sofia Gomez</x:v>
      </x:c>
      <x:c r="E118" t="str">
        <x:v>Expiration Date</x:v>
      </x:c>
      <x:c r="F118" t="str">
        <x:v>2026-05-10</x:v>
      </x:c>
      <x:c r="G118" t="str">
        <x:v>2027-03-10</x:v>
      </x:c>
      <x:c r="H118" t="str">
        <x:v>Updated from driver_templates_expanded2</x:v>
      </x:c>
      <x:c r="I118"/>
    </x:row>
    <x:row r="119">
      <x:c r="A119" t="str">
        <x:v>Documents</x:v>
      </x:c>
      <x:c r="B119" t="n">
        <x:v>51</x:v>
      </x:c>
      <x:c r="C119" t="str">
        <x:v>DRV-008</x:v>
      </x:c>
      <x:c r="D119" t="str">
        <x:v>Liam Smith</x:v>
      </x:c>
      <x:c r="E119" t="str">
        <x:v>Expiration Date</x:v>
      </x:c>
      <x:c r="F119" t="str">
        <x:v>2026-07-15</x:v>
      </x:c>
      <x:c r="G119" t="str">
        <x:v>2027-08-21</x:v>
      </x:c>
      <x:c r="H119" t="str">
        <x:v>Updated from driver_templates_expanded2</x:v>
      </x:c>
      <x:c r="I119"/>
    </x:row>
    <x:row r="120">
      <x:c r="A120" t="str">
        <x:v>Documents</x:v>
      </x:c>
      <x:c r="B120" t="n">
        <x:v>52</x:v>
      </x:c>
      <x:c r="C120" t="str">
        <x:v>DRV-008</x:v>
      </x:c>
      <x:c r="D120" t="str">
        <x:v>Liam Smith</x:v>
      </x:c>
      <x:c r="E120" t="str">
        <x:v>Expiration Date</x:v>
      </x:c>
      <x:c r="F120" t="str">
        <x:v>2026-04-19</x:v>
      </x:c>
      <x:c r="G120" t="str">
        <x:v>2027-10-10</x:v>
      </x:c>
      <x:c r="H120" t="str">
        <x:v>Updated from driver_templates_expanded2</x:v>
      </x:c>
      <x:c r="I120"/>
    </x:row>
    <x:row r="121">
      <x:c r="A121" t="str">
        <x:v>Documents</x:v>
      </x:c>
      <x:c r="B121" t="n">
        <x:v>53</x:v>
      </x:c>
      <x:c r="C121" t="str">
        <x:v>DRV-008</x:v>
      </x:c>
      <x:c r="D121" t="str">
        <x:v>Liam Smith</x:v>
      </x:c>
      <x:c r="E121" t="str">
        <x:v>Expiration Date</x:v>
      </x:c>
      <x:c r="F121" t="str">
        <x:v>2026-04-15</x:v>
      </x:c>
      <x:c r="G121" t="str">
        <x:v>2027-03-06</x:v>
      </x:c>
      <x:c r="H121" t="str">
        <x:v>Updated from driver_templates_expanded2</x:v>
      </x:c>
      <x:c r="I121"/>
    </x:row>
    <x:row r="122">
      <x:c r="A122" t="str">
        <x:v>Documents</x:v>
      </x:c>
      <x:c r="B122" t="n">
        <x:v>58</x:v>
      </x:c>
      <x:c r="C122" t="str">
        <x:v>DRV-009</x:v>
      </x:c>
      <x:c r="D122" t="str">
        <x:v>Emma Brown</x:v>
      </x:c>
      <x:c r="E122" t="str">
        <x:v>Expiration Date</x:v>
      </x:c>
      <x:c r="F122" t="str">
        <x:v>2026-03-31</x:v>
      </x:c>
      <x:c r="G122" t="str">
        <x:v>2027-02-06</x:v>
      </x:c>
      <x:c r="H122" t="str">
        <x:v>Updated from driver_templates_expanded2</x:v>
      </x:c>
      <x:c r="I122"/>
    </x:row>
    <x:row r="123">
      <x:c r="A123" t="str">
        <x:v>Documents</x:v>
      </x:c>
      <x:c r="B123" t="n">
        <x:v>59</x:v>
      </x:c>
      <x:c r="C123" t="str">
        <x:v>DRV-009</x:v>
      </x:c>
      <x:c r="D123" t="str">
        <x:v>Emma Brown</x:v>
      </x:c>
      <x:c r="E123" t="str">
        <x:v>Expiration Date</x:v>
      </x:c>
      <x:c r="F123" t="str">
        <x:v>2026-05-02</x:v>
      </x:c>
      <x:c r="G123" t="str">
        <x:v>2027-09-15</x:v>
      </x:c>
      <x:c r="H123" t="str">
        <x:v>Updated from driver_templates_expanded2</x:v>
      </x:c>
      <x:c r="I123"/>
    </x:row>
    <x:row r="124">
      <x:c r="A124" t="str">
        <x:v>Documents</x:v>
      </x:c>
      <x:c r="B124" t="n">
        <x:v>60</x:v>
      </x:c>
      <x:c r="C124" t="str">
        <x:v>DRV-009</x:v>
      </x:c>
      <x:c r="D124" t="str">
        <x:v>Emma Brown</x:v>
      </x:c>
      <x:c r="E124" t="str">
        <x:v>Expiration Date</x:v>
      </x:c>
      <x:c r="F124" t="str">
        <x:v>2026-03-09</x:v>
      </x:c>
      <x:c r="G124" t="str">
        <x:v>2027-03-05</x:v>
      </x:c>
      <x:c r="H124" t="str">
        <x:v>Updated from driver_templates_expanded2</x:v>
      </x:c>
      <x:c r="I124"/>
    </x:row>
    <x:row r="125">
      <x:c r="A125" t="str">
        <x:v>Documents</x:v>
      </x:c>
      <x:c r="B125" t="n">
        <x:v>65</x:v>
      </x:c>
      <x:c r="C125" t="str">
        <x:v>DRV-010</x:v>
      </x:c>
      <x:c r="D125" t="str">
        <x:v>Noah Wilson</x:v>
      </x:c>
      <x:c r="E125" t="str">
        <x:v>Expiration Date</x:v>
      </x:c>
      <x:c r="F125" t="str">
        <x:v>2025-11-22</x:v>
      </x:c>
      <x:c r="G125" t="str">
        <x:v>2027-09-17</x:v>
      </x:c>
      <x:c r="H125" t="str">
        <x:v>Updated from driver_templates_expanded2</x:v>
      </x:c>
      <x:c r="I125"/>
    </x:row>
    <x:row r="126">
      <x:c r="A126" t="str">
        <x:v>Documents</x:v>
      </x:c>
      <x:c r="B126" t="n">
        <x:v>66</x:v>
      </x:c>
      <x:c r="C126" t="str">
        <x:v>DRV-010</x:v>
      </x:c>
      <x:c r="D126" t="str">
        <x:v>Noah Wilson</x:v>
      </x:c>
      <x:c r="E126" t="str">
        <x:v>Expiration Date</x:v>
      </x:c>
      <x:c r="F126" t="str">
        <x:v>2025-12-21</x:v>
      </x:c>
      <x:c r="G126" t="str">
        <x:v>2027-12-31</x:v>
      </x:c>
      <x:c r="H126" t="str">
        <x:v>Updated from driver_templates_expanded2</x:v>
      </x:c>
      <x:c r="I126"/>
    </x:row>
    <x:row r="127">
      <x:c r="A127" t="str">
        <x:v>Documents</x:v>
      </x:c>
      <x:c r="B127" t="n">
        <x:v>67</x:v>
      </x:c>
      <x:c r="C127" t="str">
        <x:v>DRV-010</x:v>
      </x:c>
      <x:c r="D127" t="str">
        <x:v>Noah Wilson</x:v>
      </x:c>
      <x:c r="E127" t="str">
        <x:v>Expiration Date</x:v>
      </x:c>
      <x:c r="F127" t="str">
        <x:v>2026-02-03</x:v>
      </x:c>
      <x:c r="G127" t="str">
        <x:v>2027-04-04</x:v>
      </x:c>
      <x:c r="H127" t="str">
        <x:v>Updated from driver_templates_expanded2</x:v>
      </x:c>
      <x:c r="I127"/>
    </x:row>
    <x:row r="128">
      <x:c r="A128" t="str">
        <x:v>Documents</x:v>
      </x:c>
      <x:c r="B128" t="n">
        <x:v>72</x:v>
      </x:c>
      <x:c r="C128" t="str">
        <x:v>DRV-011</x:v>
      </x:c>
      <x:c r="D128" t="str">
        <x:v>Olivia Lee</x:v>
      </x:c>
      <x:c r="E128" t="str">
        <x:v>Expiration Date</x:v>
      </x:c>
      <x:c r="F128" t="str">
        <x:v>2025-12-12</x:v>
      </x:c>
      <x:c r="G128" t="str">
        <x:v>2027-06-28</x:v>
      </x:c>
      <x:c r="H128" t="str">
        <x:v>Updated from driver_templates_expanded2</x:v>
      </x:c>
      <x:c r="I128"/>
    </x:row>
    <x:row r="129">
      <x:c r="A129" t="str">
        <x:v>Documents</x:v>
      </x:c>
      <x:c r="B129" t="n">
        <x:v>73</x:v>
      </x:c>
      <x:c r="C129" t="str">
        <x:v>DRV-011</x:v>
      </x:c>
      <x:c r="D129" t="str">
        <x:v>Olivia Lee</x:v>
      </x:c>
      <x:c r="E129" t="str">
        <x:v>Expiration Date</x:v>
      </x:c>
      <x:c r="F129" t="str">
        <x:v>2025-11-20</x:v>
      </x:c>
      <x:c r="G129" t="str">
        <x:v>2027-04-22</x:v>
      </x:c>
      <x:c r="H129" t="str">
        <x:v>Updated from driver_templates_expanded2</x:v>
      </x:c>
      <x:c r="I129"/>
    </x:row>
    <x:row r="130">
      <x:c r="A130" t="str">
        <x:v>Documents</x:v>
      </x:c>
      <x:c r="B130" t="n">
        <x:v>74</x:v>
      </x:c>
      <x:c r="C130" t="str">
        <x:v>DRV-011</x:v>
      </x:c>
      <x:c r="D130" t="str">
        <x:v>Olivia Lee</x:v>
      </x:c>
      <x:c r="E130" t="str">
        <x:v>Expiration Date</x:v>
      </x:c>
      <x:c r="F130" t="str">
        <x:v>2026-03-28</x:v>
      </x:c>
      <x:c r="G130" t="str">
        <x:v>2027-04-07</x:v>
      </x:c>
      <x:c r="H130" t="str">
        <x:v>Updated from driver_templates_expanded2</x:v>
      </x:c>
      <x:c r="I130"/>
    </x:row>
    <x:row r="131">
      <x:c r="A131" t="str">
        <x:v>Documents</x:v>
      </x:c>
      <x:c r="B131" t="n">
        <x:v>79</x:v>
      </x:c>
      <x:c r="C131" t="str">
        <x:v>DRV-012</x:v>
      </x:c>
      <x:c r="D131" t="str">
        <x:v>Robert Johnson</x:v>
      </x:c>
      <x:c r="E131" t="str">
        <x:v>Expiration Date</x:v>
      </x:c>
      <x:c r="F131" t="str">
        <x:v>2026-04-23</x:v>
      </x:c>
      <x:c r="G131" t="str">
        <x:v>2027-11-15</x:v>
      </x:c>
      <x:c r="H131" t="str">
        <x:v>Updated from driver_templates_expanded2</x:v>
      </x:c>
      <x:c r="I131"/>
    </x:row>
    <x:row r="132">
      <x:c r="A132" t="str">
        <x:v>Documents</x:v>
      </x:c>
      <x:c r="B132" t="n">
        <x:v>80</x:v>
      </x:c>
      <x:c r="C132" t="str">
        <x:v>DRV-012</x:v>
      </x:c>
      <x:c r="D132" t="str">
        <x:v>Robert Johnson</x:v>
      </x:c>
      <x:c r="E132" t="str">
        <x:v>Expiration Date</x:v>
      </x:c>
      <x:c r="F132" t="str">
        <x:v>2026-01-20</x:v>
      </x:c>
      <x:c r="G132" t="str">
        <x:v>2027-08-10</x:v>
      </x:c>
      <x:c r="H132" t="str">
        <x:v>Updated from driver_templates_expanded2</x:v>
      </x:c>
      <x:c r="I132"/>
    </x:row>
    <x:row r="133">
      <x:c r="A133" t="str">
        <x:v>Documents</x:v>
      </x:c>
      <x:c r="B133" t="n">
        <x:v>81</x:v>
      </x:c>
      <x:c r="C133" t="str">
        <x:v>DRV-012</x:v>
      </x:c>
      <x:c r="D133" t="str">
        <x:v>Robert Johnson</x:v>
      </x:c>
      <x:c r="E133" t="str">
        <x:v>Expiration Date</x:v>
      </x:c>
      <x:c r="F133" t="str">
        <x:v>2025-12-06</x:v>
      </x:c>
      <x:c r="G133" t="str">
        <x:v>2027-05-12</x:v>
      </x:c>
      <x:c r="H133" t="str">
        <x:v>Updated from driver_templates_expanded2</x:v>
      </x:c>
      <x:c r="I133"/>
    </x:row>
    <x:row r="134">
      <x:c r="A134" t="str">
        <x:v>Drivers</x:v>
      </x:c>
      <x:c r="B134" t="n">
        <x:v>6</x:v>
      </x:c>
      <x:c r="C134" t="str">
        <x:v>DRV-001</x:v>
      </x:c>
      <x:c r="D134" t="str">
        <x:v>John Carter</x:v>
      </x:c>
      <x:c r="E134" t="str">
        <x:v>Medical Card Expiration</x:v>
      </x:c>
      <x:c r="F134" t="str">
        <x:v>2026-03-13</x:v>
      </x:c>
      <x:c r="G134" t="str">
        <x:v>2027-09-08</x:v>
      </x:c>
      <x:c r="H134" t="str">
        <x:v>Updated from driver_templates_expanded2</x:v>
      </x:c>
      <x:c r="I134"/>
    </x:row>
    <x:row r="135">
      <x:c r="A135" t="str">
        <x:v>Drivers</x:v>
      </x:c>
      <x:c r="B135" t="n">
        <x:v>6</x:v>
      </x:c>
      <x:c r="C135" t="str">
        <x:v>DRV-001</x:v>
      </x:c>
      <x:c r="D135" t="str">
        <x:v>John Carter</x:v>
      </x:c>
      <x:c r="E135" t="str">
        <x:v>MVR Expiration</x:v>
      </x:c>
      <x:c r="F135" t="str">
        <x:v>2026-02-27</x:v>
      </x:c>
      <x:c r="G135" t="str">
        <x:v>2027-10-17</x:v>
      </x:c>
      <x:c r="H135" t="str">
        <x:v>Updated from driver_templates_expanded2</x:v>
      </x:c>
      <x:c r="I135"/>
    </x:row>
    <x:row r="136">
      <x:c r="A136" t="str">
        <x:v>Drivers</x:v>
      </x:c>
      <x:c r="B136" t="n">
        <x:v>7</x:v>
      </x:c>
      <x:c r="C136" t="str">
        <x:v>DRV-002</x:v>
      </x:c>
      <x:c r="D136" t="str">
        <x:v>Maria Lopez</x:v>
      </x:c>
      <x:c r="E136" t="str">
        <x:v>MVR Expiration</x:v>
      </x:c>
      <x:c r="F136" t="str">
        <x:v>2027-03-07</x:v>
      </x:c>
      <x:c r="G136" t="str">
        <x:v>2027-03-09</x:v>
      </x:c>
      <x:c r="H136" t="str">
        <x:v>Updated from driver_templates_expanded2</x:v>
      </x:c>
      <x:c r="I136"/>
    </x:row>
    <x:row r="137">
      <x:c r="A137" t="str">
        <x:v>Drivers</x:v>
      </x:c>
      <x:c r="B137" t="n">
        <x:v>8</x:v>
      </x:c>
      <x:c r="C137" t="str">
        <x:v>DRV-003</x:v>
      </x:c>
      <x:c r="D137" t="str">
        <x:v>Alex Kim</x:v>
      </x:c>
      <x:c r="E137" t="str">
        <x:v>MVR Expiration</x:v>
      </x:c>
      <x:c r="F137" t="str">
        <x:v>2027-03-14</x:v>
      </x:c>
      <x:c r="G137" t="str">
        <x:v>2027-03-03</x:v>
      </x:c>
      <x:c r="H137" t="str">
        <x:v>Updated from driver_templates_expanded2</x:v>
      </x:c>
      <x:c r="I137"/>
    </x:row>
    <x:row r="138">
      <x:c r="A138" t="str">
        <x:v>Drivers</x:v>
      </x:c>
      <x:c r="B138" t="n">
        <x:v>9</x:v>
      </x:c>
      <x:c r="C138" t="str">
        <x:v>DRV-004</x:v>
      </x:c>
      <x:c r="D138" t="str">
        <x:v>Priya Patel</x:v>
      </x:c>
      <x:c r="E138" t="str">
        <x:v>MVR Expiration</x:v>
      </x:c>
      <x:c r="F138" t="str">
        <x:v>2027-03-18</x:v>
      </x:c>
      <x:c r="G138" t="str">
        <x:v>2027-03-06</x:v>
      </x:c>
      <x:c r="H138" t="str">
        <x:v>Updated from driver_templates_expanded2</x:v>
      </x:c>
      <x:c r="I138"/>
    </x:row>
    <x:row r="139">
      <x:c r="A139" t="str">
        <x:v>Drivers</x:v>
      </x:c>
      <x:c r="B139" t="n">
        <x:v>10</x:v>
      </x:c>
      <x:c r="C139" t="str">
        <x:v>DRV-005</x:v>
      </x:c>
      <x:c r="D139" t="str">
        <x:v>Kenji Tanaka</x:v>
      </x:c>
      <x:c r="E139" t="str">
        <x:v>MVR Expiration</x:v>
      </x:c>
      <x:c r="F139" t="str">
        <x:v>2027-04-02</x:v>
      </x:c>
      <x:c r="G139" t="str">
        <x:v>2027-04-01</x:v>
      </x:c>
      <x:c r="H139" t="str">
        <x:v>Updated from driver_templates_expanded2</x:v>
      </x:c>
      <x:c r="I139"/>
    </x:row>
    <x:row r="140">
      <x:c r="A140" t="str">
        <x:v>Drivers</x:v>
      </x:c>
      <x:c r="B140" t="n">
        <x:v>11</x:v>
      </x:c>
      <x:c r="C140" t="str">
        <x:v>DRV-006</x:v>
      </x:c>
      <x:c r="D140" t="str">
        <x:v>Marcus Chen</x:v>
      </x:c>
      <x:c r="E140" t="str">
        <x:v>CDL Expiration Date</x:v>
      </x:c>
      <x:c r="F140" t="str">
        <x:v>2025-06-18</x:v>
      </x:c>
      <x:c r="G140" t="str">
        <x:v>2027-06-18</x:v>
      </x:c>
      <x:c r="H140" t="str">
        <x:v>Updated from driver_templates_expanded2</x:v>
      </x:c>
      <x:c r="I140"/>
    </x:row>
    <x:row r="141">
      <x:c r="A141" t="str">
        <x:v>Drivers</x:v>
      </x:c>
      <x:c r="B141" t="n">
        <x:v>12</x:v>
      </x:c>
      <x:c r="C141" t="str">
        <x:v>DRV-007</x:v>
      </x:c>
      <x:c r="D141" t="str">
        <x:v>Sofia Gomez</x:v>
      </x:c>
      <x:c r="E141" t="str">
        <x:v>Medical Card Expiration</x:v>
      </x:c>
      <x:c r="F141" t="str">
        <x:v>2025-03-23</x:v>
      </x:c>
      <x:c r="G141" t="str">
        <x:v>2027-03-23</x:v>
      </x:c>
      <x:c r="H141" t="str">
        <x:v>Updated from driver_templates_expanded2</x:v>
      </x:c>
      <x:c r="I141"/>
    </x:row>
    <x:row r="142">
      <x:c r="A142" t="str">
        <x:v>Drivers</x:v>
      </x:c>
      <x:c r="B142" t="n">
        <x:v>12</x:v>
      </x:c>
      <x:c r="C142" t="str">
        <x:v>DRV-007</x:v>
      </x:c>
      <x:c r="D142" t="str">
        <x:v>Sofia Gomez</x:v>
      </x:c>
      <x:c r="E142" t="str">
        <x:v>MVR Expiration</x:v>
      </x:c>
      <x:c r="F142" t="str">
        <x:v>2027-03-21</x:v>
      </x:c>
      <x:c r="G142" t="str">
        <x:v>2027-03-10</x:v>
      </x:c>
      <x:c r="H142" t="str">
        <x:v>Updated from driver_templates_expanded2</x:v>
      </x:c>
      <x:c r="I142"/>
    </x:row>
    <x:row r="143">
      <x:c r="A143" t="str">
        <x:v>Drivers</x:v>
      </x:c>
      <x:c r="B143" t="n">
        <x:v>13</x:v>
      </x:c>
      <x:c r="C143" t="str">
        <x:v>DRV-008</x:v>
      </x:c>
      <x:c r="D143" t="str">
        <x:v>Liam Smith</x:v>
      </x:c>
      <x:c r="E143" t="str">
        <x:v>MVR Expiration</x:v>
      </x:c>
      <x:c r="F143" t="str">
        <x:v>2027-04-04</x:v>
      </x:c>
      <x:c r="G143" t="str">
        <x:v>2027-03-06</x:v>
      </x:c>
      <x:c r="H143" t="str">
        <x:v>Updated from driver_templates_expanded2</x:v>
      </x:c>
      <x:c r="I143"/>
    </x:row>
    <x:row r="144">
      <x:c r="A144" t="str">
        <x:v>Drivers</x:v>
      </x:c>
      <x:c r="B144" t="n">
        <x:v>14</x:v>
      </x:c>
      <x:c r="C144" t="str">
        <x:v>DRV-009</x:v>
      </x:c>
      <x:c r="D144" t="str">
        <x:v>Emma Brown</x:v>
      </x:c>
      <x:c r="E144" t="str">
        <x:v>MVR Expiration</x:v>
      </x:c>
      <x:c r="F144" t="str">
        <x:v>2027-03-09</x:v>
      </x:c>
      <x:c r="G144" t="str">
        <x:v>2027-03-05</x:v>
      </x:c>
      <x:c r="H144" t="str">
        <x:v>Updated from driver_templates_expanded2</x:v>
      </x:c>
      <x:c r="I144"/>
    </x:row>
    <x:row r="145">
      <x:c r="A145" t="str">
        <x:v>Drivers</x:v>
      </x:c>
      <x:c r="B145" t="n">
        <x:v>16</x:v>
      </x:c>
      <x:c r="C145" t="str">
        <x:v>DRV-011</x:v>
      </x:c>
      <x:c r="D145" t="str">
        <x:v>Olivia Lee</x:v>
      </x:c>
      <x:c r="E145" t="str">
        <x:v>MVR Expiration</x:v>
      </x:c>
      <x:c r="F145" t="str">
        <x:v>2027-03-13</x:v>
      </x:c>
      <x:c r="G145" t="str">
        <x:v>2027-04-07</x:v>
      </x:c>
      <x:c r="H145" t="str">
        <x:v>Updated from driver_templates_expanded2</x:v>
      </x:c>
      <x:c r="I145"/>
    </x:row>
    <x:row r="146">
      <x:c r="A146" t="str">
        <x:v>Vercel_Documents</x:v>
      </x:c>
      <x:c r="B146" t="n">
        <x:v>2</x:v>
      </x:c>
      <x:c r="C146" t="str">
        <x:v>DRV-001</x:v>
      </x:c>
      <x:c r="D146" t="str">
        <x:v>John Carter</x:v>
      </x:c>
      <x:c r="E146" t="str">
        <x:v>CDL Expiration Date</x:v>
      </x:c>
      <x:c r="F146" t="str">
        <x:v>2026-08-25</x:v>
      </x:c>
      <x:c r="G146" t="str">
        <x:v>2027-08-22</x:v>
      </x:c>
      <x:c r="H146" t="str">
        <x:v>Updated from driver_templates_expanded2</x:v>
      </x:c>
      <x:c r="I146" t="str"/>
    </x:row>
    <x:row r="147">
      <x:c r="A147" t="str">
        <x:v>Vercel_Documents</x:v>
      </x:c>
      <x:c r="B147" t="n">
        <x:v>3</x:v>
      </x:c>
      <x:c r="C147" t="str">
        <x:v>DRV-001</x:v>
      </x:c>
      <x:c r="D147" t="str">
        <x:v>John Carter</x:v>
      </x:c>
      <x:c r="E147" t="str">
        <x:v>MEDICAL_CARD Expiration Date</x:v>
      </x:c>
      <x:c r="F147" t="str">
        <x:v>2026-01-07</x:v>
      </x:c>
      <x:c r="G147" t="str">
        <x:v>2027-09-08</x:v>
      </x:c>
      <x:c r="H147" t="str">
        <x:v>Updated from driver_templates_expanded2</x:v>
      </x:c>
      <x:c r="I147" t="str"/>
    </x:row>
    <x:row r="148">
      <x:c r="A148" t="str">
        <x:v>Vercel_Documents</x:v>
      </x:c>
      <x:c r="B148" t="n">
        <x:v>4</x:v>
      </x:c>
      <x:c r="C148" t="str">
        <x:v>DRV-001</x:v>
      </x:c>
      <x:c r="D148" t="str">
        <x:v>John Carter</x:v>
      </x:c>
      <x:c r="E148" t="str">
        <x:v>MVR Expiration Date</x:v>
      </x:c>
      <x:c r="F148" t="str">
        <x:v>2026-01-15</x:v>
      </x:c>
      <x:c r="G148" t="str">
        <x:v>2027-10-17</x:v>
      </x:c>
      <x:c r="H148" t="str">
        <x:v>Updated from driver_templates_expanded2</x:v>
      </x:c>
      <x:c r="I148" t="str"/>
    </x:row>
    <x:row r="149">
      <x:c r="A149" t="str">
        <x:v>Vercel_Documents</x:v>
      </x:c>
      <x:c r="B149" t="n">
        <x:v>9</x:v>
      </x:c>
      <x:c r="C149" t="str">
        <x:v>DRV-002</x:v>
      </x:c>
      <x:c r="D149" t="str">
        <x:v>Maria Lopez</x:v>
      </x:c>
      <x:c r="E149" t="str">
        <x:v>MEDICAL_CARD Expiration Date</x:v>
      </x:c>
      <x:c r="F149" t="str">
        <x:v>2026-08-30</x:v>
      </x:c>
      <x:c r="G149" t="str">
        <x:v>2027-07-28</x:v>
      </x:c>
      <x:c r="H149" t="str">
        <x:v>Updated from driver_templates_expanded2</x:v>
      </x:c>
      <x:c r="I149" t="str"/>
    </x:row>
    <x:row r="150">
      <x:c r="A150" t="str">
        <x:v>Vercel_Documents</x:v>
      </x:c>
      <x:c r="B150" t="n">
        <x:v>10</x:v>
      </x:c>
      <x:c r="C150" t="str">
        <x:v>DRV-002</x:v>
      </x:c>
      <x:c r="D150" t="str">
        <x:v>Maria Lopez</x:v>
      </x:c>
      <x:c r="E150" t="str">
        <x:v>MEDICAL_CARD Expiration Date</x:v>
      </x:c>
      <x:c r="F150" t="str">
        <x:v>2026-08-30</x:v>
      </x:c>
      <x:c r="G150" t="str">
        <x:v>2027-07-28</x:v>
      </x:c>
      <x:c r="H150" t="str">
        <x:v>Updated from driver_templates_expanded2</x:v>
      </x:c>
      <x:c r="I150" t="str"/>
    </x:row>
    <x:row r="151">
      <x:c r="A151" t="str">
        <x:v>Vercel_Documents</x:v>
      </x:c>
      <x:c r="B151" t="n">
        <x:v>11</x:v>
      </x:c>
      <x:c r="C151" t="str">
        <x:v>DRV-002</x:v>
      </x:c>
      <x:c r="D151" t="str">
        <x:v>Maria Lopez</x:v>
      </x:c>
      <x:c r="E151" t="str">
        <x:v>MVR Expiration Date</x:v>
      </x:c>
      <x:c r="F151" t="str">
        <x:v>2026-01-15</x:v>
      </x:c>
      <x:c r="G151" t="str">
        <x:v>2027-03-09</x:v>
      </x:c>
      <x:c r="H151" t="str">
        <x:v>Updated from driver_templates_expanded2</x:v>
      </x:c>
      <x:c r="I151" t="str"/>
    </x:row>
    <x:row r="152">
      <x:c r="A152" t="str">
        <x:v>Vercel_Documents</x:v>
      </x:c>
      <x:c r="B152" t="n">
        <x:v>16</x:v>
      </x:c>
      <x:c r="C152" t="str">
        <x:v>DRV-003</x:v>
      </x:c>
      <x:c r="D152" t="str">
        <x:v>Alex Kim</x:v>
      </x:c>
      <x:c r="E152" t="str">
        <x:v>CDL Expiration Date</x:v>
      </x:c>
      <x:c r="F152" t="str">
        <x:v>2026-04-09</x:v>
      </x:c>
      <x:c r="G152" t="str">
        <x:v>2027-02-02</x:v>
      </x:c>
      <x:c r="H152" t="str">
        <x:v>Updated from driver_templates_expanded2</x:v>
      </x:c>
      <x:c r="I152" t="str"/>
    </x:row>
    <x:row r="153">
      <x:c r="A153" t="str">
        <x:v>Vercel_Documents</x:v>
      </x:c>
      <x:c r="B153" t="n">
        <x:v>17</x:v>
      </x:c>
      <x:c r="C153" t="str">
        <x:v>DRV-003</x:v>
      </x:c>
      <x:c r="D153" t="str">
        <x:v>Alex Kim</x:v>
      </x:c>
      <x:c r="E153" t="str">
        <x:v>MEDICAL_CARD Expiration Date</x:v>
      </x:c>
      <x:c r="F153" t="str">
        <x:v>2026-08-05</x:v>
      </x:c>
      <x:c r="G153" t="str">
        <x:v>2027-09-29</x:v>
      </x:c>
      <x:c r="H153" t="str">
        <x:v>Updated from driver_templates_expanded2</x:v>
      </x:c>
      <x:c r="I153" t="str"/>
    </x:row>
    <x:row r="154">
      <x:c r="A154" t="str">
        <x:v>Vercel_Documents</x:v>
      </x:c>
      <x:c r="B154" t="n">
        <x:v>18</x:v>
      </x:c>
      <x:c r="C154" t="str">
        <x:v>DRV-003</x:v>
      </x:c>
      <x:c r="D154" t="str">
        <x:v>Alex Kim</x:v>
      </x:c>
      <x:c r="E154" t="str">
        <x:v>MVR Expiration Date</x:v>
      </x:c>
      <x:c r="F154" t="str">
        <x:v>2026-03-26</x:v>
      </x:c>
      <x:c r="G154" t="str">
        <x:v>2027-03-03</x:v>
      </x:c>
      <x:c r="H154" t="str">
        <x:v>Updated from driver_templates_expanded2</x:v>
      </x:c>
      <x:c r="I154" t="str"/>
    </x:row>
    <x:row r="155">
      <x:c r="A155" t="str">
        <x:v>Vercel_Documents</x:v>
      </x:c>
      <x:c r="B155" t="n">
        <x:v>23</x:v>
      </x:c>
      <x:c r="C155" t="str">
        <x:v>DRV-004</x:v>
      </x:c>
      <x:c r="D155" t="str">
        <x:v>Priya Patel</x:v>
      </x:c>
      <x:c r="E155" t="str">
        <x:v>CDL Expiration Date</x:v>
      </x:c>
      <x:c r="F155" t="str">
        <x:v>2026-03-16</x:v>
      </x:c>
      <x:c r="G155" t="str">
        <x:v>2027-12-18</x:v>
      </x:c>
      <x:c r="H155" t="str">
        <x:v>Updated from driver_templates_expanded2</x:v>
      </x:c>
      <x:c r="I155" t="str"/>
    </x:row>
    <x:row r="156">
      <x:c r="A156" t="str">
        <x:v>Vercel_Documents</x:v>
      </x:c>
      <x:c r="B156" t="n">
        <x:v>24</x:v>
      </x:c>
      <x:c r="C156" t="str">
        <x:v>DRV-004</x:v>
      </x:c>
      <x:c r="D156" t="str">
        <x:v>Priya Patel</x:v>
      </x:c>
      <x:c r="E156" t="str">
        <x:v>MEDICAL_CARD Expiration Date</x:v>
      </x:c>
      <x:c r="F156" t="str">
        <x:v>2026-08-15</x:v>
      </x:c>
      <x:c r="G156" t="str">
        <x:v>2027-04-09</x:v>
      </x:c>
      <x:c r="H156" t="str">
        <x:v>Updated from driver_templates_expanded2</x:v>
      </x:c>
      <x:c r="I156" t="str"/>
    </x:row>
    <x:row r="157">
      <x:c r="A157" t="str">
        <x:v>Vercel_Documents</x:v>
      </x:c>
      <x:c r="B157" t="n">
        <x:v>25</x:v>
      </x:c>
      <x:c r="C157" t="str">
        <x:v>DRV-004</x:v>
      </x:c>
      <x:c r="D157" t="str">
        <x:v>Priya Patel</x:v>
      </x:c>
      <x:c r="E157" t="str">
        <x:v>MVR Expiration Date</x:v>
      </x:c>
      <x:c r="F157" t="str">
        <x:v>2026-08-20</x:v>
      </x:c>
      <x:c r="G157" t="str">
        <x:v>2027-03-06</x:v>
      </x:c>
      <x:c r="H157" t="str">
        <x:v>Updated from driver_templates_expanded2</x:v>
      </x:c>
      <x:c r="I157" t="str"/>
    </x:row>
    <x:row r="158">
      <x:c r="A158" t="str">
        <x:v>Vercel_Documents</x:v>
      </x:c>
      <x:c r="B158" t="n">
        <x:v>30</x:v>
      </x:c>
      <x:c r="C158" t="str">
        <x:v>DRV-005</x:v>
      </x:c>
      <x:c r="D158" t="str">
        <x:v>Kenji Tanaka</x:v>
      </x:c>
      <x:c r="E158" t="str">
        <x:v>CDL Expiration Date</x:v>
      </x:c>
      <x:c r="F158" t="str">
        <x:v>2025-12-30</x:v>
      </x:c>
      <x:c r="G158" t="str">
        <x:v>2027-07-09</x:v>
      </x:c>
      <x:c r="H158" t="str">
        <x:v>Updated from driver_templates_expanded2</x:v>
      </x:c>
      <x:c r="I158" t="str"/>
    </x:row>
    <x:row r="159">
      <x:c r="A159" t="str">
        <x:v>Vercel_Documents</x:v>
      </x:c>
      <x:c r="B159" t="n">
        <x:v>31</x:v>
      </x:c>
      <x:c r="C159" t="str">
        <x:v>DRV-005</x:v>
      </x:c>
      <x:c r="D159" t="str">
        <x:v>Kenji Tanaka</x:v>
      </x:c>
      <x:c r="E159" t="str">
        <x:v>MEDICAL_CARD Expiration Date</x:v>
      </x:c>
      <x:c r="F159" t="str">
        <x:v>2025-11-16</x:v>
      </x:c>
      <x:c r="G159" t="str">
        <x:v>2027-04-19</x:v>
      </x:c>
      <x:c r="H159" t="str">
        <x:v>Updated from driver_templates_expanded2</x:v>
      </x:c>
      <x:c r="I159" t="str"/>
    </x:row>
    <x:row r="160">
      <x:c r="A160" t="str">
        <x:v>Vercel_Documents</x:v>
      </x:c>
      <x:c r="B160" t="n">
        <x:v>32</x:v>
      </x:c>
      <x:c r="C160" t="str">
        <x:v>DRV-005</x:v>
      </x:c>
      <x:c r="D160" t="str">
        <x:v>Kenji Tanaka</x:v>
      </x:c>
      <x:c r="E160" t="str">
        <x:v>MVR Expiration Date</x:v>
      </x:c>
      <x:c r="F160" t="str">
        <x:v>2026-01-30</x:v>
      </x:c>
      <x:c r="G160" t="str">
        <x:v>2027-04-01</x:v>
      </x:c>
      <x:c r="H160" t="str">
        <x:v>Updated from driver_templates_expanded2</x:v>
      </x:c>
      <x:c r="I160" t="str"/>
    </x:row>
    <x:row r="161">
      <x:c r="A161" t="str">
        <x:v>Vercel_Documents</x:v>
      </x:c>
      <x:c r="B161" t="n">
        <x:v>37</x:v>
      </x:c>
      <x:c r="C161" t="str">
        <x:v>DRV-006</x:v>
      </x:c>
      <x:c r="D161" t="str">
        <x:v>Marcus Chen</x:v>
      </x:c>
      <x:c r="E161" t="str">
        <x:v>CDL Expiration Date</x:v>
      </x:c>
      <x:c r="F161" t="str">
        <x:v>2026-02-09</x:v>
      </x:c>
      <x:c r="G161" t="str">
        <x:v>2027-06-18</x:v>
      </x:c>
      <x:c r="H161" t="str">
        <x:v>Updated from driver_templates_expanded2</x:v>
      </x:c>
      <x:c r="I161" t="str"/>
    </x:row>
    <x:row r="162">
      <x:c r="A162" t="str">
        <x:v>Vercel_Documents</x:v>
      </x:c>
      <x:c r="B162" t="n">
        <x:v>38</x:v>
      </x:c>
      <x:c r="C162" t="str">
        <x:v>DRV-006</x:v>
      </x:c>
      <x:c r="D162" t="str">
        <x:v>Marcus Chen</x:v>
      </x:c>
      <x:c r="E162" t="str">
        <x:v>MEDICAL_CARD Expiration Date</x:v>
      </x:c>
      <x:c r="F162" t="str">
        <x:v>2026-03-04</x:v>
      </x:c>
      <x:c r="G162" t="str">
        <x:v>2027-01-07</x:v>
      </x:c>
      <x:c r="H162" t="str">
        <x:v>Updated from driver_templates_expanded2</x:v>
      </x:c>
      <x:c r="I162" t="str"/>
    </x:row>
    <x:row r="163">
      <x:c r="A163" t="str">
        <x:v>Vercel_Documents</x:v>
      </x:c>
      <x:c r="B163" t="n">
        <x:v>39</x:v>
      </x:c>
      <x:c r="C163" t="str">
        <x:v>DRV-006</x:v>
      </x:c>
      <x:c r="D163" t="str">
        <x:v>Marcus Chen</x:v>
      </x:c>
      <x:c r="E163" t="str">
        <x:v>MVR Expiration Date</x:v>
      </x:c>
      <x:c r="F163" t="str">
        <x:v>2026-05-27</x:v>
      </x:c>
      <x:c r="G163" t="str">
        <x:v>2027-03-09</x:v>
      </x:c>
      <x:c r="H163" t="str">
        <x:v>Updated from driver_templates_expanded2</x:v>
      </x:c>
      <x:c r="I163" t="str"/>
    </x:row>
    <x:row r="164">
      <x:c r="A164" t="str">
        <x:v>Vercel_Documents</x:v>
      </x:c>
      <x:c r="B164" t="n">
        <x:v>44</x:v>
      </x:c>
      <x:c r="C164" t="str">
        <x:v>DRV-007</x:v>
      </x:c>
      <x:c r="D164" t="str">
        <x:v>Sofia Gomez</x:v>
      </x:c>
      <x:c r="E164" t="str">
        <x:v>CDL Expiration Date</x:v>
      </x:c>
      <x:c r="F164" t="str">
        <x:v>2026-07-01</x:v>
      </x:c>
      <x:c r="G164" t="str">
        <x:v>2027-05-23</x:v>
      </x:c>
      <x:c r="H164" t="str">
        <x:v>Updated from driver_templates_expanded2</x:v>
      </x:c>
      <x:c r="I164" t="str"/>
    </x:row>
    <x:row r="165">
      <x:c r="A165" t="str">
        <x:v>Vercel_Documents</x:v>
      </x:c>
      <x:c r="B165" t="n">
        <x:v>45</x:v>
      </x:c>
      <x:c r="C165" t="str">
        <x:v>DRV-007</x:v>
      </x:c>
      <x:c r="D165" t="str">
        <x:v>Sofia Gomez</x:v>
      </x:c>
      <x:c r="E165" t="str">
        <x:v>MEDICAL_CARD Expiration Date</x:v>
      </x:c>
      <x:c r="F165" t="str">
        <x:v>2026-05-13</x:v>
      </x:c>
      <x:c r="G165" t="str">
        <x:v>2027-03-23</x:v>
      </x:c>
      <x:c r="H165" t="str">
        <x:v>Updated from driver_templates_expanded2</x:v>
      </x:c>
      <x:c r="I165" t="str"/>
    </x:row>
    <x:row r="166">
      <x:c r="A166" t="str">
        <x:v>Vercel_Documents</x:v>
      </x:c>
      <x:c r="B166" t="n">
        <x:v>46</x:v>
      </x:c>
      <x:c r="C166" t="str">
        <x:v>DRV-007</x:v>
      </x:c>
      <x:c r="D166" t="str">
        <x:v>Sofia Gomez</x:v>
      </x:c>
      <x:c r="E166" t="str">
        <x:v>MVR Expiration Date</x:v>
      </x:c>
      <x:c r="F166" t="str">
        <x:v>2026-05-10</x:v>
      </x:c>
      <x:c r="G166" t="str">
        <x:v>2027-03-10</x:v>
      </x:c>
      <x:c r="H166" t="str">
        <x:v>Updated from driver_templates_expanded2</x:v>
      </x:c>
      <x:c r="I166" t="str"/>
    </x:row>
    <x:row r="167">
      <x:c r="A167" t="str">
        <x:v>Vercel_Documents</x:v>
      </x:c>
      <x:c r="B167" t="n">
        <x:v>51</x:v>
      </x:c>
      <x:c r="C167" t="str">
        <x:v>DRV-008</x:v>
      </x:c>
      <x:c r="D167" t="str">
        <x:v>Liam Smith</x:v>
      </x:c>
      <x:c r="E167" t="str">
        <x:v>CDL Expiration Date</x:v>
      </x:c>
      <x:c r="F167" t="str">
        <x:v>2026-07-15</x:v>
      </x:c>
      <x:c r="G167" t="str">
        <x:v>2027-08-21</x:v>
      </x:c>
      <x:c r="H167" t="str">
        <x:v>Updated from driver_templates_expanded2</x:v>
      </x:c>
      <x:c r="I167" t="str"/>
    </x:row>
    <x:row r="168">
      <x:c r="A168" t="str">
        <x:v>Vercel_Documents</x:v>
      </x:c>
      <x:c r="B168" t="n">
        <x:v>52</x:v>
      </x:c>
      <x:c r="C168" t="str">
        <x:v>DRV-008</x:v>
      </x:c>
      <x:c r="D168" t="str">
        <x:v>Liam Smith</x:v>
      </x:c>
      <x:c r="E168" t="str">
        <x:v>MEDICAL_CARD Expiration Date</x:v>
      </x:c>
      <x:c r="F168" t="str">
        <x:v>2026-04-19</x:v>
      </x:c>
      <x:c r="G168" t="str">
        <x:v>2027-10-10</x:v>
      </x:c>
      <x:c r="H168" t="str">
        <x:v>Updated from driver_templates_expanded2</x:v>
      </x:c>
      <x:c r="I168" t="str"/>
    </x:row>
    <x:row r="169">
      <x:c r="A169" t="str">
        <x:v>Vercel_Documents</x:v>
      </x:c>
      <x:c r="B169" t="n">
        <x:v>53</x:v>
      </x:c>
      <x:c r="C169" t="str">
        <x:v>DRV-008</x:v>
      </x:c>
      <x:c r="D169" t="str">
        <x:v>Liam Smith</x:v>
      </x:c>
      <x:c r="E169" t="str">
        <x:v>MVR Expiration Date</x:v>
      </x:c>
      <x:c r="F169" t="str">
        <x:v>2026-04-15</x:v>
      </x:c>
      <x:c r="G169" t="str">
        <x:v>2027-03-06</x:v>
      </x:c>
      <x:c r="H169" t="str">
        <x:v>Updated from driver_templates_expanded2</x:v>
      </x:c>
      <x:c r="I169" t="str"/>
    </x:row>
    <x:row r="170">
      <x:c r="A170" t="str">
        <x:v>Vercel_Documents</x:v>
      </x:c>
      <x:c r="B170" t="n">
        <x:v>58</x:v>
      </x:c>
      <x:c r="C170" t="str">
        <x:v>DRV-009</x:v>
      </x:c>
      <x:c r="D170" t="str">
        <x:v>Emma Brown</x:v>
      </x:c>
      <x:c r="E170" t="str">
        <x:v>CDL Expiration Date</x:v>
      </x:c>
      <x:c r="F170" t="str">
        <x:v>2026-03-31</x:v>
      </x:c>
      <x:c r="G170" t="str">
        <x:v>2027-02-06</x:v>
      </x:c>
      <x:c r="H170" t="str">
        <x:v>Updated from driver_templates_expanded2</x:v>
      </x:c>
      <x:c r="I170" t="str"/>
    </x:row>
    <x:row r="171">
      <x:c r="A171" t="str">
        <x:v>Vercel_Documents</x:v>
      </x:c>
      <x:c r="B171" t="n">
        <x:v>59</x:v>
      </x:c>
      <x:c r="C171" t="str">
        <x:v>DRV-009</x:v>
      </x:c>
      <x:c r="D171" t="str">
        <x:v>Emma Brown</x:v>
      </x:c>
      <x:c r="E171" t="str">
        <x:v>MEDICAL_CARD Expiration Date</x:v>
      </x:c>
      <x:c r="F171" t="str">
        <x:v>2026-05-02</x:v>
      </x:c>
      <x:c r="G171" t="str">
        <x:v>2027-09-15</x:v>
      </x:c>
      <x:c r="H171" t="str">
        <x:v>Updated from driver_templates_expanded2</x:v>
      </x:c>
      <x:c r="I171" t="str"/>
    </x:row>
    <x:row r="172">
      <x:c r="A172" t="str">
        <x:v>Vercel_Documents</x:v>
      </x:c>
      <x:c r="B172" t="n">
        <x:v>60</x:v>
      </x:c>
      <x:c r="C172" t="str">
        <x:v>DRV-009</x:v>
      </x:c>
      <x:c r="D172" t="str">
        <x:v>Emma Brown</x:v>
      </x:c>
      <x:c r="E172" t="str">
        <x:v>MVR Expiration Date</x:v>
      </x:c>
      <x:c r="F172" t="str">
        <x:v>2026-03-09</x:v>
      </x:c>
      <x:c r="G172" t="str">
        <x:v>2027-03-05</x:v>
      </x:c>
      <x:c r="H172" t="str">
        <x:v>Updated from driver_templates_expanded2</x:v>
      </x:c>
      <x:c r="I172" t="str"/>
    </x:row>
    <x:row r="173">
      <x:c r="A173" t="str">
        <x:v>Vercel_Documents</x:v>
      </x:c>
      <x:c r="B173" t="n">
        <x:v>65</x:v>
      </x:c>
      <x:c r="C173" t="str">
        <x:v>DRV-010</x:v>
      </x:c>
      <x:c r="D173" t="str">
        <x:v>Noah Wilson</x:v>
      </x:c>
      <x:c r="E173" t="str">
        <x:v>CDL Expiration Date</x:v>
      </x:c>
      <x:c r="F173" t="str">
        <x:v>2025-11-22</x:v>
      </x:c>
      <x:c r="G173" t="str">
        <x:v>2027-09-17</x:v>
      </x:c>
      <x:c r="H173" t="str">
        <x:v>Updated from driver_templates_expanded2</x:v>
      </x:c>
      <x:c r="I173" t="str"/>
    </x:row>
    <x:row r="174">
      <x:c r="A174" t="str">
        <x:v>Vercel_Documents</x:v>
      </x:c>
      <x:c r="B174" t="n">
        <x:v>66</x:v>
      </x:c>
      <x:c r="C174" t="str">
        <x:v>DRV-010</x:v>
      </x:c>
      <x:c r="D174" t="str">
        <x:v>Noah Wilson</x:v>
      </x:c>
      <x:c r="E174" t="str">
        <x:v>MEDICAL_CARD Expiration Date</x:v>
      </x:c>
      <x:c r="F174" t="str">
        <x:v>2025-12-21</x:v>
      </x:c>
      <x:c r="G174" t="str">
        <x:v>2027-12-31</x:v>
      </x:c>
      <x:c r="H174" t="str">
        <x:v>Updated from driver_templates_expanded2</x:v>
      </x:c>
      <x:c r="I174" t="str"/>
    </x:row>
    <x:row r="175">
      <x:c r="A175" t="str">
        <x:v>Vercel_Documents</x:v>
      </x:c>
      <x:c r="B175" t="n">
        <x:v>67</x:v>
      </x:c>
      <x:c r="C175" t="str">
        <x:v>DRV-010</x:v>
      </x:c>
      <x:c r="D175" t="str">
        <x:v>Noah Wilson</x:v>
      </x:c>
      <x:c r="E175" t="str">
        <x:v>MVR Expiration Date</x:v>
      </x:c>
      <x:c r="F175" t="str">
        <x:v>2026-02-03</x:v>
      </x:c>
      <x:c r="G175" t="str">
        <x:v>2027-04-04</x:v>
      </x:c>
      <x:c r="H175" t="str">
        <x:v>Updated from driver_templates_expanded2</x:v>
      </x:c>
      <x:c r="I175" t="str"/>
    </x:row>
    <x:row r="176">
      <x:c r="A176" t="str">
        <x:v>Vercel_Documents</x:v>
      </x:c>
      <x:c r="B176" t="n">
        <x:v>72</x:v>
      </x:c>
      <x:c r="C176" t="str">
        <x:v>DRV-011</x:v>
      </x:c>
      <x:c r="D176" t="str">
        <x:v>Olivia Lee</x:v>
      </x:c>
      <x:c r="E176" t="str">
        <x:v>CDL Expiration Date</x:v>
      </x:c>
      <x:c r="F176" t="str">
        <x:v>2025-12-12</x:v>
      </x:c>
      <x:c r="G176" t="str">
        <x:v>2027-06-28</x:v>
      </x:c>
      <x:c r="H176" t="str">
        <x:v>Updated from driver_templates_expanded2</x:v>
      </x:c>
      <x:c r="I176" t="str"/>
    </x:row>
    <x:row r="177">
      <x:c r="A177" t="str">
        <x:v>Vercel_Documents</x:v>
      </x:c>
      <x:c r="B177" t="n">
        <x:v>73</x:v>
      </x:c>
      <x:c r="C177" t="str">
        <x:v>DRV-011</x:v>
      </x:c>
      <x:c r="D177" t="str">
        <x:v>Olivia Lee</x:v>
      </x:c>
      <x:c r="E177" t="str">
        <x:v>MEDICAL_CARD Expiration Date</x:v>
      </x:c>
      <x:c r="F177" t="str">
        <x:v>2025-11-20</x:v>
      </x:c>
      <x:c r="G177" t="str">
        <x:v>2027-04-22</x:v>
      </x:c>
      <x:c r="H177" t="str">
        <x:v>Updated from driver_templates_expanded2</x:v>
      </x:c>
      <x:c r="I177" t="str"/>
    </x:row>
    <x:row r="178">
      <x:c r="A178" t="str">
        <x:v>Vercel_Documents</x:v>
      </x:c>
      <x:c r="B178" t="n">
        <x:v>74</x:v>
      </x:c>
      <x:c r="C178" t="str">
        <x:v>DRV-011</x:v>
      </x:c>
      <x:c r="D178" t="str">
        <x:v>Olivia Lee</x:v>
      </x:c>
      <x:c r="E178" t="str">
        <x:v>MVR Expiration Date</x:v>
      </x:c>
      <x:c r="F178" t="str">
        <x:v>2026-03-28</x:v>
      </x:c>
      <x:c r="G178" t="str">
        <x:v>2027-04-07</x:v>
      </x:c>
      <x:c r="H178" t="str">
        <x:v>Updated from driver_templates_expanded2</x:v>
      </x:c>
      <x:c r="I178" t="str"/>
    </x:row>
    <x:row r="179">
      <x:c r="A179" t="str">
        <x:v>Vercel_Documents</x:v>
      </x:c>
      <x:c r="B179" t="n">
        <x:v>79</x:v>
      </x:c>
      <x:c r="C179" t="str">
        <x:v>DRV-012</x:v>
      </x:c>
      <x:c r="D179" t="str">
        <x:v>Robert Johnson</x:v>
      </x:c>
      <x:c r="E179" t="str">
        <x:v>CDL Expiration Date</x:v>
      </x:c>
      <x:c r="F179" t="str">
        <x:v>2026-04-23</x:v>
      </x:c>
      <x:c r="G179" t="str">
        <x:v>2027-11-15</x:v>
      </x:c>
      <x:c r="H179" t="str">
        <x:v>Updated from driver_templates_expanded2</x:v>
      </x:c>
      <x:c r="I179" t="str"/>
    </x:row>
    <x:row r="180">
      <x:c r="A180" t="str">
        <x:v>Vercel_Documents</x:v>
      </x:c>
      <x:c r="B180" t="n">
        <x:v>80</x:v>
      </x:c>
      <x:c r="C180" t="str">
        <x:v>DRV-012</x:v>
      </x:c>
      <x:c r="D180" t="str">
        <x:v>Robert Johnson</x:v>
      </x:c>
      <x:c r="E180" t="str">
        <x:v>MEDICAL_CARD Expiration Date</x:v>
      </x:c>
      <x:c r="F180" t="str">
        <x:v>2026-01-20</x:v>
      </x:c>
      <x:c r="G180" t="str">
        <x:v>2027-08-10</x:v>
      </x:c>
      <x:c r="H180" t="str">
        <x:v>Updated from driver_templates_expanded2</x:v>
      </x:c>
      <x:c r="I180" t="str"/>
    </x:row>
    <x:row r="181">
      <x:c r="A181" t="str">
        <x:v>Vercel_Documents</x:v>
      </x:c>
      <x:c r="B181" t="n">
        <x:v>81</x:v>
      </x:c>
      <x:c r="C181" t="str">
        <x:v>DRV-012</x:v>
      </x:c>
      <x:c r="D181" t="str">
        <x:v>Robert Johnson</x:v>
      </x:c>
      <x:c r="E181" t="str">
        <x:v>MVR Expiration Date</x:v>
      </x:c>
      <x:c r="F181" t="str">
        <x:v>2025-12-06</x:v>
      </x:c>
      <x:c r="G181" t="str">
        <x:v>2027-05-12</x:v>
      </x:c>
      <x:c r="H181" t="str">
        <x:v>Updated from driver_templates_expanded2</x:v>
      </x:c>
      <x:c r="I181" t="str"/>
    </x:row>
    <x:row r="182">
      <x:c r="A182" t="str">
        <x:v>Compliance_Events</x:v>
      </x:c>
      <x:c r="B182" t="n">
        <x:v>2</x:v>
      </x:c>
      <x:c r="C182" t="str">
        <x:v>DRV-002</x:v>
      </x:c>
      <x:c r="D182" t="str">
        <x:v>Maria Lopez</x:v>
      </x:c>
      <x:c r="E182" t="str">
        <x:v>Event Type</x:v>
      </x:c>
      <x:c r="F182" t="str">
        <x:v>Medical Card Expiring</x:v>
      </x:c>
      <x:c r="G182" t="str">
        <x:v>Medical Certification Verified</x:v>
      </x:c>
      <x:c r="H182" t="str">
        <x:v>Closed stale medical-expiring event</x:v>
      </x:c>
      <x:c r="I182" t="str">
        <x:v>Old event was based on stale date logic.</x:v>
      </x:c>
    </x:row>
    <x:row r="183">
      <x:c r="A183" t="str">
        <x:v>Compliance_Events</x:v>
      </x:c>
      <x:c r="B183" t="n">
        <x:v>2</x:v>
      </x:c>
      <x:c r="C183" t="str">
        <x:v>DRV-002</x:v>
      </x:c>
      <x:c r="D183" t="str">
        <x:v>Maria Lopez</x:v>
      </x:c>
      <x:c r="E183" t="str">
        <x:v>Severity</x:v>
      </x:c>
      <x:c r="F183" t="str">
        <x:v>DUE_SOON</x:v>
      </x:c>
      <x:c r="G183" t="str">
        <x:v>INFO</x:v>
      </x:c>
      <x:c r="H183" t="str">
        <x:v>Closed stale medical-expiring event</x:v>
      </x:c>
      <x:c r="I183" t="str">
        <x:v>Old event was based on stale date logic.</x:v>
      </x:c>
    </x:row>
    <x:row r="184">
      <x:c r="A184" t="str">
        <x:v>Compliance_Events</x:v>
      </x:c>
      <x:c r="B184" t="n">
        <x:v>2</x:v>
      </x:c>
      <x:c r="C184" t="str">
        <x:v>DRV-002</x:v>
      </x:c>
      <x:c r="D184" t="str">
        <x:v>Maria Lopez</x:v>
      </x:c>
      <x:c r="E184" t="str">
        <x:v>Status</x:v>
      </x:c>
      <x:c r="F184" t="str">
        <x:v>OPEN</x:v>
      </x:c>
      <x:c r="G184" t="str">
        <x:v>CLOSED</x:v>
      </x:c>
      <x:c r="H184" t="str">
        <x:v>Closed stale medical-expiring event</x:v>
      </x:c>
      <x:c r="I184" t="str">
        <x:v>Old event was based on stale date logic.</x:v>
      </x:c>
    </x:row>
    <x:row r="185">
      <x:c r="A185" t="str">
        <x:v>Compliance_Events</x:v>
      </x:c>
      <x:c r="B185" t="n">
        <x:v>2</x:v>
      </x:c>
      <x:c r="C185" t="str">
        <x:v>DRV-002</x:v>
      </x:c>
      <x:c r="D185" t="str">
        <x:v>Maria Lopez</x:v>
      </x:c>
      <x:c r="E185" t="str">
        <x:v>Due Date</x:v>
      </x:c>
      <x:c r="F185" t="str">
        <x:v>2026-04-03</x:v>
      </x:c>
      <x:c r="G185" t="str">
        <x:v>2027-07-28</x:v>
      </x:c>
      <x:c r="H185" t="str">
        <x:v>Closed stale medical-expiring event</x:v>
      </x:c>
      <x:c r="I185" t="str">
        <x:v>Old event was based on stale date logic.</x:v>
      </x:c>
    </x:row>
    <x:row r="186">
      <x:c r="A186" t="str">
        <x:v>Compliance_Events</x:v>
      </x:c>
      <x:c r="B186" t="n">
        <x:v>2</x:v>
      </x:c>
      <x:c r="C186" t="str">
        <x:v>DRV-002</x:v>
      </x:c>
      <x:c r="D186" t="str">
        <x:v>Maria Lopez</x:v>
      </x:c>
      <x:c r="E186" t="str">
        <x:v>Details</x:v>
      </x:c>
      <x:c r="F186" t="str">
        <x:v>Expires in 12 days</x:v>
      </x:c>
      <x:c r="G186" t="str">
        <x:v>Medical card expiration updated to 2027-07-28 from driver_templates_expanded2.</x:v>
      </x:c>
      <x:c r="H186" t="str">
        <x:v>Closed stale medical-expiring event</x:v>
      </x:c>
      <x:c r="I186" t="str">
        <x:v>Old event was based on stale date logic.</x:v>
      </x:c>
    </x:row>
    <x:row r="187">
      <x:c r="A187" t="str">
        <x:v>Compliance_Events</x:v>
      </x:c>
      <x:c r="B187" t="n">
        <x:v>3</x:v>
      </x:c>
      <x:c r="C187" t="str">
        <x:v>DRV-009</x:v>
      </x:c>
      <x:c r="D187" t="str">
        <x:v>Emma Brown</x:v>
      </x:c>
      <x:c r="E187" t="str">
        <x:v>Event Type</x:v>
      </x:c>
      <x:c r="F187" t="str">
        <x:v>Medical Card Expiring</x:v>
      </x:c>
      <x:c r="G187" t="str">
        <x:v>Medical Certification Verified</x:v>
      </x:c>
      <x:c r="H187" t="str">
        <x:v>Closed stale medical-expiring event</x:v>
      </x:c>
      <x:c r="I187" t="str">
        <x:v>Old event was based on stale date logic.</x:v>
      </x:c>
    </x:row>
    <x:row r="188">
      <x:c r="A188" t="str">
        <x:v>Compliance_Events</x:v>
      </x:c>
      <x:c r="B188" t="n">
        <x:v>3</x:v>
      </x:c>
      <x:c r="C188" t="str">
        <x:v>DRV-009</x:v>
      </x:c>
      <x:c r="D188" t="str">
        <x:v>Emma Brown</x:v>
      </x:c>
      <x:c r="E188" t="str">
        <x:v>Severity</x:v>
      </x:c>
      <x:c r="F188" t="str">
        <x:v>DUE_SOON</x:v>
      </x:c>
      <x:c r="G188" t="str">
        <x:v>INFO</x:v>
      </x:c>
      <x:c r="H188" t="str">
        <x:v>Closed stale medical-expiring event</x:v>
      </x:c>
      <x:c r="I188" t="str">
        <x:v>Old event was based on stale date logic.</x:v>
      </x:c>
    </x:row>
    <x:row r="189">
      <x:c r="A189" t="str">
        <x:v>Compliance_Events</x:v>
      </x:c>
      <x:c r="B189" t="n">
        <x:v>3</x:v>
      </x:c>
      <x:c r="C189" t="str">
        <x:v>DRV-009</x:v>
      </x:c>
      <x:c r="D189" t="str">
        <x:v>Emma Brown</x:v>
      </x:c>
      <x:c r="E189" t="str">
        <x:v>Status</x:v>
      </x:c>
      <x:c r="F189" t="str">
        <x:v>OPEN</x:v>
      </x:c>
      <x:c r="G189" t="str">
        <x:v>CLOSED</x:v>
      </x:c>
      <x:c r="H189" t="str">
        <x:v>Closed stale medical-expiring event</x:v>
      </x:c>
      <x:c r="I189" t="str">
        <x:v>Old event was based on stale date logic.</x:v>
      </x:c>
    </x:row>
    <x:row r="190">
      <x:c r="A190" t="str">
        <x:v>Compliance_Events</x:v>
      </x:c>
      <x:c r="B190" t="n">
        <x:v>3</x:v>
      </x:c>
      <x:c r="C190" t="str">
        <x:v>DRV-009</x:v>
      </x:c>
      <x:c r="D190" t="str">
        <x:v>Emma Brown</x:v>
      </x:c>
      <x:c r="E190" t="str">
        <x:v>Due Date</x:v>
      </x:c>
      <x:c r="F190" t="str">
        <x:v>2026-03-30</x:v>
      </x:c>
      <x:c r="G190" t="str">
        <x:v>2027-09-15</x:v>
      </x:c>
      <x:c r="H190" t="str">
        <x:v>Closed stale medical-expiring event</x:v>
      </x:c>
      <x:c r="I190" t="str">
        <x:v>Old event was based on stale date logic.</x:v>
      </x:c>
    </x:row>
    <x:row r="191">
      <x:c r="A191" t="str">
        <x:v>Compliance_Events</x:v>
      </x:c>
      <x:c r="B191" t="n">
        <x:v>3</x:v>
      </x:c>
      <x:c r="C191" t="str">
        <x:v>DRV-009</x:v>
      </x:c>
      <x:c r="D191" t="str">
        <x:v>Emma Brown</x:v>
      </x:c>
      <x:c r="E191" t="str">
        <x:v>Details</x:v>
      </x:c>
      <x:c r="F191" t="str">
        <x:v>Expires in 8 days</x:v>
      </x:c>
      <x:c r="G191" t="str">
        <x:v>Medical card expiration updated to 2027-09-15 from driver_templates_expanded2.</x:v>
      </x:c>
      <x:c r="H191" t="str">
        <x:v>Closed stale medical-expiring event</x:v>
      </x:c>
      <x:c r="I191" t="str">
        <x:v>Old event was based on stale date logic.</x:v>
      </x:c>
    </x:row>
    <x:row r="192">
      <x:c r="A192" t="str">
        <x:v>Vercel_Compliance</x:v>
      </x:c>
      <x:c r="B192" t="n">
        <x:v>2</x:v>
      </x:c>
      <x:c r="C192" t="str">
        <x:v>DRV-002</x:v>
      </x:c>
      <x:c r="D192" t="str">
        <x:v>Maria Lopez</x:v>
      </x:c>
      <x:c r="E192" t="str">
        <x:v>Event Type</x:v>
      </x:c>
      <x:c r="F192" t="str">
        <x:v>Medical Card Expiring</x:v>
      </x:c>
      <x:c r="G192" t="str">
        <x:v>Medical Certification Verified</x:v>
      </x:c>
      <x:c r="H192" t="str">
        <x:v>Closed stale medical-expiring event</x:v>
      </x:c>
      <x:c r="I192" t="str">
        <x:v>Old event was based on stale date logic.</x:v>
      </x:c>
    </x:row>
    <x:row r="193">
      <x:c r="A193" t="str">
        <x:v>Vercel_Compliance</x:v>
      </x:c>
      <x:c r="B193" t="n">
        <x:v>2</x:v>
      </x:c>
      <x:c r="C193" t="str">
        <x:v>DRV-002</x:v>
      </x:c>
      <x:c r="D193" t="str">
        <x:v>Maria Lopez</x:v>
      </x:c>
      <x:c r="E193" t="str">
        <x:v>Severity</x:v>
      </x:c>
      <x:c r="F193" t="str">
        <x:v>DUE_SOON</x:v>
      </x:c>
      <x:c r="G193" t="str">
        <x:v>INFO</x:v>
      </x:c>
      <x:c r="H193" t="str">
        <x:v>Closed stale medical-expiring event</x:v>
      </x:c>
      <x:c r="I193" t="str">
        <x:v>Old event was based on stale date logic.</x:v>
      </x:c>
    </x:row>
    <x:row r="194">
      <x:c r="A194" t="str">
        <x:v>Vercel_Compliance</x:v>
      </x:c>
      <x:c r="B194" t="n">
        <x:v>2</x:v>
      </x:c>
      <x:c r="C194" t="str">
        <x:v>DRV-002</x:v>
      </x:c>
      <x:c r="D194" t="str">
        <x:v>Maria Lopez</x:v>
      </x:c>
      <x:c r="E194" t="str">
        <x:v>Status</x:v>
      </x:c>
      <x:c r="F194" t="str">
        <x:v>OPEN</x:v>
      </x:c>
      <x:c r="G194" t="str">
        <x:v>CLOSED</x:v>
      </x:c>
      <x:c r="H194" t="str">
        <x:v>Closed stale medical-expiring event</x:v>
      </x:c>
      <x:c r="I194" t="str">
        <x:v>Old event was based on stale date logic.</x:v>
      </x:c>
    </x:row>
    <x:row r="195">
      <x:c r="A195" t="str">
        <x:v>Vercel_Compliance</x:v>
      </x:c>
      <x:c r="B195" t="n">
        <x:v>2</x:v>
      </x:c>
      <x:c r="C195" t="str">
        <x:v>DRV-002</x:v>
      </x:c>
      <x:c r="D195" t="str">
        <x:v>Maria Lopez</x:v>
      </x:c>
      <x:c r="E195" t="str">
        <x:v>Due Date</x:v>
      </x:c>
      <x:c r="F195" t="str">
        <x:v>2026-04-03</x:v>
      </x:c>
      <x:c r="G195" t="str">
        <x:v>2027-07-28</x:v>
      </x:c>
      <x:c r="H195" t="str">
        <x:v>Closed stale medical-expiring event</x:v>
      </x:c>
      <x:c r="I195" t="str">
        <x:v>Old event was based on stale date logic.</x:v>
      </x:c>
    </x:row>
    <x:row r="196">
      <x:c r="A196" t="str">
        <x:v>Vercel_Compliance</x:v>
      </x:c>
      <x:c r="B196" t="n">
        <x:v>2</x:v>
      </x:c>
      <x:c r="C196" t="str">
        <x:v>DRV-002</x:v>
      </x:c>
      <x:c r="D196" t="str">
        <x:v>Maria Lopez</x:v>
      </x:c>
      <x:c r="E196" t="str">
        <x:v>Details</x:v>
      </x:c>
      <x:c r="F196" t="str">
        <x:v>Expires in 12 days</x:v>
      </x:c>
      <x:c r="G196" t="str">
        <x:v>Medical card expiration updated to 2027-07-28 from driver_templates_expanded2.</x:v>
      </x:c>
      <x:c r="H196" t="str">
        <x:v>Closed stale medical-expiring event</x:v>
      </x:c>
      <x:c r="I196" t="str">
        <x:v>Old event was based on stale date logic.</x:v>
      </x:c>
    </x:row>
    <x:row r="197">
      <x:c r="A197" t="str">
        <x:v>Vercel_Compliance</x:v>
      </x:c>
      <x:c r="B197" t="n">
        <x:v>3</x:v>
      </x:c>
      <x:c r="C197" t="str">
        <x:v>DRV-009</x:v>
      </x:c>
      <x:c r="D197" t="str">
        <x:v>Emma Brown</x:v>
      </x:c>
      <x:c r="E197" t="str">
        <x:v>Event Type</x:v>
      </x:c>
      <x:c r="F197" t="str">
        <x:v>Medical Card Expiring</x:v>
      </x:c>
      <x:c r="G197" t="str">
        <x:v>Medical Certification Verified</x:v>
      </x:c>
      <x:c r="H197" t="str">
        <x:v>Closed stale medical-expiring event</x:v>
      </x:c>
      <x:c r="I197" t="str">
        <x:v>Old event was based on stale date logic.</x:v>
      </x:c>
    </x:row>
    <x:row r="198">
      <x:c r="A198" t="str">
        <x:v>Vercel_Compliance</x:v>
      </x:c>
      <x:c r="B198" t="n">
        <x:v>3</x:v>
      </x:c>
      <x:c r="C198" t="str">
        <x:v>DRV-009</x:v>
      </x:c>
      <x:c r="D198" t="str">
        <x:v>Emma Brown</x:v>
      </x:c>
      <x:c r="E198" t="str">
        <x:v>Severity</x:v>
      </x:c>
      <x:c r="F198" t="str">
        <x:v>DUE_SOON</x:v>
      </x:c>
      <x:c r="G198" t="str">
        <x:v>INFO</x:v>
      </x:c>
      <x:c r="H198" t="str">
        <x:v>Closed stale medical-expiring event</x:v>
      </x:c>
      <x:c r="I198" t="str">
        <x:v>Old event was based on stale date logic.</x:v>
      </x:c>
    </x:row>
    <x:row r="199">
      <x:c r="A199" t="str">
        <x:v>Vercel_Compliance</x:v>
      </x:c>
      <x:c r="B199" t="n">
        <x:v>3</x:v>
      </x:c>
      <x:c r="C199" t="str">
        <x:v>DRV-009</x:v>
      </x:c>
      <x:c r="D199" t="str">
        <x:v>Emma Brown</x:v>
      </x:c>
      <x:c r="E199" t="str">
        <x:v>Status</x:v>
      </x:c>
      <x:c r="F199" t="str">
        <x:v>OPEN</x:v>
      </x:c>
      <x:c r="G199" t="str">
        <x:v>CLOSED</x:v>
      </x:c>
      <x:c r="H199" t="str">
        <x:v>Closed stale medical-expiring event</x:v>
      </x:c>
      <x:c r="I199" t="str">
        <x:v>Old event was based on stale date logic.</x:v>
      </x:c>
    </x:row>
    <x:row r="200">
      <x:c r="A200" t="str">
        <x:v>Vercel_Compliance</x:v>
      </x:c>
      <x:c r="B200" t="n">
        <x:v>3</x:v>
      </x:c>
      <x:c r="C200" t="str">
        <x:v>DRV-009</x:v>
      </x:c>
      <x:c r="D200" t="str">
        <x:v>Emma Brown</x:v>
      </x:c>
      <x:c r="E200" t="str">
        <x:v>Due Date</x:v>
      </x:c>
      <x:c r="F200" t="str">
        <x:v>2026-03-30</x:v>
      </x:c>
      <x:c r="G200" t="str">
        <x:v>2027-09-15</x:v>
      </x:c>
      <x:c r="H200" t="str">
        <x:v>Closed stale medical-expiring event</x:v>
      </x:c>
      <x:c r="I200" t="str">
        <x:v>Old event was based on stale date logic.</x:v>
      </x:c>
    </x:row>
    <x:row r="201">
      <x:c r="A201" t="str">
        <x:v>Vercel_Compliance</x:v>
      </x:c>
      <x:c r="B201" t="n">
        <x:v>3</x:v>
      </x:c>
      <x:c r="C201" t="str">
        <x:v>DRV-009</x:v>
      </x:c>
      <x:c r="D201" t="str">
        <x:v>Emma Brown</x:v>
      </x:c>
      <x:c r="E201" t="str">
        <x:v>Details</x:v>
      </x:c>
      <x:c r="F201" t="str">
        <x:v>Expires in 8 days</x:v>
      </x:c>
      <x:c r="G201" t="str">
        <x:v>Medical card expiration updated to 2027-09-15 from driver_templates_expanded2.</x:v>
      </x:c>
      <x:c r="H201" t="str">
        <x:v>Closed stale medical-expiring event</x:v>
      </x:c>
      <x:c r="I201" t="str">
        <x:v>Old event was based on stale date logic.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>
      <x:c r="A1" s="174" t="str">
        <x:v>Scan</x:v>
      </x:c>
      <x:c r="B1" s="174" t="str">
        <x:v>Result</x:v>
      </x:c>
    </x:row>
    <x:row r="2">
      <x:c r="A2" t="str">
        <x:v>Active data sheets scan</x:v>
      </x:c>
      <x:c r="B2" t="str">
        <x:v>See Field_Differences for old values. Active sheets were updated to 2027 source values.</x:v>
      </x:c>
    </x:row>
    <x:row r="3">
      <x:c r="A3" t="str">
        <x:v>Raw match output</x:v>
      </x:c>
      <x:c r="B3" t="str">
        <x:v>{"kind":"match","sheet":"Cleanup_Summary","address":"A10","value":"Bad 2026-04-22 active med date","formula":null,"match":"value"}
{"kind":"match","sheet":"Stale_Date_Scan","address":"A2","value":"2026-04-22 / 04/22/2026 / 4/22/2026 / 4-22-2026","formula":null,"match":"value"}
{"kind":"match","sheet":"Stale_Date_Scan","address":"B2","value":"{\"kind\":\"match\",\"sheet\":\"Cleanup_Summary\",\"address\":\"A10\",\"value\":\"Bad 2026-04-22 active med date\",\"formula\":null,\"match\":\"value\"}","formula":null,"match":"value"}</x:v>
      </x:c>
    </x:row>
    <x:row r="4">
      <x:c r="A4" t="str">
        <x:v>Note</x:v>
      </x:c>
      <x:c r="B4" t="str">
        <x:v>Matches may appear in cleanup/audit sheets as old values only; not intended as active source data.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</x:cols>
  <x:sheetData>
    <x:row r="1">
      <x:c r="A1" s="179" t="str">
        <x:v>Consolidation Item</x:v>
      </x:c>
      <x:c r="B1" s="179" t="str">
        <x:v>Result</x:v>
      </x:c>
    </x:row>
    <x:row r="2">
      <x:c r="A2" s="130" t="str">
        <x:v>Base workbook</x:v>
      </x:c>
      <x:c r="B2" s="130" t="str">
        <x:v>main-source_enhanced_bof_aligned_CLEANED.xlsx</x:v>
      </x:c>
    </x:row>
    <x:row r="3">
      <x:c r="A3" s="130" t="str">
        <x:v>Imported driver template file</x:v>
      </x:c>
      <x:c r="B3" s="130" t="str">
        <x:v>driver_templates_expanded2(1).xlsx</x:v>
      </x:c>
    </x:row>
    <x:row r="4">
      <x:c r="A4" s="130" t="str">
        <x:v>Imported settlement file</x:v>
      </x:c>
      <x:c r="B4" s="130" t="str">
        <x:v>settlement sheet new(1).xlsx</x:v>
      </x:c>
    </x:row>
    <x:row r="5">
      <x:c r="A5" s="130" t="str">
        <x:v>Driver template raw rows</x:v>
      </x:c>
      <x:c r="B5" s="130" t="n">
        <x:v>97</x:v>
      </x:c>
    </x:row>
    <x:row r="6">
      <x:c r="A6" s="130" t="str">
        <x:v>Driver template raw columns</x:v>
      </x:c>
      <x:c r="B6" s="130" t="n">
        <x:v>132</x:v>
      </x:c>
    </x:row>
    <x:row r="7">
      <x:c r="A7" s="130" t="str">
        <x:v>Settlement raw rows</x:v>
      </x:c>
      <x:c r="B7" s="130" t="n">
        <x:v>12</x:v>
      </x:c>
    </x:row>
    <x:row r="8">
      <x:c r="A8" s="130" t="str">
        <x:v>Settlement raw columns</x:v>
      </x:c>
      <x:c r="B8" s="130" t="n">
        <x:v>25</x:v>
      </x:c>
    </x:row>
    <x:row r="9">
      <x:c r="A9" s="130" t="str">
        <x:v>Driver/template differences rows</x:v>
      </x:c>
      <x:c r="B9" s="130" t="n">
        <x:v>71</x:v>
      </x:c>
    </x:row>
    <x:row r="10">
      <x:c r="A10" s="130" t="str">
        <x:v>Settlement differences rows</x:v>
      </x:c>
      <x:c r="B10" s="130" t="n">
        <x:v>264</x:v>
      </x:c>
    </x:row>
    <x:row r="11">
      <x:c r="A11" s="130" t="str">
        <x:v>Active sheets overwritten?</x:v>
      </x:c>
      <x:c r="B11" s="130" t="str">
        <x:v>No - raw imports and reconciliation sheets added for review</x:v>
      </x:c>
    </x:row>
    <x:row r="12">
      <x:c r="A12" s="130" t="str">
        <x:v>Recommended use</x:v>
      </x:c>
      <x:c r="B12" s="130" t="str">
        <x:v>Review difference sheets, then promote chosen values into active sheets via controlled parser/reconciliation logic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  <x:col min="108" max="108" width="18" hidden="0" customWidth="1"/>
    <x:col min="109" max="109" width="18" hidden="0" customWidth="1"/>
    <x:col min="110" max="110" width="18" hidden="0" customWidth="1"/>
    <x:col min="111" max="111" width="18" hidden="0" customWidth="1"/>
    <x:col min="112" max="112" width="18" hidden="0" customWidth="1"/>
    <x:col min="113" max="113" width="18" hidden="0" customWidth="1"/>
    <x:col min="114" max="114" width="18" hidden="0" customWidth="1"/>
    <x:col min="115" max="115" width="18" hidden="0" customWidth="1"/>
    <x:col min="116" max="116" width="18" hidden="0" customWidth="1"/>
    <x:col min="117" max="117" width="18" hidden="0" customWidth="1"/>
    <x:col min="118" max="118" width="18" hidden="0" customWidth="1"/>
    <x:col min="119" max="119" width="18" hidden="0" customWidth="1"/>
    <x:col min="120" max="120" width="18" hidden="0" customWidth="1"/>
    <x:col min="121" max="121" width="18" hidden="0" customWidth="1"/>
    <x:col min="122" max="122" width="18" hidden="0" customWidth="1"/>
    <x:col min="123" max="123" width="18" hidden="0" customWidth="1"/>
    <x:col min="124" max="124" width="18" hidden="0" customWidth="1"/>
    <x:col min="125" max="125" width="18" hidden="0" customWidth="1"/>
    <x:col min="126" max="126" width="18" hidden="0" customWidth="1"/>
    <x:col min="127" max="127" width="18" hidden="0" customWidth="1"/>
    <x:col min="128" max="128" width="18" hidden="0" customWidth="1"/>
    <x:col min="129" max="129" width="18" hidden="0" customWidth="1"/>
    <x:col min="130" max="130" width="18" hidden="0" customWidth="1"/>
    <x:col min="131" max="131" width="18" hidden="0" customWidth="1"/>
    <x:col min="132" max="132" width="18" hidden="0" customWidth="1"/>
  </x:cols>
  <x:sheetData>
    <x:row r="1">
      <x:c r="A1" s="179" t="str">
        <x:v>Driver ID</x:v>
      </x:c>
      <x:c r="B1" s="179" t="str">
        <x:v>Full Name</x:v>
      </x:c>
      <x:c r="C1" s="179" t="str">
        <x:v>Full Address</x:v>
      </x:c>
      <x:c r="D1" s="179" t="str">
        <x:v>Phone</x:v>
      </x:c>
      <x:c r="E1" s="179" t="str">
        <x:v>SSN (Masked)</x:v>
      </x:c>
      <x:c r="F1" s="179" t="str">
        <x:v>Bank Name</x:v>
      </x:c>
      <x:c r="G1" s="179" t="str">
        <x:v>Routing Number</x:v>
      </x:c>
      <x:c r="H1" s="179" t="str">
        <x:v>Account Number</x:v>
      </x:c>
      <x:c r="I1" s="179" t="str">
        <x:v>Document Type</x:v>
      </x:c>
      <x:c r="J1" s="179" t="str">
        <x:v>Status</x:v>
      </x:c>
      <x:c r="K1" s="179" t="str">
        <x:v>Document Number</x:v>
      </x:c>
      <x:c r="L1" s="179" t="str">
        <x:v>CDL Expiration</x:v>
      </x:c>
      <x:c r="M1" s="179" t="str">
        <x:v>Med Card Expiration</x:v>
      </x:c>
      <x:c r="N1" s="179" t="str">
        <x:v>MVR Expiration</x:v>
      </x:c>
      <x:c r="O1" s="179" t="str">
        <x:v>Incident Details</x:v>
      </x:c>
      <x:c r="P1" s="179" t="str">
        <x:v>Hair Color</x:v>
      </x:c>
      <x:c r="Q1" s="179" t="str">
        <x:v>Eye Color</x:v>
      </x:c>
      <x:c r="R1" s="179" t="str">
        <x:v>Height</x:v>
      </x:c>
      <x:c r="S1" s="179" t="str">
        <x:v>Weight</x:v>
      </x:c>
      <x:c r="T1" s="179" t="str">
        <x:v>Gender</x:v>
      </x:c>
      <x:c r="U1" s="179" t="str">
        <x:v>DOB</x:v>
      </x:c>
      <x:c r="V1" s="179" t="str">
        <x:v>Driver Photo</x:v>
      </x:c>
      <x:c r="W1" s="179" t="str">
        <x:v>Ethnicity</x:v>
      </x:c>
      <x:c r="X1" s="179" t="str">
        <x:v>Email</x:v>
      </x:c>
      <x:c r="Y1" s="179" t="str">
        <x:v>Street Address</x:v>
      </x:c>
      <x:c r="Z1" s="179" t="str">
        <x:v>City</x:v>
      </x:c>
      <x:c r="AA1" s="179" t="str">
        <x:v>State</x:v>
      </x:c>
      <x:c r="AB1" s="179" t="str">
        <x:v>ZIP</x:v>
      </x:c>
      <x:c r="AC1" s="179" t="str">
        <x:v>State of Residence</x:v>
      </x:c>
      <x:c r="AD1" s="179" t="str">
        <x:v>License Class</x:v>
      </x:c>
      <x:c r="AE1" s="179" t="str">
        <x:v>CDL Issue Date</x:v>
      </x:c>
      <x:c r="AF1" s="179" t="str">
        <x:v>CDL Endorsements</x:v>
      </x:c>
      <x:c r="AG1" s="179" t="str">
        <x:v>CDL Restrictions</x:v>
      </x:c>
      <x:c r="AH1" s="179" t="str">
        <x:v>Medical Issue Date</x:v>
      </x:c>
      <x:c r="AI1" s="179" t="str">
        <x:v>Medical Certificate Number</x:v>
      </x:c>
      <x:c r="AJ1" s="179" t="str">
        <x:v>Medical Examiner Name</x:v>
      </x:c>
      <x:c r="AK1" s="179" t="str">
        <x:v>Medical Examiner Registry Number</x:v>
      </x:c>
      <x:c r="AL1" s="179" t="str">
        <x:v>Medical Restrictions</x:v>
      </x:c>
      <x:c r="AM1" s="179" t="str">
        <x:v>Medical Status</x:v>
      </x:c>
      <x:c r="AN1" s="179" t="str">
        <x:v>MVR Review Date</x:v>
      </x:c>
      <x:c r="AO1" s="179" t="str">
        <x:v>Violation Points</x:v>
      </x:c>
      <x:c r="AP1" s="179" t="str">
        <x:v>Accidents on Record</x:v>
      </x:c>
      <x:c r="AQ1" s="179" t="str">
        <x:v>MVR Restrictions</x:v>
      </x:c>
      <x:c r="AR1" s="179" t="str">
        <x:v>MVR Status</x:v>
      </x:c>
      <x:c r="AS1" s="179" t="str">
        <x:v>Hire Date</x:v>
      </x:c>
      <x:c r="AT1" s="179" t="str">
        <x:v>Work Authorization Status</x:v>
      </x:c>
      <x:c r="AU1" s="179" t="str">
        <x:v>I9 Document 1</x:v>
      </x:c>
      <x:c r="AV1" s="179" t="str">
        <x:v>I9 Document 2</x:v>
      </x:c>
      <x:c r="AW1" s="179" t="str">
        <x:v>I9 Document 3</x:v>
      </x:c>
      <x:c r="AX1" s="179" t="str">
        <x:v>I9 Completion Date</x:v>
      </x:c>
      <x:c r="AY1" s="179" t="str">
        <x:v>Employer Representative</x:v>
      </x:c>
      <x:c r="AZ1" s="179" t="str">
        <x:v>I9 Status</x:v>
      </x:c>
      <x:c r="BA1" s="179" t="str">
        <x:v>Business Name</x:v>
      </x:c>
      <x:c r="BB1" s="179" t="str">
        <x:v>Tax Classification</x:v>
      </x:c>
      <x:c r="BC1" s="179" t="str">
        <x:v>TIN Type</x:v>
      </x:c>
      <x:c r="BD1" s="179" t="str">
        <x:v>TIN</x:v>
      </x:c>
      <x:c r="BE1" s="179" t="str">
        <x:v>Exemption Codes</x:v>
      </x:c>
      <x:c r="BF1" s="179" t="str">
        <x:v>W9 Submission Date</x:v>
      </x:c>
      <x:c r="BG1" s="179" t="str">
        <x:v>W9 Status</x:v>
      </x:c>
      <x:c r="BH1" s="179" t="str">
        <x:v>Account Type</x:v>
      </x:c>
      <x:c r="BI1" s="179" t="str">
        <x:v>Payment Preference</x:v>
      </x:c>
      <x:c r="BJ1" s="179" t="str">
        <x:v>Bank Info Submission Date</x:v>
      </x:c>
      <x:c r="BK1" s="179" t="str">
        <x:v>Bank Info Status</x:v>
      </x:c>
      <x:c r="BL1" s="179" t="str">
        <x:v>Road Test Date</x:v>
      </x:c>
      <x:c r="BM1" s="179" t="str">
        <x:v>Examiner Name</x:v>
      </x:c>
      <x:c r="BN1" s="179" t="str">
        <x:v>Vehicle Type</x:v>
      </x:c>
      <x:c r="BO1" s="179" t="str">
        <x:v>Trailer Type</x:v>
      </x:c>
      <x:c r="BP1" s="179" t="str">
        <x:v>Road Test Location</x:v>
      </x:c>
      <x:c r="BQ1" s="179" t="str">
        <x:v>Pre-Trip Inspection Score</x:v>
      </x:c>
      <x:c r="BR1" s="179" t="str">
        <x:v>Vehicle Control Score</x:v>
      </x:c>
      <x:c r="BS1" s="179" t="str">
        <x:v>Backing Score</x:v>
      </x:c>
      <x:c r="BT1" s="179" t="str">
        <x:v>Turning Score</x:v>
      </x:c>
      <x:c r="BU1" s="179" t="str">
        <x:v>Braking Score</x:v>
      </x:c>
      <x:c r="BV1" s="179" t="str">
        <x:v>Mirror Use Score</x:v>
      </x:c>
      <x:c r="BW1" s="179" t="str">
        <x:v>Coupling Score</x:v>
      </x:c>
      <x:c r="BX1" s="179" t="str">
        <x:v>Defensive Driving Score</x:v>
      </x:c>
      <x:c r="BY1" s="179" t="str">
        <x:v>Overall Safety Score</x:v>
      </x:c>
      <x:c r="BZ1" s="179" t="str">
        <x:v>Road Test Result</x:v>
      </x:c>
      <x:c r="CA1" s="179" t="str">
        <x:v>Restrictions or Recommendations</x:v>
      </x:c>
      <x:c r="CB1" s="179" t="str">
        <x:v>Road Test Status</x:v>
      </x:c>
      <x:c r="CC1" s="179" t="str">
        <x:v>Drug and Alcohol Status</x:v>
      </x:c>
      <x:c r="CD1" s="179" t="str">
        <x:v>Clearinghouse Status</x:v>
      </x:c>
      <x:c r="CE1" s="179" t="str">
        <x:v>Compliance Review Date</x:v>
      </x:c>
      <x:c r="CF1" s="179" t="str">
        <x:v>Next Review Date</x:v>
      </x:c>
      <x:c r="CG1" s="179" t="str">
        <x:v>Open Deficiencies</x:v>
      </x:c>
      <x:c r="CH1" s="179" t="str">
        <x:v>Compliance Status</x:v>
      </x:c>
      <x:c r="CI1" s="179" t="str">
        <x:v>Notes</x:v>
      </x:c>
      <x:c r="CJ1" s="179" t="str">
        <x:v>First Name</x:v>
      </x:c>
      <x:c r="CK1" s="179" t="str">
        <x:v>Last Name</x:v>
      </x:c>
      <x:c r="CL1" s="179" t="str">
        <x:v>5876 Driver License Number</x:v>
      </x:c>
      <x:c r="CM1" s="179" t="str">
        <x:v>5876 License Issuing State</x:v>
      </x:c>
      <x:c r="CN1" s="179" t="str">
        <x:v>5876 CLP/CDL Applicant/Holder</x:v>
      </x:c>
      <x:c r="CO1" s="179" t="str">
        <x:v>5876 Driver Signature Name</x:v>
      </x:c>
      <x:c r="CP1" s="179" t="str">
        <x:v>5876 Driver Signature Date</x:v>
      </x:c>
      <x:c r="CQ1" s="179" t="str">
        <x:v>5876 Certificate Expiration Date</x:v>
      </x:c>
      <x:c r="CR1" s="179" t="str">
        <x:v>5876 Medical Examiner Telephone</x:v>
      </x:c>
      <x:c r="CS1" s="179" t="str">
        <x:v>5876 Medical Examiner Signature Name</x:v>
      </x:c>
      <x:c r="CT1" s="179" t="str">
        <x:v>5876 Date Certificate Signed</x:v>
      </x:c>
      <x:c r="CU1" s="179" t="str">
        <x:v>5876 Medical Examiner License Number</x:v>
      </x:c>
      <x:c r="CV1" s="179" t="str">
        <x:v>5876 National Registry Number</x:v>
      </x:c>
      <x:c r="CW1" s="179" t="str">
        <x:v>5876 Practitioner Type</x:v>
      </x:c>
      <x:c r="CX1" s="179" t="str">
        <x:v>5876 Issuing State/Province</x:v>
      </x:c>
      <x:c r="CY1" s="179" t="str">
        <x:v>5876 Certification Basis</x:v>
      </x:c>
      <x:c r="CZ1" s="179" t="str">
        <x:v>5876 State Variance Details</x:v>
      </x:c>
      <x:c r="DA1" s="179" t="str">
        <x:v>5876 Waiver/Exemption</x:v>
      </x:c>
      <x:c r="DB1" s="179" t="str">
        <x:v>5876 SPE Certificate</x:v>
      </x:c>
      <x:c r="DC1" s="179" t="str">
        <x:v>5876 Exempt Intracity Zone</x:v>
      </x:c>
      <x:c r="DD1" s="179" t="str">
        <x:v>5876 Grandfathered from State Requirements</x:v>
      </x:c>
      <x:c r="DE1" s="179" t="str">
        <x:v>5876 Wearing Corrective Lenses</x:v>
      </x:c>
      <x:c r="DF1" s="179" t="str">
        <x:v>5876 Wearing Hearing Aid</x:v>
      </x:c>
      <x:c r="DG1" s="179" t="str">
        <x:v>Emergency Contact Name</x:v>
      </x:c>
      <x:c r="DH1" s="179" t="str">
        <x:v>Emergency Contact Relation</x:v>
      </x:c>
      <x:c r="DI1" s="179" t="str">
        <x:v>Emergency Contact Phone</x:v>
      </x:c>
      <x:c r="DJ1" s="179" t="str">
        <x:v>5875 High Blood Pressure</x:v>
      </x:c>
      <x:c r="DK1" s="179" t="str">
        <x:v>5875 Diabetes</x:v>
      </x:c>
      <x:c r="DL1" s="179" t="str">
        <x:v>5875 Sleep Apnea</x:v>
      </x:c>
      <x:c r="DM1" s="179" t="str">
        <x:v>5875 Heart Disease</x:v>
      </x:c>
      <x:c r="DN1" s="179" t="str">
        <x:v>5875 Surgeries</x:v>
      </x:c>
      <x:c r="DO1" s="179" t="str">
        <x:v>5875 Vision Score Right</x:v>
      </x:c>
      <x:c r="DP1" s="179" t="str">
        <x:v>5875 Vision Score Left</x:v>
      </x:c>
      <x:c r="DQ1" s="179" t="str">
        <x:v>5875 Hearing Score</x:v>
      </x:c>
      <x:c r="DR1" s="179" t="str">
        <x:v>5875 Blood Pressure Sys</x:v>
      </x:c>
      <x:c r="DS1" s="179" t="str">
        <x:v>5875 Blood Pressure Dia</x:v>
      </x:c>
      <x:c r="DT1" s="179" t="str">
        <x:v>5875 Pulse</x:v>
      </x:c>
      <x:c r="DU1" s="179" t="str">
        <x:v>5875 Urinalysis</x:v>
      </x:c>
      <x:c r="DV1" s="179" t="str">
        <x:v>Clearinghouse Consent Date</x:v>
      </x:c>
      <x:c r="DW1" s="179" t="str">
        <x:v>Drug Test Result Date</x:v>
      </x:c>
      <x:c r="DX1" s="179" t="str">
        <x:v>Drug Test Result</x:v>
      </x:c>
      <x:c r="DY1" s="179" t="str">
        <x:v>Safety Policy Ack Date</x:v>
      </x:c>
      <x:c r="DZ1" s="179" t="str">
        <x:v>Safety Policy Name</x:v>
      </x:c>
      <x:c r="EA1" s="179" t="str">
        <x:v>DQF Status</x:v>
      </x:c>
      <x:c r="EB1" s="179" t="str">
        <x:v>DQF Audit Date</x:v>
      </x:c>
    </x:row>
    <x:row r="2">
      <x:c r="A2" s="130" t="str">
        <x:v>DRV-001</x:v>
      </x:c>
      <x:c r="B2" s="130" t="str">
        <x:v>John Carter</x:v>
      </x:c>
      <x:c r="C2" s="130" t="str">
        <x:v>220 Demo Street, Cleveland, OH 44113</x:v>
      </x:c>
      <x:c r="D2" s="130" t="str">
        <x:v>206-555-0102</x:v>
      </x:c>
      <x:c r="E2" s="130" t="str">
        <x:v>***-**-0123</x:v>
      </x:c>
      <x:c r="F2" s="130" t="str">
        <x:v>Huntington</x:v>
      </x:c>
      <x:c r="G2" s="130" t="n">
        <x:v>000000104</x:v>
      </x:c>
      <x:c r="H2" s="130" t="n">
        <x:v>999900202</x:v>
      </x:c>
      <x:c r="I2" s="130" t="str">
        <x:v>CDL Summary</x:v>
      </x:c>
      <x:c r="J2" s="130" t="str">
        <x:v>VALID</x:v>
      </x:c>
      <x:c r="K2" s="130" t="str">
        <x:v>OH0000075</x:v>
      </x:c>
      <x:c r="L2" s="180" t="n">
        <x:v>46621</x:v>
      </x:c>
      <x:c r="M2" s="180" t="n">
        <x:v>46272</x:v>
      </x:c>
      <x:c r="N2" s="180" t="n">
        <x:v>46310</x:v>
      </x:c>
      <x:c r="O2" s="130"/>
      <x:c r="P2" s="130" t="str">
        <x:v>Black</x:v>
      </x:c>
      <x:c r="Q2" s="130" t="str">
        <x:v>Green</x:v>
      </x:c>
      <x:c r="R2" s="130" t="str">
        <x:v>5'-10"</x:v>
      </x:c>
      <x:c r="S2" s="130" t="n">
        <x:v>180</x:v>
      </x:c>
      <x:c r="T2" s="130" t="str">
        <x:v>M</x:v>
      </x:c>
      <x:c r="U2" s="130" t="n">
        <x:v>25934</x:v>
      </x:c>
      <x:c r="V2" s="130" t="str">
        <x:v>DRV-001.png</x:v>
      </x:c>
      <x:c r="W2" s="130" t="str">
        <x:v>Caucasian</x:v>
      </x:c>
      <x:c r="X2" s="130" t="str">
        <x:v>jcarter@example.com</x:v>
      </x:c>
      <x:c r="Y2" s="130" t="str">
        <x:v>220 Demo Street</x:v>
      </x:c>
      <x:c r="Z2" s="130" t="str">
        <x:v>Cleveland</x:v>
      </x:c>
      <x:c r="AA2" s="130" t="str">
        <x:v>OH</x:v>
      </x:c>
      <x:c r="AB2" s="130" t="n">
        <x:v>44113</x:v>
      </x:c>
      <x:c r="AC2" s="130" t="str">
        <x:v>OH</x:v>
      </x:c>
      <x:c r="AD2" s="130" t="str">
        <x:v>Class A</x:v>
      </x:c>
      <x:c r="AE2" s="180" t="n">
        <x:v>44799</x:v>
      </x:c>
      <x:c r="AF2" s="130" t="str">
        <x:v>N,T</x:v>
      </x:c>
      <x:c r="AG2" s="130"/>
      <x:c r="AH2" s="180" t="n">
        <x:v>45364</x:v>
      </x:c>
      <x:c r="AI2" s="130" t="str">
        <x:v>MC-0010108</x:v>
      </x:c>
      <x:c r="AJ2" s="130" t="str">
        <x:v>Dr. Patricia Owens</x:v>
      </x:c>
      <x:c r="AK2" s="130" t="str">
        <x:v>ME100001</x:v>
      </x:c>
      <x:c r="AL2" s="130"/>
      <x:c r="AM2" s="130" t="str">
        <x:v>Qualified</x:v>
      </x:c>
      <x:c r="AN2" s="180" t="n">
        <x:v>46050</x:v>
      </x:c>
      <x:c r="AO2" s="130" t="n">
        <x:v>0</x:v>
      </x:c>
      <x:c r="AP2" s="130" t="n">
        <x:v>0</x:v>
      </x:c>
      <x:c r="AQ2" s="130"/>
      <x:c r="AR2" s="130" t="str">
        <x:v>Clear</x:v>
      </x:c>
      <x:c r="AS2" s="180" t="n">
        <x:v>45392</x:v>
      </x:c>
      <x:c r="AT2" s="130" t="str">
        <x:v>Authorized to Work</x:v>
      </x:c>
      <x:c r="AU2" s="130" t="str">
        <x:v>U.S. Passport</x:v>
      </x:c>
      <x:c r="AV2" s="130"/>
      <x:c r="AW2" s="130"/>
      <x:c r="AX2" s="180" t="n">
        <x:v>45392</x:v>
      </x:c>
      <x:c r="AY2" s="130" t="str">
        <x:v>BOF Onboarding Team</x:v>
      </x:c>
      <x:c r="AZ2" s="130" t="str">
        <x:v>Complete</x:v>
      </x:c>
      <x:c r="BA2" s="130"/>
      <x:c r="BB2" s="130" t="str">
        <x:v>Individual/Sole Proprietor</x:v>
      </x:c>
      <x:c r="BC2" s="130" t="str">
        <x:v>SSN</x:v>
      </x:c>
      <x:c r="BD2" s="130" t="str">
        <x:v>***-**-0123</x:v>
      </x:c>
      <x:c r="BE2" s="130"/>
      <x:c r="BF2" s="180" t="n">
        <x:v>45392</x:v>
      </x:c>
      <x:c r="BG2" s="130" t="str">
        <x:v>Received</x:v>
      </x:c>
      <x:c r="BH2" s="130" t="str">
        <x:v>Checking</x:v>
      </x:c>
      <x:c r="BI2" s="130" t="str">
        <x:v>Direct Deposit</x:v>
      </x:c>
      <x:c r="BJ2" s="180" t="n">
        <x:v>45392</x:v>
      </x:c>
      <x:c r="BK2" s="130" t="str">
        <x:v>Verified</x:v>
      </x:c>
      <x:c r="BL2" s="180" t="n">
        <x:v>45385</x:v>
      </x:c>
      <x:c r="BM2" s="130" t="str">
        <x:v>A. Reynolds</x:v>
      </x:c>
      <x:c r="BN2" s="130" t="str">
        <x:v>Sleeper tractor</x:v>
      </x:c>
      <x:c r="BO2" s="130" t="str">
        <x:v>53 ft dry van</x:v>
      </x:c>
      <x:c r="BP2" s="130" t="str">
        <x:v>Cleveland, OH</x:v>
      </x:c>
      <x:c r="BQ2" s="130" t="n">
        <x:v>5</x:v>
      </x:c>
      <x:c r="BR2" s="130" t="n">
        <x:v>5</x:v>
      </x:c>
      <x:c r="BS2" s="130" t="n">
        <x:v>4</x:v>
      </x:c>
      <x:c r="BT2" s="130" t="n">
        <x:v>5</x:v>
      </x:c>
      <x:c r="BU2" s="130" t="n">
        <x:v>5</x:v>
      </x:c>
      <x:c r="BV2" s="130" t="n">
        <x:v>5</x:v>
      </x:c>
      <x:c r="BW2" s="130" t="n">
        <x:v>4</x:v>
      </x:c>
      <x:c r="BX2" s="130" t="n">
        <x:v>5</x:v>
      </x:c>
      <x:c r="BY2" s="130" t="n">
        <x:v>5</x:v>
      </x:c>
      <x:c r="BZ2" s="130" t="str">
        <x:v>Pass</x:v>
      </x:c>
      <x:c r="CA2" s="130"/>
      <x:c r="CB2" s="130" t="str">
        <x:v>Passed</x:v>
      </x:c>
      <x:c r="CC2" s="130" t="str">
        <x:v>Enrolled</x:v>
      </x:c>
      <x:c r="CD2" s="130" t="str">
        <x:v>Query Completed</x:v>
      </x:c>
      <x:c r="CE2" s="180" t="n">
        <x:v>46037</x:v>
      </x:c>
      <x:c r="CF2" s="180" t="n">
        <x:v>46218</x:v>
      </x:c>
      <x:c r="CG2" s="130"/>
      <x:c r="CH2" s="130" t="str">
        <x:v>Compliant</x:v>
      </x:c>
      <x:c r="CI2" s="130"/>
      <x:c r="CJ2" s="130" t="str">
        <x:v>John</x:v>
      </x:c>
      <x:c r="CK2" s="130" t="str">
        <x:v>Carter</x:v>
      </x:c>
      <x:c r="CL2" s="130" t="str">
        <x:v>OH0000075</x:v>
      </x:c>
      <x:c r="CM2" s="130" t="str">
        <x:v>OH</x:v>
      </x:c>
      <x:c r="CN2" s="130" t="str">
        <x:v>CDL Holder</x:v>
      </x:c>
      <x:c r="CO2" s="130" t="str">
        <x:v>John Carter</x:v>
      </x:c>
      <x:c r="CP2" s="180" t="n">
        <x:v>45364</x:v>
      </x:c>
      <x:c r="CQ2" s="180" t="n">
        <x:v>46094</x:v>
      </x:c>
      <x:c r="CR2" s="130" t="str">
        <x:v>(614) 555-0107</x:v>
      </x:c>
      <x:c r="CS2" s="130" t="str">
        <x:v>Dr. Patricia Owens</x:v>
      </x:c>
      <x:c r="CT2" s="180" t="n">
        <x:v>45364</x:v>
      </x:c>
      <x:c r="CU2" s="130" t="str">
        <x:v>OH-ME-970443</x:v>
      </x:c>
      <x:c r="CV2" s="130" t="str">
        <x:v>ME100001</x:v>
      </x:c>
      <x:c r="CW2" s="130" t="str">
        <x:v>Chiropractor</x:v>
      </x:c>
      <x:c r="CX2" s="130" t="str">
        <x:v>OH</x:v>
      </x:c>
      <x:c r="CY2" s="130" t="str">
        <x:v>Federal Motor Carrier Safety Regulations</x:v>
      </x:c>
      <x:c r="CZ2" s="130"/>
      <x:c r="DA2" s="130" t="str">
        <x:v>No</x:v>
      </x:c>
      <x:c r="DB2" s="130" t="str">
        <x:v>No</x:v>
      </x:c>
      <x:c r="DC2" s="130" t="str">
        <x:v>No</x:v>
      </x:c>
      <x:c r="DD2" s="130" t="str">
        <x:v>No</x:v>
      </x:c>
      <x:c r="DE2" s="130" t="str">
        <x:v>No</x:v>
      </x:c>
      <x:c r="DF2" s="130" t="str">
        <x:v>No</x:v>
      </x:c>
      <x:c r="DG2" s="130" t="str">
        <x:v>Sarah Carter</x:v>
      </x:c>
      <x:c r="DH2" s="130" t="str">
        <x:v>Spouse</x:v>
      </x:c>
      <x:c r="DI2" s="130" t="str">
        <x:v>206-555-0199</x:v>
      </x:c>
      <x:c r="DJ2" s="130" t="str">
        <x:v>No</x:v>
      </x:c>
      <x:c r="DK2" s="130" t="str">
        <x:v>No</x:v>
      </x:c>
      <x:c r="DL2" s="130" t="str">
        <x:v>No</x:v>
      </x:c>
      <x:c r="DM2" s="130" t="str">
        <x:v>No</x:v>
      </x:c>
      <x:c r="DN2" s="130" t="str">
        <x:v>Yes - Appendectomy (2005)</x:v>
      </x:c>
      <x:c r="DO2" s="130" t="str">
        <x:v>20/20</x:v>
      </x:c>
      <x:c r="DP2" s="130" t="str">
        <x:v>20/20</x:v>
      </x:c>
      <x:c r="DQ2" s="130" t="str">
        <x:v>Pass</x:v>
      </x:c>
      <x:c r="DR2" s="130" t="str">
        <x:v>118</x:v>
      </x:c>
      <x:c r="DS2" s="130" t="str">
        <x:v>78</x:v>
      </x:c>
      <x:c r="DT2" s="130" t="str">
        <x:v>72</x:v>
      </x:c>
      <x:c r="DU2" s="130" t="str">
        <x:v>Normal</x:v>
      </x:c>
      <x:c r="DV2" s="180" t="n">
        <x:v>45392</x:v>
      </x:c>
      <x:c r="DW2" s="180" t="n">
        <x:v>45394</x:v>
      </x:c>
      <x:c r="DX2" s="130" t="str">
        <x:v>Negative</x:v>
      </x:c>
      <x:c r="DY2" s="180" t="n">
        <x:v>45397</x:v>
      </x:c>
      <x:c r="DZ2" s="130" t="str">
        <x:v>BOF Fleet Safety &amp; Compliance Policy 2024</x:v>
      </x:c>
      <x:c r="EA2" s="130" t="str">
        <x:v>Complete</x:v>
      </x:c>
      <x:c r="EB2" s="180" t="n">
        <x:v>45413</x:v>
      </x:c>
    </x:row>
    <x:row r="3">
      <x:c r="A3" s="130" t="str">
        <x:v>DRV-001</x:v>
      </x:c>
      <x:c r="B3" s="130" t="str">
        <x:v>John Carter</x:v>
      </x:c>
      <x:c r="C3" s="130" t="str">
        <x:v>220 Demo Street, Cleveland, OH 44113</x:v>
      </x:c>
      <x:c r="D3" s="130" t="str">
        <x:v>206-555-0102</x:v>
      </x:c>
      <x:c r="E3" s="130" t="str">
        <x:v>***-**-0123</x:v>
      </x:c>
      <x:c r="F3" s="130" t="str">
        <x:v>Huntington</x:v>
      </x:c>
      <x:c r="G3" s="130" t="n">
        <x:v>000000104</x:v>
      </x:c>
      <x:c r="H3" s="130" t="n">
        <x:v>999900202</x:v>
      </x:c>
      <x:c r="I3" s="130" t="str">
        <x:v>Medical Certification</x:v>
      </x:c>
      <x:c r="J3" s="130" t="str">
        <x:v>VALID</x:v>
      </x:c>
      <x:c r="K3" s="130" t="str">
        <x:v>OH0000092</x:v>
      </x:c>
      <x:c r="L3" s="180" t="n">
        <x:v>46621</x:v>
      </x:c>
      <x:c r="M3" s="180" t="n">
        <x:v>46273</x:v>
      </x:c>
      <x:c r="N3" s="180" t="n">
        <x:v>46311</x:v>
      </x:c>
      <x:c r="O3" s="130"/>
      <x:c r="P3" s="130" t="str">
        <x:v>Black</x:v>
      </x:c>
      <x:c r="Q3" s="130" t="str">
        <x:v>Green</x:v>
      </x:c>
      <x:c r="R3" s="130" t="str">
        <x:v>5'-10"</x:v>
      </x:c>
      <x:c r="S3" s="130" t="n">
        <x:v>180</x:v>
      </x:c>
      <x:c r="T3" s="130" t="str">
        <x:v>M</x:v>
      </x:c>
      <x:c r="U3" s="130" t="n">
        <x:v>25934</x:v>
      </x:c>
      <x:c r="V3" s="130" t="str">
        <x:v>DRV-001.png</x:v>
      </x:c>
      <x:c r="W3" s="130" t="str">
        <x:v>Caucasian</x:v>
      </x:c>
      <x:c r="X3" s="130" t="str">
        <x:v>jcarter@example.com</x:v>
      </x:c>
      <x:c r="Y3" s="130" t="str">
        <x:v>220 Demo Street</x:v>
      </x:c>
      <x:c r="Z3" s="130" t="str">
        <x:v>Cleveland</x:v>
      </x:c>
      <x:c r="AA3" s="130" t="str">
        <x:v>OH</x:v>
      </x:c>
      <x:c r="AB3" s="130" t="n">
        <x:v>44113</x:v>
      </x:c>
      <x:c r="AC3" s="130" t="str">
        <x:v>OH</x:v>
      </x:c>
      <x:c r="AD3" s="130" t="str">
        <x:v>Class A</x:v>
      </x:c>
      <x:c r="AE3" s="180" t="n">
        <x:v>44799</x:v>
      </x:c>
      <x:c r="AF3" s="130" t="str">
        <x:v>N,T</x:v>
      </x:c>
      <x:c r="AG3" s="130"/>
      <x:c r="AH3" s="180" t="n">
        <x:v>45364</x:v>
      </x:c>
      <x:c r="AI3" s="130" t="str">
        <x:v>MC-0010108</x:v>
      </x:c>
      <x:c r="AJ3" s="130" t="str">
        <x:v>Dr. Patricia Owens</x:v>
      </x:c>
      <x:c r="AK3" s="130" t="str">
        <x:v>ME100001</x:v>
      </x:c>
      <x:c r="AL3" s="130"/>
      <x:c r="AM3" s="130" t="str">
        <x:v>Qualified</x:v>
      </x:c>
      <x:c r="AN3" s="180" t="n">
        <x:v>46050</x:v>
      </x:c>
      <x:c r="AO3" s="130" t="n">
        <x:v>0</x:v>
      </x:c>
      <x:c r="AP3" s="130" t="n">
        <x:v>0</x:v>
      </x:c>
      <x:c r="AQ3" s="130"/>
      <x:c r="AR3" s="130" t="str">
        <x:v>Clear</x:v>
      </x:c>
      <x:c r="AS3" s="180" t="n">
        <x:v>45392</x:v>
      </x:c>
      <x:c r="AT3" s="130" t="str">
        <x:v>Authorized to Work</x:v>
      </x:c>
      <x:c r="AU3" s="130" t="str">
        <x:v>U.S. Passport</x:v>
      </x:c>
      <x:c r="AV3" s="130"/>
      <x:c r="AW3" s="130"/>
      <x:c r="AX3" s="180" t="n">
        <x:v>45392</x:v>
      </x:c>
      <x:c r="AY3" s="130" t="str">
        <x:v>BOF Onboarding Team</x:v>
      </x:c>
      <x:c r="AZ3" s="130" t="str">
        <x:v>Complete</x:v>
      </x:c>
      <x:c r="BA3" s="130"/>
      <x:c r="BB3" s="130" t="str">
        <x:v>Individual/Sole Proprietor</x:v>
      </x:c>
      <x:c r="BC3" s="130" t="str">
        <x:v>SSN</x:v>
      </x:c>
      <x:c r="BD3" s="130" t="str">
        <x:v>***-**-0123</x:v>
      </x:c>
      <x:c r="BE3" s="130"/>
      <x:c r="BF3" s="180" t="n">
        <x:v>45392</x:v>
      </x:c>
      <x:c r="BG3" s="130" t="str">
        <x:v>Received</x:v>
      </x:c>
      <x:c r="BH3" s="130" t="str">
        <x:v>Checking</x:v>
      </x:c>
      <x:c r="BI3" s="130" t="str">
        <x:v>Direct Deposit</x:v>
      </x:c>
      <x:c r="BJ3" s="180" t="n">
        <x:v>45392</x:v>
      </x:c>
      <x:c r="BK3" s="130" t="str">
        <x:v>Verified</x:v>
      </x:c>
      <x:c r="BL3" s="180" t="n">
        <x:v>45385</x:v>
      </x:c>
      <x:c r="BM3" s="130" t="str">
        <x:v>A. Reynolds</x:v>
      </x:c>
      <x:c r="BN3" s="130" t="str">
        <x:v>Sleeper tractor</x:v>
      </x:c>
      <x:c r="BO3" s="130" t="str">
        <x:v>53 ft dry van</x:v>
      </x:c>
      <x:c r="BP3" s="130" t="str">
        <x:v>Cleveland, OH</x:v>
      </x:c>
      <x:c r="BQ3" s="130" t="n">
        <x:v>5</x:v>
      </x:c>
      <x:c r="BR3" s="130" t="n">
        <x:v>5</x:v>
      </x:c>
      <x:c r="BS3" s="130" t="n">
        <x:v>4</x:v>
      </x:c>
      <x:c r="BT3" s="130" t="n">
        <x:v>5</x:v>
      </x:c>
      <x:c r="BU3" s="130" t="n">
        <x:v>5</x:v>
      </x:c>
      <x:c r="BV3" s="130" t="n">
        <x:v>5</x:v>
      </x:c>
      <x:c r="BW3" s="130" t="n">
        <x:v>4</x:v>
      </x:c>
      <x:c r="BX3" s="130" t="n">
        <x:v>5</x:v>
      </x:c>
      <x:c r="BY3" s="130" t="n">
        <x:v>5</x:v>
      </x:c>
      <x:c r="BZ3" s="130" t="str">
        <x:v>Pass</x:v>
      </x:c>
      <x:c r="CA3" s="130"/>
      <x:c r="CB3" s="130" t="str">
        <x:v>Passed</x:v>
      </x:c>
      <x:c r="CC3" s="130" t="str">
        <x:v>Enrolled</x:v>
      </x:c>
      <x:c r="CD3" s="130" t="str">
        <x:v>Query Completed</x:v>
      </x:c>
      <x:c r="CE3" s="180" t="n">
        <x:v>46037</x:v>
      </x:c>
      <x:c r="CF3" s="180" t="n">
        <x:v>46218</x:v>
      </x:c>
      <x:c r="CG3" s="130"/>
      <x:c r="CH3" s="130" t="str">
        <x:v>Compliant</x:v>
      </x:c>
      <x:c r="CI3" s="130"/>
      <x:c r="CJ3" s="130" t="str">
        <x:v>John</x:v>
      </x:c>
      <x:c r="CK3" s="130" t="str">
        <x:v>Carter</x:v>
      </x:c>
      <x:c r="CL3" s="130" t="str">
        <x:v>OH0000076</x:v>
      </x:c>
      <x:c r="CM3" s="130" t="str">
        <x:v>OH</x:v>
      </x:c>
      <x:c r="CN3" s="130" t="str">
        <x:v>CDL Holder</x:v>
      </x:c>
      <x:c r="CO3" s="130" t="str">
        <x:v>John Carter</x:v>
      </x:c>
      <x:c r="CP3" s="180" t="n">
        <x:v>45364</x:v>
      </x:c>
      <x:c r="CQ3" s="180" t="n">
        <x:v>46094</x:v>
      </x:c>
      <x:c r="CR3" s="130" t="str">
        <x:v>(614) 555-0107</x:v>
      </x:c>
      <x:c r="CS3" s="130" t="str">
        <x:v>Dr. Patricia Owens</x:v>
      </x:c>
      <x:c r="CT3" s="180" t="n">
        <x:v>45364</x:v>
      </x:c>
      <x:c r="CU3" s="130" t="str">
        <x:v>OH-ME-970443</x:v>
      </x:c>
      <x:c r="CV3" s="130" t="str">
        <x:v>ME100001</x:v>
      </x:c>
      <x:c r="CW3" s="130" t="str">
        <x:v>Chiropractor</x:v>
      </x:c>
      <x:c r="CX3" s="130" t="str">
        <x:v>OH</x:v>
      </x:c>
      <x:c r="CY3" s="130" t="str">
        <x:v>Federal Motor Carrier Safety Regulations</x:v>
      </x:c>
      <x:c r="CZ3" s="130"/>
      <x:c r="DA3" s="130" t="str">
        <x:v>No</x:v>
      </x:c>
      <x:c r="DB3" s="130" t="str">
        <x:v>No</x:v>
      </x:c>
      <x:c r="DC3" s="130" t="str">
        <x:v>No</x:v>
      </x:c>
      <x:c r="DD3" s="130" t="str">
        <x:v>No</x:v>
      </x:c>
      <x:c r="DE3" s="130" t="str">
        <x:v>No</x:v>
      </x:c>
      <x:c r="DF3" s="130" t="str">
        <x:v>No</x:v>
      </x:c>
      <x:c r="DG3" s="130" t="str">
        <x:v>Sarah Carter</x:v>
      </x:c>
      <x:c r="DH3" s="130" t="str">
        <x:v>Spouse</x:v>
      </x:c>
      <x:c r="DI3" s="130" t="str">
        <x:v>206-555-0199</x:v>
      </x:c>
      <x:c r="DJ3" s="130" t="str">
        <x:v>No</x:v>
      </x:c>
      <x:c r="DK3" s="130" t="str">
        <x:v>No</x:v>
      </x:c>
      <x:c r="DL3" s="130" t="str">
        <x:v>No</x:v>
      </x:c>
      <x:c r="DM3" s="130" t="str">
        <x:v>No</x:v>
      </x:c>
      <x:c r="DN3" s="130" t="str">
        <x:v>Yes - Appendectomy (2005)</x:v>
      </x:c>
      <x:c r="DO3" s="130" t="str">
        <x:v>20/20</x:v>
      </x:c>
      <x:c r="DP3" s="130" t="str">
        <x:v>20/20</x:v>
      </x:c>
      <x:c r="DQ3" s="130" t="str">
        <x:v>Pass</x:v>
      </x:c>
      <x:c r="DR3" s="130" t="str">
        <x:v>118</x:v>
      </x:c>
      <x:c r="DS3" s="130" t="str">
        <x:v>78</x:v>
      </x:c>
      <x:c r="DT3" s="130" t="str">
        <x:v>72</x:v>
      </x:c>
      <x:c r="DU3" s="130" t="str">
        <x:v>Normal</x:v>
      </x:c>
      <x:c r="DV3" s="180" t="n">
        <x:v>45392</x:v>
      </x:c>
      <x:c r="DW3" s="180" t="n">
        <x:v>45394</x:v>
      </x:c>
      <x:c r="DX3" s="130" t="str">
        <x:v>Negative</x:v>
      </x:c>
      <x:c r="DY3" s="180" t="n">
        <x:v>45397</x:v>
      </x:c>
      <x:c r="DZ3" s="130" t="str">
        <x:v>BOF Fleet Safety &amp; Compliance Policy 2024</x:v>
      </x:c>
      <x:c r="EA3" s="130" t="str">
        <x:v>Complete</x:v>
      </x:c>
      <x:c r="EB3" s="180" t="n">
        <x:v>45413</x:v>
      </x:c>
    </x:row>
    <x:row r="4">
      <x:c r="A4" s="130" t="str">
        <x:v>DRV-001</x:v>
      </x:c>
      <x:c r="B4" s="130" t="str">
        <x:v>John Carter</x:v>
      </x:c>
      <x:c r="C4" s="130" t="str">
        <x:v>220 Demo Street, Cleveland, OH 44113</x:v>
      </x:c>
      <x:c r="D4" s="130" t="str">
        <x:v>206-555-0102</x:v>
      </x:c>
      <x:c r="E4" s="130" t="str">
        <x:v>***-**-0123</x:v>
      </x:c>
      <x:c r="F4" s="130" t="str">
        <x:v>Huntington</x:v>
      </x:c>
      <x:c r="G4" s="130" t="n">
        <x:v>000000104</x:v>
      </x:c>
      <x:c r="H4" s="130" t="n">
        <x:v>999900202</x:v>
      </x:c>
      <x:c r="I4" s="130" t="str">
        <x:v>MVR Background Report</x:v>
      </x:c>
      <x:c r="J4" s="130" t="str">
        <x:v>VALID</x:v>
      </x:c>
      <x:c r="K4" s="130" t="str">
        <x:v>OH0000111</x:v>
      </x:c>
      <x:c r="L4" s="180" t="n">
        <x:v>46621</x:v>
      </x:c>
      <x:c r="M4" s="180" t="n">
        <x:v>46274</x:v>
      </x:c>
      <x:c r="N4" s="180" t="n">
        <x:v>46312</x:v>
      </x:c>
      <x:c r="O4" s="130"/>
      <x:c r="P4" s="130" t="str">
        <x:v>Black</x:v>
      </x:c>
      <x:c r="Q4" s="130" t="str">
        <x:v>Green</x:v>
      </x:c>
      <x:c r="R4" s="130" t="str">
        <x:v>5'-10"</x:v>
      </x:c>
      <x:c r="S4" s="130" t="n">
        <x:v>180</x:v>
      </x:c>
      <x:c r="T4" s="130" t="str">
        <x:v>M</x:v>
      </x:c>
      <x:c r="U4" s="130" t="n">
        <x:v>25934</x:v>
      </x:c>
      <x:c r="V4" s="130" t="str">
        <x:v>DRV-001.png</x:v>
      </x:c>
      <x:c r="W4" s="130" t="str">
        <x:v>Caucasian</x:v>
      </x:c>
      <x:c r="X4" s="130" t="str">
        <x:v>jcarter@example.com</x:v>
      </x:c>
      <x:c r="Y4" s="130" t="str">
        <x:v>220 Demo Street</x:v>
      </x:c>
      <x:c r="Z4" s="130" t="str">
        <x:v>Cleveland</x:v>
      </x:c>
      <x:c r="AA4" s="130" t="str">
        <x:v>OH</x:v>
      </x:c>
      <x:c r="AB4" s="130" t="n">
        <x:v>44113</x:v>
      </x:c>
      <x:c r="AC4" s="130" t="str">
        <x:v>OH</x:v>
      </x:c>
      <x:c r="AD4" s="130" t="str">
        <x:v>Class A</x:v>
      </x:c>
      <x:c r="AE4" s="180" t="n">
        <x:v>44799</x:v>
      </x:c>
      <x:c r="AF4" s="130" t="str">
        <x:v>N,T</x:v>
      </x:c>
      <x:c r="AG4" s="130"/>
      <x:c r="AH4" s="180" t="n">
        <x:v>45364</x:v>
      </x:c>
      <x:c r="AI4" s="130" t="str">
        <x:v>MC-0010108</x:v>
      </x:c>
      <x:c r="AJ4" s="130" t="str">
        <x:v>Dr. Patricia Owens</x:v>
      </x:c>
      <x:c r="AK4" s="130" t="str">
        <x:v>ME100001</x:v>
      </x:c>
      <x:c r="AL4" s="130"/>
      <x:c r="AM4" s="130" t="str">
        <x:v>Qualified</x:v>
      </x:c>
      <x:c r="AN4" s="180" t="n">
        <x:v>46050</x:v>
      </x:c>
      <x:c r="AO4" s="130" t="n">
        <x:v>0</x:v>
      </x:c>
      <x:c r="AP4" s="130" t="n">
        <x:v>0</x:v>
      </x:c>
      <x:c r="AQ4" s="130"/>
      <x:c r="AR4" s="130" t="str">
        <x:v>Clear</x:v>
      </x:c>
      <x:c r="AS4" s="180" t="n">
        <x:v>45392</x:v>
      </x:c>
      <x:c r="AT4" s="130" t="str">
        <x:v>Authorized to Work</x:v>
      </x:c>
      <x:c r="AU4" s="130" t="str">
        <x:v>U.S. Passport</x:v>
      </x:c>
      <x:c r="AV4" s="130"/>
      <x:c r="AW4" s="130"/>
      <x:c r="AX4" s="180" t="n">
        <x:v>45392</x:v>
      </x:c>
      <x:c r="AY4" s="130" t="str">
        <x:v>BOF Onboarding Team</x:v>
      </x:c>
      <x:c r="AZ4" s="130" t="str">
        <x:v>Complete</x:v>
      </x:c>
      <x:c r="BA4" s="130"/>
      <x:c r="BB4" s="130" t="str">
        <x:v>Individual/Sole Proprietor</x:v>
      </x:c>
      <x:c r="BC4" s="130" t="str">
        <x:v>SSN</x:v>
      </x:c>
      <x:c r="BD4" s="130" t="str">
        <x:v>***-**-0123</x:v>
      </x:c>
      <x:c r="BE4" s="130"/>
      <x:c r="BF4" s="180" t="n">
        <x:v>45392</x:v>
      </x:c>
      <x:c r="BG4" s="130" t="str">
        <x:v>Received</x:v>
      </x:c>
      <x:c r="BH4" s="130" t="str">
        <x:v>Checking</x:v>
      </x:c>
      <x:c r="BI4" s="130" t="str">
        <x:v>Direct Deposit</x:v>
      </x:c>
      <x:c r="BJ4" s="180" t="n">
        <x:v>45392</x:v>
      </x:c>
      <x:c r="BK4" s="130" t="str">
        <x:v>Verified</x:v>
      </x:c>
      <x:c r="BL4" s="180" t="n">
        <x:v>45385</x:v>
      </x:c>
      <x:c r="BM4" s="130" t="str">
        <x:v>A. Reynolds</x:v>
      </x:c>
      <x:c r="BN4" s="130" t="str">
        <x:v>Sleeper tractor</x:v>
      </x:c>
      <x:c r="BO4" s="130" t="str">
        <x:v>53 ft dry van</x:v>
      </x:c>
      <x:c r="BP4" s="130" t="str">
        <x:v>Cleveland, OH</x:v>
      </x:c>
      <x:c r="BQ4" s="130" t="n">
        <x:v>5</x:v>
      </x:c>
      <x:c r="BR4" s="130" t="n">
        <x:v>5</x:v>
      </x:c>
      <x:c r="BS4" s="130" t="n">
        <x:v>4</x:v>
      </x:c>
      <x:c r="BT4" s="130" t="n">
        <x:v>5</x:v>
      </x:c>
      <x:c r="BU4" s="130" t="n">
        <x:v>5</x:v>
      </x:c>
      <x:c r="BV4" s="130" t="n">
        <x:v>5</x:v>
      </x:c>
      <x:c r="BW4" s="130" t="n">
        <x:v>4</x:v>
      </x:c>
      <x:c r="BX4" s="130" t="n">
        <x:v>5</x:v>
      </x:c>
      <x:c r="BY4" s="130" t="n">
        <x:v>5</x:v>
      </x:c>
      <x:c r="BZ4" s="130" t="str">
        <x:v>Pass</x:v>
      </x:c>
      <x:c r="CA4" s="130"/>
      <x:c r="CB4" s="130" t="str">
        <x:v>Passed</x:v>
      </x:c>
      <x:c r="CC4" s="130" t="str">
        <x:v>Enrolled</x:v>
      </x:c>
      <x:c r="CD4" s="130" t="str">
        <x:v>Query Completed</x:v>
      </x:c>
      <x:c r="CE4" s="180" t="n">
        <x:v>46037</x:v>
      </x:c>
      <x:c r="CF4" s="180" t="n">
        <x:v>46218</x:v>
      </x:c>
      <x:c r="CG4" s="130"/>
      <x:c r="CH4" s="130" t="str">
        <x:v>Compliant</x:v>
      </x:c>
      <x:c r="CI4" s="130"/>
      <x:c r="CJ4" s="130" t="str">
        <x:v>John</x:v>
      </x:c>
      <x:c r="CK4" s="130" t="str">
        <x:v>Carter</x:v>
      </x:c>
      <x:c r="CL4" s="130" t="str">
        <x:v>OH0000077</x:v>
      </x:c>
      <x:c r="CM4" s="130" t="str">
        <x:v>OH</x:v>
      </x:c>
      <x:c r="CN4" s="130" t="str">
        <x:v>CDL Holder</x:v>
      </x:c>
      <x:c r="CO4" s="130" t="str">
        <x:v>John Carter</x:v>
      </x:c>
      <x:c r="CP4" s="180" t="n">
        <x:v>45364</x:v>
      </x:c>
      <x:c r="CQ4" s="180" t="n">
        <x:v>46094</x:v>
      </x:c>
      <x:c r="CR4" s="130" t="str">
        <x:v>(614) 555-0107</x:v>
      </x:c>
      <x:c r="CS4" s="130" t="str">
        <x:v>Dr. Patricia Owens</x:v>
      </x:c>
      <x:c r="CT4" s="180" t="n">
        <x:v>45364</x:v>
      </x:c>
      <x:c r="CU4" s="130" t="str">
        <x:v>OH-ME-970443</x:v>
      </x:c>
      <x:c r="CV4" s="130" t="str">
        <x:v>ME100001</x:v>
      </x:c>
      <x:c r="CW4" s="130" t="str">
        <x:v>Chiropractor</x:v>
      </x:c>
      <x:c r="CX4" s="130" t="str">
        <x:v>OH</x:v>
      </x:c>
      <x:c r="CY4" s="130" t="str">
        <x:v>Federal Motor Carrier Safety Regulations</x:v>
      </x:c>
      <x:c r="CZ4" s="130"/>
      <x:c r="DA4" s="130" t="str">
        <x:v>No</x:v>
      </x:c>
      <x:c r="DB4" s="130" t="str">
        <x:v>No</x:v>
      </x:c>
      <x:c r="DC4" s="130" t="str">
        <x:v>No</x:v>
      </x:c>
      <x:c r="DD4" s="130" t="str">
        <x:v>No</x:v>
      </x:c>
      <x:c r="DE4" s="130" t="str">
        <x:v>No</x:v>
      </x:c>
      <x:c r="DF4" s="130" t="str">
        <x:v>No</x:v>
      </x:c>
      <x:c r="DG4" s="130" t="str">
        <x:v>Sarah Carter</x:v>
      </x:c>
      <x:c r="DH4" s="130" t="str">
        <x:v>Spouse</x:v>
      </x:c>
      <x:c r="DI4" s="130" t="str">
        <x:v>206-555-0199</x:v>
      </x:c>
      <x:c r="DJ4" s="130" t="str">
        <x:v>No</x:v>
      </x:c>
      <x:c r="DK4" s="130" t="str">
        <x:v>No</x:v>
      </x:c>
      <x:c r="DL4" s="130" t="str">
        <x:v>No</x:v>
      </x:c>
      <x:c r="DM4" s="130" t="str">
        <x:v>No</x:v>
      </x:c>
      <x:c r="DN4" s="130" t="str">
        <x:v>Yes - Appendectomy (2005)</x:v>
      </x:c>
      <x:c r="DO4" s="130" t="str">
        <x:v>20/20</x:v>
      </x:c>
      <x:c r="DP4" s="130" t="str">
        <x:v>20/20</x:v>
      </x:c>
      <x:c r="DQ4" s="130" t="str">
        <x:v>Pass</x:v>
      </x:c>
      <x:c r="DR4" s="130" t="str">
        <x:v>118</x:v>
      </x:c>
      <x:c r="DS4" s="130" t="str">
        <x:v>78</x:v>
      </x:c>
      <x:c r="DT4" s="130" t="str">
        <x:v>72</x:v>
      </x:c>
      <x:c r="DU4" s="130" t="str">
        <x:v>Normal</x:v>
      </x:c>
      <x:c r="DV4" s="180" t="n">
        <x:v>45392</x:v>
      </x:c>
      <x:c r="DW4" s="180" t="n">
        <x:v>45394</x:v>
      </x:c>
      <x:c r="DX4" s="130" t="str">
        <x:v>Negative</x:v>
      </x:c>
      <x:c r="DY4" s="180" t="n">
        <x:v>45397</x:v>
      </x:c>
      <x:c r="DZ4" s="130" t="str">
        <x:v>BOF Fleet Safety &amp; Compliance Policy 2024</x:v>
      </x:c>
      <x:c r="EA4" s="130" t="str">
        <x:v>Complete</x:v>
      </x:c>
      <x:c r="EB4" s="180" t="n">
        <x:v>45413</x:v>
      </x:c>
    </x:row>
    <x:row r="5">
      <x:c r="A5" s="130" t="str">
        <x:v>DRV-001</x:v>
      </x:c>
      <x:c r="B5" s="130" t="str">
        <x:v>John Carter</x:v>
      </x:c>
      <x:c r="C5" s="130" t="str">
        <x:v>220 Demo Street, Cleveland, OH 44113</x:v>
      </x:c>
      <x:c r="D5" s="130" t="str">
        <x:v>206-555-0102</x:v>
      </x:c>
      <x:c r="E5" s="130" t="str">
        <x:v>***-**-0123</x:v>
      </x:c>
      <x:c r="F5" s="130" t="str">
        <x:v>Huntington</x:v>
      </x:c>
      <x:c r="G5" s="130" t="n">
        <x:v>000000104</x:v>
      </x:c>
      <x:c r="H5" s="130" t="n">
        <x:v>999900202</x:v>
      </x:c>
      <x:c r="I5" s="130" t="str">
        <x:v>Driver Application</x:v>
      </x:c>
      <x:c r="J5" s="130" t="str">
        <x:v>VALID</x:v>
      </x:c>
      <x:c r="K5" s="130" t="str">
        <x:v>OH0000127</x:v>
      </x:c>
      <x:c r="L5" s="180" t="n">
        <x:v>46621</x:v>
      </x:c>
      <x:c r="M5" s="180" t="n">
        <x:v>46275</x:v>
      </x:c>
      <x:c r="N5" s="180" t="n">
        <x:v>46313</x:v>
      </x:c>
      <x:c r="O5" s="130"/>
      <x:c r="P5" s="130" t="str">
        <x:v>Black</x:v>
      </x:c>
      <x:c r="Q5" s="130" t="str">
        <x:v>Green</x:v>
      </x:c>
      <x:c r="R5" s="130" t="str">
        <x:v>5'-10"</x:v>
      </x:c>
      <x:c r="S5" s="130" t="n">
        <x:v>180</x:v>
      </x:c>
      <x:c r="T5" s="130" t="str">
        <x:v>M</x:v>
      </x:c>
      <x:c r="U5" s="130" t="n">
        <x:v>25934</x:v>
      </x:c>
      <x:c r="V5" s="130" t="str">
        <x:v>DRV-001.png</x:v>
      </x:c>
      <x:c r="W5" s="130" t="str">
        <x:v>Caucasian</x:v>
      </x:c>
      <x:c r="X5" s="130" t="str">
        <x:v>jcarter@example.com</x:v>
      </x:c>
      <x:c r="Y5" s="130" t="str">
        <x:v>220 Demo Street</x:v>
      </x:c>
      <x:c r="Z5" s="130" t="str">
        <x:v>Cleveland</x:v>
      </x:c>
      <x:c r="AA5" s="130" t="str">
        <x:v>OH</x:v>
      </x:c>
      <x:c r="AB5" s="130" t="n">
        <x:v>44113</x:v>
      </x:c>
      <x:c r="AC5" s="130" t="str">
        <x:v>OH</x:v>
      </x:c>
      <x:c r="AD5" s="130" t="str">
        <x:v>Class A</x:v>
      </x:c>
      <x:c r="AE5" s="180" t="n">
        <x:v>44799</x:v>
      </x:c>
      <x:c r="AF5" s="130" t="str">
        <x:v>N,T</x:v>
      </x:c>
      <x:c r="AG5" s="130"/>
      <x:c r="AH5" s="180" t="n">
        <x:v>45364</x:v>
      </x:c>
      <x:c r="AI5" s="130" t="str">
        <x:v>MC-0010108</x:v>
      </x:c>
      <x:c r="AJ5" s="130" t="str">
        <x:v>Dr. Patricia Owens</x:v>
      </x:c>
      <x:c r="AK5" s="130" t="str">
        <x:v>ME100001</x:v>
      </x:c>
      <x:c r="AL5" s="130"/>
      <x:c r="AM5" s="130" t="str">
        <x:v>Qualified</x:v>
      </x:c>
      <x:c r="AN5" s="180" t="n">
        <x:v>46050</x:v>
      </x:c>
      <x:c r="AO5" s="130" t="n">
        <x:v>0</x:v>
      </x:c>
      <x:c r="AP5" s="130" t="n">
        <x:v>0</x:v>
      </x:c>
      <x:c r="AQ5" s="130"/>
      <x:c r="AR5" s="130" t="str">
        <x:v>Clear</x:v>
      </x:c>
      <x:c r="AS5" s="180" t="n">
        <x:v>45392</x:v>
      </x:c>
      <x:c r="AT5" s="130" t="str">
        <x:v>Authorized to Work</x:v>
      </x:c>
      <x:c r="AU5" s="130" t="str">
        <x:v>U.S. Passport</x:v>
      </x:c>
      <x:c r="AV5" s="130"/>
      <x:c r="AW5" s="130"/>
      <x:c r="AX5" s="180" t="n">
        <x:v>45392</x:v>
      </x:c>
      <x:c r="AY5" s="130" t="str">
        <x:v>BOF Onboarding Team</x:v>
      </x:c>
      <x:c r="AZ5" s="130" t="str">
        <x:v>Complete</x:v>
      </x:c>
      <x:c r="BA5" s="130"/>
      <x:c r="BB5" s="130" t="str">
        <x:v>Individual/Sole Proprietor</x:v>
      </x:c>
      <x:c r="BC5" s="130" t="str">
        <x:v>SSN</x:v>
      </x:c>
      <x:c r="BD5" s="130" t="str">
        <x:v>***-**-0123</x:v>
      </x:c>
      <x:c r="BE5" s="130"/>
      <x:c r="BF5" s="180" t="n">
        <x:v>45392</x:v>
      </x:c>
      <x:c r="BG5" s="130" t="str">
        <x:v>Received</x:v>
      </x:c>
      <x:c r="BH5" s="130" t="str">
        <x:v>Checking</x:v>
      </x:c>
      <x:c r="BI5" s="130" t="str">
        <x:v>Direct Deposit</x:v>
      </x:c>
      <x:c r="BJ5" s="180" t="n">
        <x:v>45392</x:v>
      </x:c>
      <x:c r="BK5" s="130" t="str">
        <x:v>Verified</x:v>
      </x:c>
      <x:c r="BL5" s="180" t="n">
        <x:v>45385</x:v>
      </x:c>
      <x:c r="BM5" s="130" t="str">
        <x:v>A. Reynolds</x:v>
      </x:c>
      <x:c r="BN5" s="130" t="str">
        <x:v>Sleeper tractor</x:v>
      </x:c>
      <x:c r="BO5" s="130" t="str">
        <x:v>53 ft dry van</x:v>
      </x:c>
      <x:c r="BP5" s="130" t="str">
        <x:v>Cleveland, OH</x:v>
      </x:c>
      <x:c r="BQ5" s="130" t="n">
        <x:v>5</x:v>
      </x:c>
      <x:c r="BR5" s="130" t="n">
        <x:v>5</x:v>
      </x:c>
      <x:c r="BS5" s="130" t="n">
        <x:v>4</x:v>
      </x:c>
      <x:c r="BT5" s="130" t="n">
        <x:v>5</x:v>
      </x:c>
      <x:c r="BU5" s="130" t="n">
        <x:v>5</x:v>
      </x:c>
      <x:c r="BV5" s="130" t="n">
        <x:v>5</x:v>
      </x:c>
      <x:c r="BW5" s="130" t="n">
        <x:v>4</x:v>
      </x:c>
      <x:c r="BX5" s="130" t="n">
        <x:v>5</x:v>
      </x:c>
      <x:c r="BY5" s="130" t="n">
        <x:v>5</x:v>
      </x:c>
      <x:c r="BZ5" s="130" t="str">
        <x:v>Pass</x:v>
      </x:c>
      <x:c r="CA5" s="130"/>
      <x:c r="CB5" s="130" t="str">
        <x:v>Passed</x:v>
      </x:c>
      <x:c r="CC5" s="130" t="str">
        <x:v>Enrolled</x:v>
      </x:c>
      <x:c r="CD5" s="130" t="str">
        <x:v>Query Completed</x:v>
      </x:c>
      <x:c r="CE5" s="180" t="n">
        <x:v>46037</x:v>
      </x:c>
      <x:c r="CF5" s="180" t="n">
        <x:v>46218</x:v>
      </x:c>
      <x:c r="CG5" s="130"/>
      <x:c r="CH5" s="130" t="str">
        <x:v>Compliant</x:v>
      </x:c>
      <x:c r="CI5" s="130"/>
      <x:c r="CJ5" s="130" t="str">
        <x:v>John</x:v>
      </x:c>
      <x:c r="CK5" s="130" t="str">
        <x:v>Carter</x:v>
      </x:c>
      <x:c r="CL5" s="130" t="str">
        <x:v>OH0000078</x:v>
      </x:c>
      <x:c r="CM5" s="130" t="str">
        <x:v>OH</x:v>
      </x:c>
      <x:c r="CN5" s="130" t="str">
        <x:v>CDL Holder</x:v>
      </x:c>
      <x:c r="CO5" s="130" t="str">
        <x:v>John Carter</x:v>
      </x:c>
      <x:c r="CP5" s="180" t="n">
        <x:v>45364</x:v>
      </x:c>
      <x:c r="CQ5" s="180" t="n">
        <x:v>46094</x:v>
      </x:c>
      <x:c r="CR5" s="130" t="str">
        <x:v>(614) 555-0107</x:v>
      </x:c>
      <x:c r="CS5" s="130" t="str">
        <x:v>Dr. Patricia Owens</x:v>
      </x:c>
      <x:c r="CT5" s="180" t="n">
        <x:v>45364</x:v>
      </x:c>
      <x:c r="CU5" s="130" t="str">
        <x:v>OH-ME-970443</x:v>
      </x:c>
      <x:c r="CV5" s="130" t="str">
        <x:v>ME100001</x:v>
      </x:c>
      <x:c r="CW5" s="130" t="str">
        <x:v>Chiropractor</x:v>
      </x:c>
      <x:c r="CX5" s="130" t="str">
        <x:v>OH</x:v>
      </x:c>
      <x:c r="CY5" s="130" t="str">
        <x:v>Federal Motor Carrier Safety Regulations</x:v>
      </x:c>
      <x:c r="CZ5" s="130"/>
      <x:c r="DA5" s="130" t="str">
        <x:v>No</x:v>
      </x:c>
      <x:c r="DB5" s="130" t="str">
        <x:v>No</x:v>
      </x:c>
      <x:c r="DC5" s="130" t="str">
        <x:v>No</x:v>
      </x:c>
      <x:c r="DD5" s="130" t="str">
        <x:v>No</x:v>
      </x:c>
      <x:c r="DE5" s="130" t="str">
        <x:v>No</x:v>
      </x:c>
      <x:c r="DF5" s="130" t="str">
        <x:v>No</x:v>
      </x:c>
      <x:c r="DG5" s="130" t="str">
        <x:v>Sarah Carter</x:v>
      </x:c>
      <x:c r="DH5" s="130" t="str">
        <x:v>Spouse</x:v>
      </x:c>
      <x:c r="DI5" s="130" t="str">
        <x:v>206-555-0199</x:v>
      </x:c>
      <x:c r="DJ5" s="130" t="str">
        <x:v>No</x:v>
      </x:c>
      <x:c r="DK5" s="130" t="str">
        <x:v>No</x:v>
      </x:c>
      <x:c r="DL5" s="130" t="str">
        <x:v>No</x:v>
      </x:c>
      <x:c r="DM5" s="130" t="str">
        <x:v>No</x:v>
      </x:c>
      <x:c r="DN5" s="130" t="str">
        <x:v>Yes - Appendectomy (2005)</x:v>
      </x:c>
      <x:c r="DO5" s="130" t="str">
        <x:v>20/20</x:v>
      </x:c>
      <x:c r="DP5" s="130" t="str">
        <x:v>20/20</x:v>
      </x:c>
      <x:c r="DQ5" s="130" t="str">
        <x:v>Pass</x:v>
      </x:c>
      <x:c r="DR5" s="130" t="str">
        <x:v>118</x:v>
      </x:c>
      <x:c r="DS5" s="130" t="str">
        <x:v>78</x:v>
      </x:c>
      <x:c r="DT5" s="130" t="str">
        <x:v>72</x:v>
      </x:c>
      <x:c r="DU5" s="130" t="str">
        <x:v>Normal</x:v>
      </x:c>
      <x:c r="DV5" s="180" t="n">
        <x:v>45392</x:v>
      </x:c>
      <x:c r="DW5" s="180" t="n">
        <x:v>45394</x:v>
      </x:c>
      <x:c r="DX5" s="130" t="str">
        <x:v>Negative</x:v>
      </x:c>
      <x:c r="DY5" s="180" t="n">
        <x:v>45397</x:v>
      </x:c>
      <x:c r="DZ5" s="130" t="str">
        <x:v>BOF Fleet Safety &amp; Compliance Policy 2024</x:v>
      </x:c>
      <x:c r="EA5" s="130" t="str">
        <x:v>Complete</x:v>
      </x:c>
      <x:c r="EB5" s="180" t="n">
        <x:v>45413</x:v>
      </x:c>
    </x:row>
    <x:row r="6">
      <x:c r="A6" s="130" t="str">
        <x:v>DRV-001</x:v>
      </x:c>
      <x:c r="B6" s="130" t="str">
        <x:v>John Carter</x:v>
      </x:c>
      <x:c r="C6" s="130" t="str">
        <x:v>220 Demo Street, Cleveland, OH 44113</x:v>
      </x:c>
      <x:c r="D6" s="130" t="str">
        <x:v>206-555-0102</x:v>
      </x:c>
      <x:c r="E6" s="130" t="str">
        <x:v>***-**-0123</x:v>
      </x:c>
      <x:c r="F6" s="130" t="str">
        <x:v>Huntington</x:v>
      </x:c>
      <x:c r="G6" s="130" t="n">
        <x:v>000000104</x:v>
      </x:c>
      <x:c r="H6" s="130" t="n">
        <x:v>999900202</x:v>
      </x:c>
      <x:c r="I6" s="130" t="str">
        <x:v>Road Test Certificate</x:v>
      </x:c>
      <x:c r="J6" s="130" t="str">
        <x:v>VALID</x:v>
      </x:c>
      <x:c r="K6" s="130" t="str">
        <x:v>OH0000137</x:v>
      </x:c>
      <x:c r="L6" s="180" t="n">
        <x:v>46621</x:v>
      </x:c>
      <x:c r="M6" s="180" t="n">
        <x:v>46276</x:v>
      </x:c>
      <x:c r="N6" s="180" t="n">
        <x:v>46314</x:v>
      </x:c>
      <x:c r="O6" s="130"/>
      <x:c r="P6" s="130" t="str">
        <x:v>Black</x:v>
      </x:c>
      <x:c r="Q6" s="130" t="str">
        <x:v>Green</x:v>
      </x:c>
      <x:c r="R6" s="130" t="str">
        <x:v>5'-10"</x:v>
      </x:c>
      <x:c r="S6" s="130" t="n">
        <x:v>180</x:v>
      </x:c>
      <x:c r="T6" s="130" t="str">
        <x:v>M</x:v>
      </x:c>
      <x:c r="U6" s="130" t="n">
        <x:v>25934</x:v>
      </x:c>
      <x:c r="V6" s="130" t="str">
        <x:v>DRV-001.png</x:v>
      </x:c>
      <x:c r="W6" s="130" t="str">
        <x:v>Caucasian</x:v>
      </x:c>
      <x:c r="X6" s="130" t="str">
        <x:v>jcarter@example.com</x:v>
      </x:c>
      <x:c r="Y6" s="130" t="str">
        <x:v>220 Demo Street</x:v>
      </x:c>
      <x:c r="Z6" s="130" t="str">
        <x:v>Cleveland</x:v>
      </x:c>
      <x:c r="AA6" s="130" t="str">
        <x:v>OH</x:v>
      </x:c>
      <x:c r="AB6" s="130" t="n">
        <x:v>44113</x:v>
      </x:c>
      <x:c r="AC6" s="130" t="str">
        <x:v>OH</x:v>
      </x:c>
      <x:c r="AD6" s="130" t="str">
        <x:v>Class A</x:v>
      </x:c>
      <x:c r="AE6" s="180" t="n">
        <x:v>44799</x:v>
      </x:c>
      <x:c r="AF6" s="130" t="str">
        <x:v>N,T</x:v>
      </x:c>
      <x:c r="AG6" s="130"/>
      <x:c r="AH6" s="180" t="n">
        <x:v>45364</x:v>
      </x:c>
      <x:c r="AI6" s="130" t="str">
        <x:v>MC-0010108</x:v>
      </x:c>
      <x:c r="AJ6" s="130" t="str">
        <x:v>Dr. Patricia Owens</x:v>
      </x:c>
      <x:c r="AK6" s="130" t="str">
        <x:v>ME100001</x:v>
      </x:c>
      <x:c r="AL6" s="130"/>
      <x:c r="AM6" s="130" t="str">
        <x:v>Qualified</x:v>
      </x:c>
      <x:c r="AN6" s="180" t="n">
        <x:v>46050</x:v>
      </x:c>
      <x:c r="AO6" s="130" t="n">
        <x:v>0</x:v>
      </x:c>
      <x:c r="AP6" s="130" t="n">
        <x:v>0</x:v>
      </x:c>
      <x:c r="AQ6" s="130"/>
      <x:c r="AR6" s="130" t="str">
        <x:v>Clear</x:v>
      </x:c>
      <x:c r="AS6" s="180" t="n">
        <x:v>45392</x:v>
      </x:c>
      <x:c r="AT6" s="130" t="str">
        <x:v>Authorized to Work</x:v>
      </x:c>
      <x:c r="AU6" s="130" t="str">
        <x:v>U.S. Passport</x:v>
      </x:c>
      <x:c r="AV6" s="130"/>
      <x:c r="AW6" s="130"/>
      <x:c r="AX6" s="180" t="n">
        <x:v>45392</x:v>
      </x:c>
      <x:c r="AY6" s="130" t="str">
        <x:v>BOF Onboarding Team</x:v>
      </x:c>
      <x:c r="AZ6" s="130" t="str">
        <x:v>Complete</x:v>
      </x:c>
      <x:c r="BA6" s="130"/>
      <x:c r="BB6" s="130" t="str">
        <x:v>Individual/Sole Proprietor</x:v>
      </x:c>
      <x:c r="BC6" s="130" t="str">
        <x:v>SSN</x:v>
      </x:c>
      <x:c r="BD6" s="130" t="str">
        <x:v>***-**-0123</x:v>
      </x:c>
      <x:c r="BE6" s="130"/>
      <x:c r="BF6" s="180" t="n">
        <x:v>45392</x:v>
      </x:c>
      <x:c r="BG6" s="130" t="str">
        <x:v>Received</x:v>
      </x:c>
      <x:c r="BH6" s="130" t="str">
        <x:v>Checking</x:v>
      </x:c>
      <x:c r="BI6" s="130" t="str">
        <x:v>Direct Deposit</x:v>
      </x:c>
      <x:c r="BJ6" s="180" t="n">
        <x:v>45392</x:v>
      </x:c>
      <x:c r="BK6" s="130" t="str">
        <x:v>Verified</x:v>
      </x:c>
      <x:c r="BL6" s="180" t="n">
        <x:v>45385</x:v>
      </x:c>
      <x:c r="BM6" s="130" t="str">
        <x:v>A. Reynolds</x:v>
      </x:c>
      <x:c r="BN6" s="130" t="str">
        <x:v>Sleeper tractor</x:v>
      </x:c>
      <x:c r="BO6" s="130" t="str">
        <x:v>53 ft dry van</x:v>
      </x:c>
      <x:c r="BP6" s="130" t="str">
        <x:v>Cleveland, OH</x:v>
      </x:c>
      <x:c r="BQ6" s="130" t="n">
        <x:v>5</x:v>
      </x:c>
      <x:c r="BR6" s="130" t="n">
        <x:v>5</x:v>
      </x:c>
      <x:c r="BS6" s="130" t="n">
        <x:v>4</x:v>
      </x:c>
      <x:c r="BT6" s="130" t="n">
        <x:v>5</x:v>
      </x:c>
      <x:c r="BU6" s="130" t="n">
        <x:v>5</x:v>
      </x:c>
      <x:c r="BV6" s="130" t="n">
        <x:v>5</x:v>
      </x:c>
      <x:c r="BW6" s="130" t="n">
        <x:v>4</x:v>
      </x:c>
      <x:c r="BX6" s="130" t="n">
        <x:v>5</x:v>
      </x:c>
      <x:c r="BY6" s="130" t="n">
        <x:v>5</x:v>
      </x:c>
      <x:c r="BZ6" s="130" t="str">
        <x:v>Pass</x:v>
      </x:c>
      <x:c r="CA6" s="130"/>
      <x:c r="CB6" s="130" t="str">
        <x:v>Passed</x:v>
      </x:c>
      <x:c r="CC6" s="130" t="str">
        <x:v>Enrolled</x:v>
      </x:c>
      <x:c r="CD6" s="130" t="str">
        <x:v>Query Completed</x:v>
      </x:c>
      <x:c r="CE6" s="180" t="n">
        <x:v>46037</x:v>
      </x:c>
      <x:c r="CF6" s="180" t="n">
        <x:v>46218</x:v>
      </x:c>
      <x:c r="CG6" s="130"/>
      <x:c r="CH6" s="130" t="str">
        <x:v>Compliant</x:v>
      </x:c>
      <x:c r="CI6" s="130"/>
      <x:c r="CJ6" s="130" t="str">
        <x:v>John</x:v>
      </x:c>
      <x:c r="CK6" s="130" t="str">
        <x:v>Carter</x:v>
      </x:c>
      <x:c r="CL6" s="130" t="str">
        <x:v>OH0000079</x:v>
      </x:c>
      <x:c r="CM6" s="130" t="str">
        <x:v>OH</x:v>
      </x:c>
      <x:c r="CN6" s="130" t="str">
        <x:v>CDL Holder</x:v>
      </x:c>
      <x:c r="CO6" s="130" t="str">
        <x:v>John Carter</x:v>
      </x:c>
      <x:c r="CP6" s="180" t="n">
        <x:v>45364</x:v>
      </x:c>
      <x:c r="CQ6" s="180" t="n">
        <x:v>46094</x:v>
      </x:c>
      <x:c r="CR6" s="130" t="str">
        <x:v>(614) 555-0107</x:v>
      </x:c>
      <x:c r="CS6" s="130" t="str">
        <x:v>Dr. Patricia Owens</x:v>
      </x:c>
      <x:c r="CT6" s="180" t="n">
        <x:v>45364</x:v>
      </x:c>
      <x:c r="CU6" s="130" t="str">
        <x:v>OH-ME-970443</x:v>
      </x:c>
      <x:c r="CV6" s="130" t="str">
        <x:v>ME100001</x:v>
      </x:c>
      <x:c r="CW6" s="130" t="str">
        <x:v>Chiropractor</x:v>
      </x:c>
      <x:c r="CX6" s="130" t="str">
        <x:v>OH</x:v>
      </x:c>
      <x:c r="CY6" s="130" t="str">
        <x:v>Federal Motor Carrier Safety Regulations</x:v>
      </x:c>
      <x:c r="CZ6" s="130"/>
      <x:c r="DA6" s="130" t="str">
        <x:v>No</x:v>
      </x:c>
      <x:c r="DB6" s="130" t="str">
        <x:v>No</x:v>
      </x:c>
      <x:c r="DC6" s="130" t="str">
        <x:v>No</x:v>
      </x:c>
      <x:c r="DD6" s="130" t="str">
        <x:v>No</x:v>
      </x:c>
      <x:c r="DE6" s="130" t="str">
        <x:v>No</x:v>
      </x:c>
      <x:c r="DF6" s="130" t="str">
        <x:v>No</x:v>
      </x:c>
      <x:c r="DG6" s="130" t="str">
        <x:v>Sarah Carter</x:v>
      </x:c>
      <x:c r="DH6" s="130" t="str">
        <x:v>Spouse</x:v>
      </x:c>
      <x:c r="DI6" s="130" t="str">
        <x:v>206-555-0199</x:v>
      </x:c>
      <x:c r="DJ6" s="130" t="str">
        <x:v>No</x:v>
      </x:c>
      <x:c r="DK6" s="130" t="str">
        <x:v>No</x:v>
      </x:c>
      <x:c r="DL6" s="130" t="str">
        <x:v>No</x:v>
      </x:c>
      <x:c r="DM6" s="130" t="str">
        <x:v>No</x:v>
      </x:c>
      <x:c r="DN6" s="130" t="str">
        <x:v>Yes - Appendectomy (2005)</x:v>
      </x:c>
      <x:c r="DO6" s="130" t="str">
        <x:v>20/20</x:v>
      </x:c>
      <x:c r="DP6" s="130" t="str">
        <x:v>20/20</x:v>
      </x:c>
      <x:c r="DQ6" s="130" t="str">
        <x:v>Pass</x:v>
      </x:c>
      <x:c r="DR6" s="130" t="str">
        <x:v>118</x:v>
      </x:c>
      <x:c r="DS6" s="130" t="str">
        <x:v>78</x:v>
      </x:c>
      <x:c r="DT6" s="130" t="str">
        <x:v>72</x:v>
      </x:c>
      <x:c r="DU6" s="130" t="str">
        <x:v>Normal</x:v>
      </x:c>
      <x:c r="DV6" s="180" t="n">
        <x:v>45392</x:v>
      </x:c>
      <x:c r="DW6" s="180" t="n">
        <x:v>45394</x:v>
      </x:c>
      <x:c r="DX6" s="130" t="str">
        <x:v>Negative</x:v>
      </x:c>
      <x:c r="DY6" s="180" t="n">
        <x:v>45397</x:v>
      </x:c>
      <x:c r="DZ6" s="130" t="str">
        <x:v>BOF Fleet Safety &amp; Compliance Policy 2024</x:v>
      </x:c>
      <x:c r="EA6" s="130" t="str">
        <x:v>Complete</x:v>
      </x:c>
      <x:c r="EB6" s="180" t="n">
        <x:v>45413</x:v>
      </x:c>
    </x:row>
    <x:row r="7">
      <x:c r="A7" s="130" t="str">
        <x:v>DRV-001</x:v>
      </x:c>
      <x:c r="B7" s="130" t="str">
        <x:v>John Carter</x:v>
      </x:c>
      <x:c r="C7" s="130" t="str">
        <x:v>220 Demo Street, Cleveland, OH 44113</x:v>
      </x:c>
      <x:c r="D7" s="130" t="str">
        <x:v>206-555-0102</x:v>
      </x:c>
      <x:c r="E7" s="130" t="str">
        <x:v>***-**-0123</x:v>
      </x:c>
      <x:c r="F7" s="130" t="str">
        <x:v>Huntington</x:v>
      </x:c>
      <x:c r="G7" s="130" t="n">
        <x:v>000000104</x:v>
      </x:c>
      <x:c r="H7" s="130" t="n">
        <x:v>999900202</x:v>
      </x:c>
      <x:c r="I7" s="130" t="str">
        <x:v>Incident/Accident Report</x:v>
      </x:c>
      <x:c r="J7" s="130" t="str">
        <x:v>VALID</x:v>
      </x:c>
      <x:c r="K7" s="130" t="str">
        <x:v>OH0000138</x:v>
      </x:c>
      <x:c r="L7" s="180" t="n">
        <x:v>46621</x:v>
      </x:c>
      <x:c r="M7" s="180" t="n">
        <x:v>46277</x:v>
      </x:c>
      <x:c r="N7" s="180" t="n">
        <x:v>46315</x:v>
      </x:c>
      <x:c r="O7" s="130" t="str">
        <x:v>Load L-501: Seal mismatch detected. Pickup: SEAL-83921 Delivery: SEAL-83920.</x:v>
      </x:c>
      <x:c r="P7" s="130" t="str">
        <x:v>Black</x:v>
      </x:c>
      <x:c r="Q7" s="130" t="str">
        <x:v>Green</x:v>
      </x:c>
      <x:c r="R7" s="130" t="str">
        <x:v>5'-10"</x:v>
      </x:c>
      <x:c r="S7" s="130" t="n">
        <x:v>180</x:v>
      </x:c>
      <x:c r="T7" s="130" t="str">
        <x:v>M</x:v>
      </x:c>
      <x:c r="U7" s="130" t="n">
        <x:v>25934</x:v>
      </x:c>
      <x:c r="V7" s="130" t="str">
        <x:v>DRV-001.png</x:v>
      </x:c>
      <x:c r="W7" s="130" t="str">
        <x:v>Caucasian</x:v>
      </x:c>
      <x:c r="X7" s="130" t="str">
        <x:v>jcarter@example.com</x:v>
      </x:c>
      <x:c r="Y7" s="130" t="str">
        <x:v>220 Demo Street</x:v>
      </x:c>
      <x:c r="Z7" s="130" t="str">
        <x:v>Cleveland</x:v>
      </x:c>
      <x:c r="AA7" s="130" t="str">
        <x:v>OH</x:v>
      </x:c>
      <x:c r="AB7" s="130" t="n">
        <x:v>44113</x:v>
      </x:c>
      <x:c r="AC7" s="130" t="str">
        <x:v>OH</x:v>
      </x:c>
      <x:c r="AD7" s="130" t="str">
        <x:v>Class A</x:v>
      </x:c>
      <x:c r="AE7" s="180" t="n">
        <x:v>44799</x:v>
      </x:c>
      <x:c r="AF7" s="130" t="str">
        <x:v>N,T</x:v>
      </x:c>
      <x:c r="AG7" s="130"/>
      <x:c r="AH7" s="180" t="n">
        <x:v>45364</x:v>
      </x:c>
      <x:c r="AI7" s="130" t="str">
        <x:v>MC-0010108</x:v>
      </x:c>
      <x:c r="AJ7" s="130" t="str">
        <x:v>Dr. Patricia Owens</x:v>
      </x:c>
      <x:c r="AK7" s="130" t="str">
        <x:v>ME100001</x:v>
      </x:c>
      <x:c r="AL7" s="130"/>
      <x:c r="AM7" s="130" t="str">
        <x:v>Qualified</x:v>
      </x:c>
      <x:c r="AN7" s="180" t="n">
        <x:v>46050</x:v>
      </x:c>
      <x:c r="AO7" s="130" t="n">
        <x:v>0</x:v>
      </x:c>
      <x:c r="AP7" s="130" t="n">
        <x:v>0</x:v>
      </x:c>
      <x:c r="AQ7" s="130"/>
      <x:c r="AR7" s="130" t="str">
        <x:v>Clear</x:v>
      </x:c>
      <x:c r="AS7" s="180" t="n">
        <x:v>45392</x:v>
      </x:c>
      <x:c r="AT7" s="130" t="str">
        <x:v>Authorized to Work</x:v>
      </x:c>
      <x:c r="AU7" s="130" t="str">
        <x:v>U.S. Passport</x:v>
      </x:c>
      <x:c r="AV7" s="130"/>
      <x:c r="AW7" s="130"/>
      <x:c r="AX7" s="180" t="n">
        <x:v>45392</x:v>
      </x:c>
      <x:c r="AY7" s="130" t="str">
        <x:v>BOF Onboarding Team</x:v>
      </x:c>
      <x:c r="AZ7" s="130" t="str">
        <x:v>Complete</x:v>
      </x:c>
      <x:c r="BA7" s="130"/>
      <x:c r="BB7" s="130" t="str">
        <x:v>Individual/Sole Proprietor</x:v>
      </x:c>
      <x:c r="BC7" s="130" t="str">
        <x:v>SSN</x:v>
      </x:c>
      <x:c r="BD7" s="130" t="str">
        <x:v>***-**-0123</x:v>
      </x:c>
      <x:c r="BE7" s="130"/>
      <x:c r="BF7" s="180" t="n">
        <x:v>45392</x:v>
      </x:c>
      <x:c r="BG7" s="130" t="str">
        <x:v>Received</x:v>
      </x:c>
      <x:c r="BH7" s="130" t="str">
        <x:v>Checking</x:v>
      </x:c>
      <x:c r="BI7" s="130" t="str">
        <x:v>Direct Deposit</x:v>
      </x:c>
      <x:c r="BJ7" s="180" t="n">
        <x:v>45392</x:v>
      </x:c>
      <x:c r="BK7" s="130" t="str">
        <x:v>Verified</x:v>
      </x:c>
      <x:c r="BL7" s="180" t="n">
        <x:v>45385</x:v>
      </x:c>
      <x:c r="BM7" s="130" t="str">
        <x:v>A. Reynolds</x:v>
      </x:c>
      <x:c r="BN7" s="130" t="str">
        <x:v>Sleeper tractor</x:v>
      </x:c>
      <x:c r="BO7" s="130" t="str">
        <x:v>53 ft dry van</x:v>
      </x:c>
      <x:c r="BP7" s="130" t="str">
        <x:v>Cleveland, OH</x:v>
      </x:c>
      <x:c r="BQ7" s="130" t="n">
        <x:v>5</x:v>
      </x:c>
      <x:c r="BR7" s="130" t="n">
        <x:v>5</x:v>
      </x:c>
      <x:c r="BS7" s="130" t="n">
        <x:v>4</x:v>
      </x:c>
      <x:c r="BT7" s="130" t="n">
        <x:v>5</x:v>
      </x:c>
      <x:c r="BU7" s="130" t="n">
        <x:v>5</x:v>
      </x:c>
      <x:c r="BV7" s="130" t="n">
        <x:v>5</x:v>
      </x:c>
      <x:c r="BW7" s="130" t="n">
        <x:v>4</x:v>
      </x:c>
      <x:c r="BX7" s="130" t="n">
        <x:v>5</x:v>
      </x:c>
      <x:c r="BY7" s="130" t="n">
        <x:v>5</x:v>
      </x:c>
      <x:c r="BZ7" s="130" t="str">
        <x:v>Pass</x:v>
      </x:c>
      <x:c r="CA7" s="130"/>
      <x:c r="CB7" s="130" t="str">
        <x:v>Passed</x:v>
      </x:c>
      <x:c r="CC7" s="130" t="str">
        <x:v>Enrolled</x:v>
      </x:c>
      <x:c r="CD7" s="130" t="str">
        <x:v>Query Completed</x:v>
      </x:c>
      <x:c r="CE7" s="180" t="n">
        <x:v>46037</x:v>
      </x:c>
      <x:c r="CF7" s="180" t="n">
        <x:v>46218</x:v>
      </x:c>
      <x:c r="CG7" s="130"/>
      <x:c r="CH7" s="130" t="str">
        <x:v>Compliant</x:v>
      </x:c>
      <x:c r="CI7" s="130"/>
      <x:c r="CJ7" s="130" t="str">
        <x:v>John</x:v>
      </x:c>
      <x:c r="CK7" s="130" t="str">
        <x:v>Carter</x:v>
      </x:c>
      <x:c r="CL7" s="130" t="str">
        <x:v>OH0000080</x:v>
      </x:c>
      <x:c r="CM7" s="130" t="str">
        <x:v>OH</x:v>
      </x:c>
      <x:c r="CN7" s="130" t="str">
        <x:v>CDL Holder</x:v>
      </x:c>
      <x:c r="CO7" s="130" t="str">
        <x:v>John Carter</x:v>
      </x:c>
      <x:c r="CP7" s="180" t="n">
        <x:v>45364</x:v>
      </x:c>
      <x:c r="CQ7" s="180" t="n">
        <x:v>46094</x:v>
      </x:c>
      <x:c r="CR7" s="130" t="str">
        <x:v>(614) 555-0107</x:v>
      </x:c>
      <x:c r="CS7" s="130" t="str">
        <x:v>Dr. Patricia Owens</x:v>
      </x:c>
      <x:c r="CT7" s="180" t="n">
        <x:v>45364</x:v>
      </x:c>
      <x:c r="CU7" s="130" t="str">
        <x:v>OH-ME-970443</x:v>
      </x:c>
      <x:c r="CV7" s="130" t="str">
        <x:v>ME100001</x:v>
      </x:c>
      <x:c r="CW7" s="130" t="str">
        <x:v>Chiropractor</x:v>
      </x:c>
      <x:c r="CX7" s="130" t="str">
        <x:v>OH</x:v>
      </x:c>
      <x:c r="CY7" s="130" t="str">
        <x:v>Federal Motor Carrier Safety Regulations</x:v>
      </x:c>
      <x:c r="CZ7" s="130"/>
      <x:c r="DA7" s="130" t="str">
        <x:v>No</x:v>
      </x:c>
      <x:c r="DB7" s="130" t="str">
        <x:v>No</x:v>
      </x:c>
      <x:c r="DC7" s="130" t="str">
        <x:v>No</x:v>
      </x:c>
      <x:c r="DD7" s="130" t="str">
        <x:v>No</x:v>
      </x:c>
      <x:c r="DE7" s="130" t="str">
        <x:v>No</x:v>
      </x:c>
      <x:c r="DF7" s="130" t="str">
        <x:v>No</x:v>
      </x:c>
      <x:c r="DG7" s="130" t="str">
        <x:v>Sarah Carter</x:v>
      </x:c>
      <x:c r="DH7" s="130" t="str">
        <x:v>Spouse</x:v>
      </x:c>
      <x:c r="DI7" s="130" t="str">
        <x:v>206-555-0199</x:v>
      </x:c>
      <x:c r="DJ7" s="130" t="str">
        <x:v>No</x:v>
      </x:c>
      <x:c r="DK7" s="130" t="str">
        <x:v>No</x:v>
      </x:c>
      <x:c r="DL7" s="130" t="str">
        <x:v>No</x:v>
      </x:c>
      <x:c r="DM7" s="130" t="str">
        <x:v>No</x:v>
      </x:c>
      <x:c r="DN7" s="130" t="str">
        <x:v>Yes - Appendectomy (2005)</x:v>
      </x:c>
      <x:c r="DO7" s="130" t="str">
        <x:v>20/20</x:v>
      </x:c>
      <x:c r="DP7" s="130" t="str">
        <x:v>20/20</x:v>
      </x:c>
      <x:c r="DQ7" s="130" t="str">
        <x:v>Pass</x:v>
      </x:c>
      <x:c r="DR7" s="130" t="str">
        <x:v>118</x:v>
      </x:c>
      <x:c r="DS7" s="130" t="str">
        <x:v>78</x:v>
      </x:c>
      <x:c r="DT7" s="130" t="str">
        <x:v>72</x:v>
      </x:c>
      <x:c r="DU7" s="130" t="str">
        <x:v>Normal</x:v>
      </x:c>
      <x:c r="DV7" s="180" t="n">
        <x:v>45392</x:v>
      </x:c>
      <x:c r="DW7" s="180" t="n">
        <x:v>45394</x:v>
      </x:c>
      <x:c r="DX7" s="130" t="str">
        <x:v>Negative</x:v>
      </x:c>
      <x:c r="DY7" s="180" t="n">
        <x:v>45397</x:v>
      </x:c>
      <x:c r="DZ7" s="130" t="str">
        <x:v>BOF Fleet Safety &amp; Compliance Policy 2024</x:v>
      </x:c>
      <x:c r="EA7" s="130" t="str">
        <x:v>Complete</x:v>
      </x:c>
      <x:c r="EB7" s="180" t="n">
        <x:v>45413</x:v>
      </x:c>
    </x:row>
    <x:row r="8">
      <x:c r="A8" s="130" t="str">
        <x:v>DRV-001</x:v>
      </x:c>
      <x:c r="B8" s="130" t="str">
        <x:v>John Carter</x:v>
      </x:c>
      <x:c r="C8" s="130" t="str">
        <x:v>220 Demo Street, Cleveland, OH 44113</x:v>
      </x:c>
      <x:c r="D8" s="130" t="str">
        <x:v>206-555-0102</x:v>
      </x:c>
      <x:c r="E8" s="130" t="str">
        <x:v>***-**-0123</x:v>
      </x:c>
      <x:c r="F8" s="130" t="str">
        <x:v>Huntington</x:v>
      </x:c>
      <x:c r="G8" s="130" t="n">
        <x:v>000000104</x:v>
      </x:c>
      <x:c r="H8" s="130" t="n">
        <x:v>999900202</x:v>
      </x:c>
      <x:c r="I8" s="130" t="str">
        <x:v>Direct Deposit Form</x:v>
      </x:c>
      <x:c r="J8" s="130" t="str">
        <x:v>VALID</x:v>
      </x:c>
      <x:c r="K8" s="130" t="str">
        <x:v>OH0000124</x:v>
      </x:c>
      <x:c r="L8" s="180" t="n">
        <x:v>46621</x:v>
      </x:c>
      <x:c r="M8" s="180" t="n">
        <x:v>46278</x:v>
      </x:c>
      <x:c r="N8" s="180" t="n">
        <x:v>46316</x:v>
      </x:c>
      <x:c r="O8" s="130"/>
      <x:c r="P8" s="130" t="str">
        <x:v>Black</x:v>
      </x:c>
      <x:c r="Q8" s="130" t="str">
        <x:v>Green</x:v>
      </x:c>
      <x:c r="R8" s="130" t="str">
        <x:v>5'-10"</x:v>
      </x:c>
      <x:c r="S8" s="130" t="n">
        <x:v>180</x:v>
      </x:c>
      <x:c r="T8" s="130" t="str">
        <x:v>M</x:v>
      </x:c>
      <x:c r="U8" s="130" t="n">
        <x:v>25934</x:v>
      </x:c>
      <x:c r="V8" s="130" t="str">
        <x:v>DRV-001.png</x:v>
      </x:c>
      <x:c r="W8" s="130" t="str">
        <x:v>Caucasian</x:v>
      </x:c>
      <x:c r="X8" s="130" t="str">
        <x:v>jcarter@example.com</x:v>
      </x:c>
      <x:c r="Y8" s="130" t="str">
        <x:v>220 Demo Street</x:v>
      </x:c>
      <x:c r="Z8" s="130" t="str">
        <x:v>Cleveland</x:v>
      </x:c>
      <x:c r="AA8" s="130" t="str">
        <x:v>OH</x:v>
      </x:c>
      <x:c r="AB8" s="130" t="n">
        <x:v>44113</x:v>
      </x:c>
      <x:c r="AC8" s="130" t="str">
        <x:v>OH</x:v>
      </x:c>
      <x:c r="AD8" s="130" t="str">
        <x:v>Class A</x:v>
      </x:c>
      <x:c r="AE8" s="180" t="n">
        <x:v>44799</x:v>
      </x:c>
      <x:c r="AF8" s="130" t="str">
        <x:v>N,T</x:v>
      </x:c>
      <x:c r="AG8" s="130"/>
      <x:c r="AH8" s="180" t="n">
        <x:v>45364</x:v>
      </x:c>
      <x:c r="AI8" s="130" t="str">
        <x:v>MC-0010108</x:v>
      </x:c>
      <x:c r="AJ8" s="130" t="str">
        <x:v>Dr. Patricia Owens</x:v>
      </x:c>
      <x:c r="AK8" s="130" t="str">
        <x:v>ME100001</x:v>
      </x:c>
      <x:c r="AL8" s="130"/>
      <x:c r="AM8" s="130" t="str">
        <x:v>Qualified</x:v>
      </x:c>
      <x:c r="AN8" s="180" t="n">
        <x:v>46050</x:v>
      </x:c>
      <x:c r="AO8" s="130" t="n">
        <x:v>0</x:v>
      </x:c>
      <x:c r="AP8" s="130" t="n">
        <x:v>0</x:v>
      </x:c>
      <x:c r="AQ8" s="130"/>
      <x:c r="AR8" s="130" t="str">
        <x:v>Clear</x:v>
      </x:c>
      <x:c r="AS8" s="180" t="n">
        <x:v>45392</x:v>
      </x:c>
      <x:c r="AT8" s="130" t="str">
        <x:v>Authorized to Work</x:v>
      </x:c>
      <x:c r="AU8" s="130" t="str">
        <x:v>U.S. Passport</x:v>
      </x:c>
      <x:c r="AV8" s="130"/>
      <x:c r="AW8" s="130"/>
      <x:c r="AX8" s="180" t="n">
        <x:v>45392</x:v>
      </x:c>
      <x:c r="AY8" s="130" t="str">
        <x:v>BOF Onboarding Team</x:v>
      </x:c>
      <x:c r="AZ8" s="130" t="str">
        <x:v>Complete</x:v>
      </x:c>
      <x:c r="BA8" s="130"/>
      <x:c r="BB8" s="130" t="str">
        <x:v>Individual/Sole Proprietor</x:v>
      </x:c>
      <x:c r="BC8" s="130" t="str">
        <x:v>SSN</x:v>
      </x:c>
      <x:c r="BD8" s="130" t="str">
        <x:v>***-**-0123</x:v>
      </x:c>
      <x:c r="BE8" s="130"/>
      <x:c r="BF8" s="180" t="n">
        <x:v>45392</x:v>
      </x:c>
      <x:c r="BG8" s="130" t="str">
        <x:v>Received</x:v>
      </x:c>
      <x:c r="BH8" s="130" t="str">
        <x:v>Checking</x:v>
      </x:c>
      <x:c r="BI8" s="130" t="str">
        <x:v>Direct Deposit</x:v>
      </x:c>
      <x:c r="BJ8" s="180" t="n">
        <x:v>45392</x:v>
      </x:c>
      <x:c r="BK8" s="130" t="str">
        <x:v>Verified</x:v>
      </x:c>
      <x:c r="BL8" s="180" t="n">
        <x:v>45385</x:v>
      </x:c>
      <x:c r="BM8" s="130" t="str">
        <x:v>A. Reynolds</x:v>
      </x:c>
      <x:c r="BN8" s="130" t="str">
        <x:v>Sleeper tractor</x:v>
      </x:c>
      <x:c r="BO8" s="130" t="str">
        <x:v>53 ft dry van</x:v>
      </x:c>
      <x:c r="BP8" s="130" t="str">
        <x:v>Cleveland, OH</x:v>
      </x:c>
      <x:c r="BQ8" s="130" t="n">
        <x:v>5</x:v>
      </x:c>
      <x:c r="BR8" s="130" t="n">
        <x:v>5</x:v>
      </x:c>
      <x:c r="BS8" s="130" t="n">
        <x:v>4</x:v>
      </x:c>
      <x:c r="BT8" s="130" t="n">
        <x:v>5</x:v>
      </x:c>
      <x:c r="BU8" s="130" t="n">
        <x:v>5</x:v>
      </x:c>
      <x:c r="BV8" s="130" t="n">
        <x:v>5</x:v>
      </x:c>
      <x:c r="BW8" s="130" t="n">
        <x:v>4</x:v>
      </x:c>
      <x:c r="BX8" s="130" t="n">
        <x:v>5</x:v>
      </x:c>
      <x:c r="BY8" s="130" t="n">
        <x:v>5</x:v>
      </x:c>
      <x:c r="BZ8" s="130" t="str">
        <x:v>Pass</x:v>
      </x:c>
      <x:c r="CA8" s="130"/>
      <x:c r="CB8" s="130" t="str">
        <x:v>Passed</x:v>
      </x:c>
      <x:c r="CC8" s="130" t="str">
        <x:v>Enrolled</x:v>
      </x:c>
      <x:c r="CD8" s="130" t="str">
        <x:v>Query Completed</x:v>
      </x:c>
      <x:c r="CE8" s="180" t="n">
        <x:v>46037</x:v>
      </x:c>
      <x:c r="CF8" s="180" t="n">
        <x:v>46218</x:v>
      </x:c>
      <x:c r="CG8" s="130"/>
      <x:c r="CH8" s="130" t="str">
        <x:v>Compliant</x:v>
      </x:c>
      <x:c r="CI8" s="130"/>
      <x:c r="CJ8" s="130" t="str">
        <x:v>John</x:v>
      </x:c>
      <x:c r="CK8" s="130" t="str">
        <x:v>Carter</x:v>
      </x:c>
      <x:c r="CL8" s="130" t="str">
        <x:v>OH0000081</x:v>
      </x:c>
      <x:c r="CM8" s="130" t="str">
        <x:v>OH</x:v>
      </x:c>
      <x:c r="CN8" s="130" t="str">
        <x:v>CDL Holder</x:v>
      </x:c>
      <x:c r="CO8" s="130" t="str">
        <x:v>John Carter</x:v>
      </x:c>
      <x:c r="CP8" s="180" t="n">
        <x:v>45364</x:v>
      </x:c>
      <x:c r="CQ8" s="180" t="n">
        <x:v>46094</x:v>
      </x:c>
      <x:c r="CR8" s="130" t="str">
        <x:v>(614) 555-0107</x:v>
      </x:c>
      <x:c r="CS8" s="130" t="str">
        <x:v>Dr. Patricia Owens</x:v>
      </x:c>
      <x:c r="CT8" s="180" t="n">
        <x:v>45364</x:v>
      </x:c>
      <x:c r="CU8" s="130" t="str">
        <x:v>OH-ME-970443</x:v>
      </x:c>
      <x:c r="CV8" s="130" t="str">
        <x:v>ME100001</x:v>
      </x:c>
      <x:c r="CW8" s="130" t="str">
        <x:v>Chiropractor</x:v>
      </x:c>
      <x:c r="CX8" s="130" t="str">
        <x:v>OH</x:v>
      </x:c>
      <x:c r="CY8" s="130" t="str">
        <x:v>Federal Motor Carrier Safety Regulations</x:v>
      </x:c>
      <x:c r="CZ8" s="130"/>
      <x:c r="DA8" s="130" t="str">
        <x:v>No</x:v>
      </x:c>
      <x:c r="DB8" s="130" t="str">
        <x:v>No</x:v>
      </x:c>
      <x:c r="DC8" s="130" t="str">
        <x:v>No</x:v>
      </x:c>
      <x:c r="DD8" s="130" t="str">
        <x:v>No</x:v>
      </x:c>
      <x:c r="DE8" s="130" t="str">
        <x:v>No</x:v>
      </x:c>
      <x:c r="DF8" s="130" t="str">
        <x:v>No</x:v>
      </x:c>
      <x:c r="DG8" s="130" t="str">
        <x:v>Sarah Carter</x:v>
      </x:c>
      <x:c r="DH8" s="130" t="str">
        <x:v>Spouse</x:v>
      </x:c>
      <x:c r="DI8" s="130" t="str">
        <x:v>206-555-0199</x:v>
      </x:c>
      <x:c r="DJ8" s="130" t="str">
        <x:v>No</x:v>
      </x:c>
      <x:c r="DK8" s="130" t="str">
        <x:v>No</x:v>
      </x:c>
      <x:c r="DL8" s="130" t="str">
        <x:v>No</x:v>
      </x:c>
      <x:c r="DM8" s="130" t="str">
        <x:v>No</x:v>
      </x:c>
      <x:c r="DN8" s="130" t="str">
        <x:v>Yes - Appendectomy (2005)</x:v>
      </x:c>
      <x:c r="DO8" s="130" t="str">
        <x:v>20/20</x:v>
      </x:c>
      <x:c r="DP8" s="130" t="str">
        <x:v>20/20</x:v>
      </x:c>
      <x:c r="DQ8" s="130" t="str">
        <x:v>Pass</x:v>
      </x:c>
      <x:c r="DR8" s="130" t="str">
        <x:v>118</x:v>
      </x:c>
      <x:c r="DS8" s="130" t="str">
        <x:v>78</x:v>
      </x:c>
      <x:c r="DT8" s="130" t="str">
        <x:v>72</x:v>
      </x:c>
      <x:c r="DU8" s="130" t="str">
        <x:v>Normal</x:v>
      </x:c>
      <x:c r="DV8" s="180" t="n">
        <x:v>45392</x:v>
      </x:c>
      <x:c r="DW8" s="180" t="n">
        <x:v>45394</x:v>
      </x:c>
      <x:c r="DX8" s="130" t="str">
        <x:v>Negative</x:v>
      </x:c>
      <x:c r="DY8" s="180" t="n">
        <x:v>45397</x:v>
      </x:c>
      <x:c r="DZ8" s="130" t="str">
        <x:v>BOF Fleet Safety &amp; Compliance Policy 2024</x:v>
      </x:c>
      <x:c r="EA8" s="130" t="str">
        <x:v>Complete</x:v>
      </x:c>
      <x:c r="EB8" s="180" t="n">
        <x:v>45413</x:v>
      </x:c>
    </x:row>
    <x:row r="9">
      <x:c r="A9" s="130" t="str">
        <x:v>DRV-002</x:v>
      </x:c>
      <x:c r="B9" s="130" t="str">
        <x:v>Maria Lopez</x:v>
      </x:c>
      <x:c r="C9" s="130" t="str">
        <x:v>770 Demo Street, Chicago, IL 60611</x:v>
      </x:c>
      <x:c r="D9" s="130" t="str">
        <x:v>707-555-0100</x:v>
      </x:c>
      <x:c r="E9" s="130" t="str">
        <x:v>***-**-0105</x:v>
      </x:c>
      <x:c r="F9" s="130" t="str">
        <x:v>Chase</x:v>
      </x:c>
      <x:c r="G9" s="130" t="n">
        <x:v>000000107</x:v>
      </x:c>
      <x:c r="H9" s="130" t="n">
        <x:v>999900201</x:v>
      </x:c>
      <x:c r="I9" s="130" t="str">
        <x:v>CDL Summary</x:v>
      </x:c>
      <x:c r="J9" s="130" t="str">
        <x:v>VALID</x:v>
      </x:c>
      <x:c r="K9" s="130" t="str">
        <x:v>IL0000041</x:v>
      </x:c>
      <x:c r="L9" s="180" t="n">
        <x:v>46518</x:v>
      </x:c>
      <x:c r="M9" s="180" t="n">
        <x:v>46596</x:v>
      </x:c>
      <x:c r="N9" s="180" t="n">
        <x:v>46455</x:v>
      </x:c>
      <x:c r="O9" s="130"/>
      <x:c r="P9" s="130" t="str">
        <x:v>Brown</x:v>
      </x:c>
      <x:c r="Q9" s="130" t="str">
        <x:v>Hazel</x:v>
      </x:c>
      <x:c r="R9" s="130" t="str">
        <x:v>5'-3"</x:v>
      </x:c>
      <x:c r="S9" s="130" t="n">
        <x:v>134</x:v>
      </x:c>
      <x:c r="T9" s="130" t="str">
        <x:v>F</x:v>
      </x:c>
      <x:c r="U9" s="130" t="n">
        <x:v>30317</x:v>
      </x:c>
      <x:c r="V9" s="130" t="str">
        <x:v>DRV-002.png</x:v>
      </x:c>
      <x:c r="W9" s="130" t="str">
        <x:v>Hispanic</x:v>
      </x:c>
      <x:c r="X9" s="130" t="str">
        <x:v>marialopez@example.com</x:v>
      </x:c>
      <x:c r="Y9" s="130" t="str">
        <x:v>770 Demo Street</x:v>
      </x:c>
      <x:c r="Z9" s="130" t="str">
        <x:v>Chicago</x:v>
      </x:c>
      <x:c r="AA9" s="130" t="str">
        <x:v>IL</x:v>
      </x:c>
      <x:c r="AB9" s="130" t="n">
        <x:v>60611</x:v>
      </x:c>
      <x:c r="AC9" s="130" t="str">
        <x:v>IL</x:v>
      </x:c>
      <x:c r="AD9" s="130" t="str">
        <x:v>Class A</x:v>
      </x:c>
      <x:c r="AE9" s="180" t="n">
        <x:v>44696</x:v>
      </x:c>
      <x:c r="AF9" s="130" t="str">
        <x:v>N</x:v>
      </x:c>
      <x:c r="AG9" s="130" t="str">
        <x:v>Corrective lenses</x:v>
      </x:c>
      <x:c r="AH9" s="180" t="n">
        <x:v>45866</x:v>
      </x:c>
      <x:c r="AI9" s="130" t="str">
        <x:v>MC-0020104</x:v>
      </x:c>
      <x:c r="AJ9" s="130" t="str">
        <x:v>Dr. Kevin Marshall</x:v>
      </x:c>
      <x:c r="AK9" s="130" t="str">
        <x:v>ME100002</x:v>
      </x:c>
      <x:c r="AL9" s="130" t="str">
        <x:v>Corrective lenses</x:v>
      </x:c>
      <x:c r="AM9" s="130" t="str">
        <x:v>Qualified</x:v>
      </x:c>
      <x:c r="AN9" s="180" t="n">
        <x:v>46425</x:v>
      </x:c>
      <x:c r="AO9" s="130" t="n">
        <x:v>1</x:v>
      </x:c>
      <x:c r="AP9" s="130" t="n">
        <x:v>0</x:v>
      </x:c>
      <x:c r="AQ9" s="130" t="str">
        <x:v>Corrective lenses</x:v>
      </x:c>
      <x:c r="AR9" s="130" t="str">
        <x:v>Clear</x:v>
      </x:c>
      <x:c r="AS9" s="180" t="n">
        <x:v>45446</x:v>
      </x:c>
      <x:c r="AT9" s="130" t="str">
        <x:v>Authorized to Work</x:v>
      </x:c>
      <x:c r="AU9" s="130" t="str">
        <x:v>U.S. Passport</x:v>
      </x:c>
      <x:c r="AV9" s="130"/>
      <x:c r="AW9" s="130"/>
      <x:c r="AX9" s="180" t="n">
        <x:v>45446</x:v>
      </x:c>
      <x:c r="AY9" s="130" t="str">
        <x:v>BOF Onboarding Team</x:v>
      </x:c>
      <x:c r="AZ9" s="130" t="str">
        <x:v>Complete</x:v>
      </x:c>
      <x:c r="BA9" s="130"/>
      <x:c r="BB9" s="130" t="str">
        <x:v>Individual/Sole Proprietor</x:v>
      </x:c>
      <x:c r="BC9" s="130" t="str">
        <x:v>SSN</x:v>
      </x:c>
      <x:c r="BD9" s="130" t="str">
        <x:v>***-**-0105</x:v>
      </x:c>
      <x:c r="BE9" s="130"/>
      <x:c r="BF9" s="180" t="n">
        <x:v>45446</x:v>
      </x:c>
      <x:c r="BG9" s="130" t="str">
        <x:v>Received</x:v>
      </x:c>
      <x:c r="BH9" s="130" t="str">
        <x:v>Checking</x:v>
      </x:c>
      <x:c r="BI9" s="130" t="str">
        <x:v>Direct Deposit</x:v>
      </x:c>
      <x:c r="BJ9" s="180" t="n">
        <x:v>45446</x:v>
      </x:c>
      <x:c r="BK9" s="130" t="str">
        <x:v>Verified</x:v>
      </x:c>
      <x:c r="BL9" s="180" t="n">
        <x:v>45439</x:v>
      </x:c>
      <x:c r="BM9" s="130" t="str">
        <x:v>D. Foster</x:v>
      </x:c>
      <x:c r="BN9" s="130" t="str">
        <x:v>Day cab tractor</x:v>
      </x:c>
      <x:c r="BO9" s="130" t="str">
        <x:v>53 ft reefer</x:v>
      </x:c>
      <x:c r="BP9" s="130" t="str">
        <x:v>Chicago, IL</x:v>
      </x:c>
      <x:c r="BQ9" s="130" t="n">
        <x:v>4</x:v>
      </x:c>
      <x:c r="BR9" s="130" t="n">
        <x:v>5</x:v>
      </x:c>
      <x:c r="BS9" s="130" t="n">
        <x:v>4</x:v>
      </x:c>
      <x:c r="BT9" s="130" t="n">
        <x:v>4</x:v>
      </x:c>
      <x:c r="BU9" s="130" t="n">
        <x:v>5</x:v>
      </x:c>
      <x:c r="BV9" s="130" t="n">
        <x:v>5</x:v>
      </x:c>
      <x:c r="BW9" s="130" t="n">
        <x:v>4</x:v>
      </x:c>
      <x:c r="BX9" s="130" t="n">
        <x:v>5</x:v>
      </x:c>
      <x:c r="BY9" s="130" t="n">
        <x:v>4</x:v>
      </x:c>
      <x:c r="BZ9" s="130" t="str">
        <x:v>Pass</x:v>
      </x:c>
      <x:c r="CA9" s="130" t="str">
        <x:v>Corrective lenses</x:v>
      </x:c>
      <x:c r="CB9" s="130" t="str">
        <x:v>Passed</x:v>
      </x:c>
      <x:c r="CC9" s="130" t="str">
        <x:v>Enrolled</x:v>
      </x:c>
      <x:c r="CD9" s="130" t="str">
        <x:v>Query Completed</x:v>
      </x:c>
      <x:c r="CE9" s="180" t="n">
        <x:v>46037</x:v>
      </x:c>
      <x:c r="CF9" s="180" t="n">
        <x:v>46218</x:v>
      </x:c>
      <x:c r="CG9" s="130"/>
      <x:c r="CH9" s="130" t="str">
        <x:v>Compliant</x:v>
      </x:c>
      <x:c r="CI9" s="130"/>
      <x:c r="CJ9" s="130" t="str">
        <x:v>Maria</x:v>
      </x:c>
      <x:c r="CK9" s="130" t="str">
        <x:v>Lopez</x:v>
      </x:c>
      <x:c r="CL9" s="130" t="str">
        <x:v>IL0000041</x:v>
      </x:c>
      <x:c r="CM9" s="130" t="str">
        <x:v>IL</x:v>
      </x:c>
      <x:c r="CN9" s="130" t="str">
        <x:v>CDL Holder</x:v>
      </x:c>
      <x:c r="CO9" s="130" t="str">
        <x:v>Maria Lopez</x:v>
      </x:c>
      <x:c r="CP9" s="180" t="n">
        <x:v>45866</x:v>
      </x:c>
      <x:c r="CQ9" s="180" t="n">
        <x:v>46596</x:v>
      </x:c>
      <x:c r="CR9" s="130" t="str">
        <x:v>(312) 555-0101</x:v>
      </x:c>
      <x:c r="CS9" s="130" t="str">
        <x:v>Dr. Kevin Marshall</x:v>
      </x:c>
      <x:c r="CT9" s="180" t="n">
        <x:v>45866</x:v>
      </x:c>
      <x:c r="CU9" s="130" t="str">
        <x:v>IL-ME-425674</x:v>
      </x:c>
      <x:c r="CV9" s="130" t="str">
        <x:v>ME100002</x:v>
      </x:c>
      <x:c r="CW9" s="130" t="str">
        <x:v>MD</x:v>
      </x:c>
      <x:c r="CX9" s="130" t="str">
        <x:v>IL</x:v>
      </x:c>
      <x:c r="CY9" s="130" t="str">
        <x:v>Federal Motor Carrier Safety Regulations</x:v>
      </x:c>
      <x:c r="CZ9" s="130"/>
      <x:c r="DA9" s="130" t="str">
        <x:v>Yes</x:v>
      </x:c>
      <x:c r="DB9" s="130" t="str">
        <x:v>No</x:v>
      </x:c>
      <x:c r="DC9" s="130" t="str">
        <x:v>No</x:v>
      </x:c>
      <x:c r="DD9" s="130" t="str">
        <x:v>No</x:v>
      </x:c>
      <x:c r="DE9" s="130" t="str">
        <x:v>Yes</x:v>
      </x:c>
      <x:c r="DF9" s="130" t="str">
        <x:v>No</x:v>
      </x:c>
      <x:c r="DG9" s="130" t="str">
        <x:v>Jane Doe</x:v>
      </x:c>
      <x:c r="DH9" s="130" t="str">
        <x:v>Sister</x:v>
      </x:c>
      <x:c r="DI9" s="130" t="str">
        <x:v>555-555-5555</x:v>
      </x:c>
      <x:c r="DJ9" s="130" t="str">
        <x:v>No</x:v>
      </x:c>
      <x:c r="DK9" s="130" t="str">
        <x:v>No</x:v>
      </x:c>
      <x:c r="DL9" s="130" t="str">
        <x:v>No</x:v>
      </x:c>
      <x:c r="DM9" s="130" t="str">
        <x:v>No</x:v>
      </x:c>
      <x:c r="DN9" s="130" t="str">
        <x:v>Yes - Appendectomy (2005)</x:v>
      </x:c>
      <x:c r="DO9" s="130" t="str">
        <x:v>20/20</x:v>
      </x:c>
      <x:c r="DP9" s="130" t="str">
        <x:v>20/20</x:v>
      </x:c>
      <x:c r="DQ9" s="130" t="str">
        <x:v>Pass</x:v>
      </x:c>
      <x:c r="DR9" s="130" t="str">
        <x:v>118</x:v>
      </x:c>
      <x:c r="DS9" s="130" t="str">
        <x:v>78</x:v>
      </x:c>
      <x:c r="DT9" s="130" t="str">
        <x:v>72</x:v>
      </x:c>
      <x:c r="DU9" s="130" t="str">
        <x:v>Normal</x:v>
      </x:c>
      <x:c r="DV9" s="180" t="n">
        <x:v>45392</x:v>
      </x:c>
      <x:c r="DW9" s="180" t="n">
        <x:v>45394</x:v>
      </x:c>
      <x:c r="DX9" s="130" t="str">
        <x:v>Negative</x:v>
      </x:c>
      <x:c r="DY9" s="180" t="n">
        <x:v>45397</x:v>
      </x:c>
      <x:c r="DZ9" s="130" t="str">
        <x:v>BOF Fleet Safety &amp; Compliance Policy 2024</x:v>
      </x:c>
      <x:c r="EA9" s="130" t="str">
        <x:v>Complete</x:v>
      </x:c>
      <x:c r="EB9" s="180" t="n">
        <x:v>45413</x:v>
      </x:c>
    </x:row>
    <x:row r="10">
      <x:c r="A10" s="130" t="str">
        <x:v>DRV-002</x:v>
      </x:c>
      <x:c r="B10" s="130" t="str">
        <x:v>Maria Lopez</x:v>
      </x:c>
      <x:c r="C10" s="130" t="str">
        <x:v>770 Demo Street, Chicago, IL 60611</x:v>
      </x:c>
      <x:c r="D10" s="130" t="str">
        <x:v>707-555-0100</x:v>
      </x:c>
      <x:c r="E10" s="130" t="str">
        <x:v>***-**-0105</x:v>
      </x:c>
      <x:c r="F10" s="130" t="str">
        <x:v>Chase</x:v>
      </x:c>
      <x:c r="G10" s="130" t="n">
        <x:v>000000107</x:v>
      </x:c>
      <x:c r="H10" s="130" t="n">
        <x:v>999900201</x:v>
      </x:c>
      <x:c r="I10" s="130" t="str">
        <x:v>Medical Certification</x:v>
      </x:c>
      <x:c r="J10" s="130" t="str">
        <x:v>VALID</x:v>
      </x:c>
      <x:c r="K10" s="130" t="str">
        <x:v>IL0000068</x:v>
      </x:c>
      <x:c r="L10" s="180" t="n">
        <x:v>46518</x:v>
      </x:c>
      <x:c r="M10" s="180" t="n">
        <x:v>46596</x:v>
      </x:c>
      <x:c r="N10" s="180" t="n">
        <x:v>46455</x:v>
      </x:c>
      <x:c r="O10" s="130"/>
      <x:c r="P10" s="130" t="str">
        <x:v>Brown</x:v>
      </x:c>
      <x:c r="Q10" s="130" t="str">
        <x:v>Hazel</x:v>
      </x:c>
      <x:c r="R10" s="130" t="str">
        <x:v>5'-3"</x:v>
      </x:c>
      <x:c r="S10" s="130" t="n">
        <x:v>134</x:v>
      </x:c>
      <x:c r="T10" s="130" t="str">
        <x:v>F</x:v>
      </x:c>
      <x:c r="U10" s="130" t="n">
        <x:v>30317</x:v>
      </x:c>
      <x:c r="V10" s="130" t="str">
        <x:v>DRV-002.png</x:v>
      </x:c>
      <x:c r="W10" s="130" t="str">
        <x:v>Hispanic</x:v>
      </x:c>
      <x:c r="X10" s="130" t="str">
        <x:v>marialopez@example.com</x:v>
      </x:c>
      <x:c r="Y10" s="130" t="str">
        <x:v>770 Demo Street</x:v>
      </x:c>
      <x:c r="Z10" s="130" t="str">
        <x:v>Chicago</x:v>
      </x:c>
      <x:c r="AA10" s="130" t="str">
        <x:v>IL</x:v>
      </x:c>
      <x:c r="AB10" s="130" t="n">
        <x:v>60611</x:v>
      </x:c>
      <x:c r="AC10" s="130" t="str">
        <x:v>IL</x:v>
      </x:c>
      <x:c r="AD10" s="130" t="str">
        <x:v>Class A</x:v>
      </x:c>
      <x:c r="AE10" s="180" t="n">
        <x:v>44696</x:v>
      </x:c>
      <x:c r="AF10" s="130" t="str">
        <x:v>N</x:v>
      </x:c>
      <x:c r="AG10" s="130" t="str">
        <x:v>Corrective lenses</x:v>
      </x:c>
      <x:c r="AH10" s="180" t="n">
        <x:v>45866</x:v>
      </x:c>
      <x:c r="AI10" s="130" t="str">
        <x:v>MC-0020104</x:v>
      </x:c>
      <x:c r="AJ10" s="130" t="str">
        <x:v>Dr. Kevin Marshall</x:v>
      </x:c>
      <x:c r="AK10" s="130" t="str">
        <x:v>ME100002</x:v>
      </x:c>
      <x:c r="AL10" s="130" t="str">
        <x:v>Corrective lenses</x:v>
      </x:c>
      <x:c r="AM10" s="130" t="str">
        <x:v>Qualified</x:v>
      </x:c>
      <x:c r="AN10" s="180" t="n">
        <x:v>46425</x:v>
      </x:c>
      <x:c r="AO10" s="130" t="n">
        <x:v>1</x:v>
      </x:c>
      <x:c r="AP10" s="130" t="n">
        <x:v>0</x:v>
      </x:c>
      <x:c r="AQ10" s="130" t="str">
        <x:v>Corrective lenses</x:v>
      </x:c>
      <x:c r="AR10" s="130" t="str">
        <x:v>Clear</x:v>
      </x:c>
      <x:c r="AS10" s="180" t="n">
        <x:v>45446</x:v>
      </x:c>
      <x:c r="AT10" s="130" t="str">
        <x:v>Authorized to Work</x:v>
      </x:c>
      <x:c r="AU10" s="130" t="str">
        <x:v>U.S. Passport</x:v>
      </x:c>
      <x:c r="AV10" s="130"/>
      <x:c r="AW10" s="130"/>
      <x:c r="AX10" s="180" t="n">
        <x:v>45446</x:v>
      </x:c>
      <x:c r="AY10" s="130" t="str">
        <x:v>BOF Onboarding Team</x:v>
      </x:c>
      <x:c r="AZ10" s="130" t="str">
        <x:v>Complete</x:v>
      </x:c>
      <x:c r="BA10" s="130"/>
      <x:c r="BB10" s="130" t="str">
        <x:v>Individual/Sole Proprietor</x:v>
      </x:c>
      <x:c r="BC10" s="130" t="str">
        <x:v>SSN</x:v>
      </x:c>
      <x:c r="BD10" s="130" t="str">
        <x:v>***-**-0105</x:v>
      </x:c>
      <x:c r="BE10" s="130"/>
      <x:c r="BF10" s="180" t="n">
        <x:v>45446</x:v>
      </x:c>
      <x:c r="BG10" s="130" t="str">
        <x:v>Received</x:v>
      </x:c>
      <x:c r="BH10" s="130" t="str">
        <x:v>Checking</x:v>
      </x:c>
      <x:c r="BI10" s="130" t="str">
        <x:v>Direct Deposit</x:v>
      </x:c>
      <x:c r="BJ10" s="180" t="n">
        <x:v>45446</x:v>
      </x:c>
      <x:c r="BK10" s="130" t="str">
        <x:v>Verified</x:v>
      </x:c>
      <x:c r="BL10" s="180" t="n">
        <x:v>45439</x:v>
      </x:c>
      <x:c r="BM10" s="130" t="str">
        <x:v>D. Foster</x:v>
      </x:c>
      <x:c r="BN10" s="130" t="str">
        <x:v>Day cab tractor</x:v>
      </x:c>
      <x:c r="BO10" s="130" t="str">
        <x:v>53 ft reefer</x:v>
      </x:c>
      <x:c r="BP10" s="130" t="str">
        <x:v>Chicago, IL</x:v>
      </x:c>
      <x:c r="BQ10" s="130" t="n">
        <x:v>4</x:v>
      </x:c>
      <x:c r="BR10" s="130" t="n">
        <x:v>5</x:v>
      </x:c>
      <x:c r="BS10" s="130" t="n">
        <x:v>4</x:v>
      </x:c>
      <x:c r="BT10" s="130" t="n">
        <x:v>4</x:v>
      </x:c>
      <x:c r="BU10" s="130" t="n">
        <x:v>5</x:v>
      </x:c>
      <x:c r="BV10" s="130" t="n">
        <x:v>5</x:v>
      </x:c>
      <x:c r="BW10" s="130" t="n">
        <x:v>4</x:v>
      </x:c>
      <x:c r="BX10" s="130" t="n">
        <x:v>5</x:v>
      </x:c>
      <x:c r="BY10" s="130" t="n">
        <x:v>4</x:v>
      </x:c>
      <x:c r="BZ10" s="130" t="str">
        <x:v>Pass</x:v>
      </x:c>
      <x:c r="CA10" s="130" t="str">
        <x:v>Corrective lenses</x:v>
      </x:c>
      <x:c r="CB10" s="130" t="str">
        <x:v>Passed</x:v>
      </x:c>
      <x:c r="CC10" s="130" t="str">
        <x:v>Enrolled</x:v>
      </x:c>
      <x:c r="CD10" s="130" t="str">
        <x:v>Query Completed</x:v>
      </x:c>
      <x:c r="CE10" s="180" t="n">
        <x:v>46037</x:v>
      </x:c>
      <x:c r="CF10" s="180" t="n">
        <x:v>46218</x:v>
      </x:c>
      <x:c r="CG10" s="130"/>
      <x:c r="CH10" s="130" t="str">
        <x:v>Compliant</x:v>
      </x:c>
      <x:c r="CI10" s="130"/>
      <x:c r="CJ10" s="130" t="str">
        <x:v>Maria</x:v>
      </x:c>
      <x:c r="CK10" s="130" t="str">
        <x:v>Lopez</x:v>
      </x:c>
      <x:c r="CL10" s="130" t="str">
        <x:v>IL0000042</x:v>
      </x:c>
      <x:c r="CM10" s="130" t="str">
        <x:v>IL</x:v>
      </x:c>
      <x:c r="CN10" s="130" t="str">
        <x:v>CDL Holder</x:v>
      </x:c>
      <x:c r="CO10" s="130" t="str">
        <x:v>Maria Lopez</x:v>
      </x:c>
      <x:c r="CP10" s="180" t="n">
        <x:v>45866</x:v>
      </x:c>
      <x:c r="CQ10" s="180" t="n">
        <x:v>46596</x:v>
      </x:c>
      <x:c r="CR10" s="130" t="str">
        <x:v>(312) 555-0101</x:v>
      </x:c>
      <x:c r="CS10" s="130" t="str">
        <x:v>Dr. Kevin Marshall</x:v>
      </x:c>
      <x:c r="CT10" s="180" t="n">
        <x:v>45866</x:v>
      </x:c>
      <x:c r="CU10" s="130" t="str">
        <x:v>IL-ME-425674</x:v>
      </x:c>
      <x:c r="CV10" s="130" t="str">
        <x:v>ME100002</x:v>
      </x:c>
      <x:c r="CW10" s="130" t="str">
        <x:v>MD</x:v>
      </x:c>
      <x:c r="CX10" s="130" t="str">
        <x:v>IL</x:v>
      </x:c>
      <x:c r="CY10" s="130" t="str">
        <x:v>Federal Motor Carrier Safety Regulations</x:v>
      </x:c>
      <x:c r="CZ10" s="130"/>
      <x:c r="DA10" s="130" t="str">
        <x:v>Yes</x:v>
      </x:c>
      <x:c r="DB10" s="130" t="str">
        <x:v>No</x:v>
      </x:c>
      <x:c r="DC10" s="130" t="str">
        <x:v>No</x:v>
      </x:c>
      <x:c r="DD10" s="130" t="str">
        <x:v>No</x:v>
      </x:c>
      <x:c r="DE10" s="130" t="str">
        <x:v>Yes</x:v>
      </x:c>
      <x:c r="DF10" s="130" t="str">
        <x:v>No</x:v>
      </x:c>
      <x:c r="DG10" s="130" t="str">
        <x:v>Jane Doe</x:v>
      </x:c>
      <x:c r="DH10" s="130" t="str">
        <x:v>Sister</x:v>
      </x:c>
      <x:c r="DI10" s="130" t="str">
        <x:v>555-555-5555</x:v>
      </x:c>
      <x:c r="DJ10" s="130" t="str">
        <x:v>No</x:v>
      </x:c>
      <x:c r="DK10" s="130" t="str">
        <x:v>No</x:v>
      </x:c>
      <x:c r="DL10" s="130" t="str">
        <x:v>No</x:v>
      </x:c>
      <x:c r="DM10" s="130" t="str">
        <x:v>No</x:v>
      </x:c>
      <x:c r="DN10" s="130" t="str">
        <x:v>Yes - Appendectomy (2005)</x:v>
      </x:c>
      <x:c r="DO10" s="130" t="str">
        <x:v>20/20</x:v>
      </x:c>
      <x:c r="DP10" s="130" t="str">
        <x:v>20/20</x:v>
      </x:c>
      <x:c r="DQ10" s="130" t="str">
        <x:v>Pass</x:v>
      </x:c>
      <x:c r="DR10" s="130" t="str">
        <x:v>118</x:v>
      </x:c>
      <x:c r="DS10" s="130" t="str">
        <x:v>78</x:v>
      </x:c>
      <x:c r="DT10" s="130" t="str">
        <x:v>72</x:v>
      </x:c>
      <x:c r="DU10" s="130" t="str">
        <x:v>Normal</x:v>
      </x:c>
      <x:c r="DV10" s="180" t="n">
        <x:v>45392</x:v>
      </x:c>
      <x:c r="DW10" s="180" t="n">
        <x:v>45394</x:v>
      </x:c>
      <x:c r="DX10" s="130" t="str">
        <x:v>Negative</x:v>
      </x:c>
      <x:c r="DY10" s="180" t="n">
        <x:v>45397</x:v>
      </x:c>
      <x:c r="DZ10" s="130" t="str">
        <x:v>BOF Fleet Safety &amp; Compliance Policy 2024</x:v>
      </x:c>
      <x:c r="EA10" s="130" t="str">
        <x:v>Complete</x:v>
      </x:c>
      <x:c r="EB10" s="180" t="n">
        <x:v>45413</x:v>
      </x:c>
    </x:row>
    <x:row r="11">
      <x:c r="A11" s="130" t="str">
        <x:v>DRV-002</x:v>
      </x:c>
      <x:c r="B11" s="130" t="str">
        <x:v>Maria Lopez</x:v>
      </x:c>
      <x:c r="C11" s="130" t="str">
        <x:v>770 Demo Street, Chicago, IL 60611</x:v>
      </x:c>
      <x:c r="D11" s="130" t="str">
        <x:v>707-555-0100</x:v>
      </x:c>
      <x:c r="E11" s="130" t="str">
        <x:v>***-**-0105</x:v>
      </x:c>
      <x:c r="F11" s="130" t="str">
        <x:v>Chase</x:v>
      </x:c>
      <x:c r="G11" s="130" t="n">
        <x:v>000000107</x:v>
      </x:c>
      <x:c r="H11" s="130" t="n">
        <x:v>999900201</x:v>
      </x:c>
      <x:c r="I11" s="130" t="str">
        <x:v>MVR Background Report</x:v>
      </x:c>
      <x:c r="J11" s="130" t="str">
        <x:v>VALID</x:v>
      </x:c>
      <x:c r="K11" s="130" t="str">
        <x:v>IL0000056</x:v>
      </x:c>
      <x:c r="L11" s="180" t="n">
        <x:v>46518</x:v>
      </x:c>
      <x:c r="M11" s="180" t="n">
        <x:v>46596</x:v>
      </x:c>
      <x:c r="N11" s="180" t="n">
        <x:v>46455</x:v>
      </x:c>
      <x:c r="O11" s="130"/>
      <x:c r="P11" s="130" t="str">
        <x:v>Brown</x:v>
      </x:c>
      <x:c r="Q11" s="130" t="str">
        <x:v>Hazel</x:v>
      </x:c>
      <x:c r="R11" s="130" t="str">
        <x:v>5'-3"</x:v>
      </x:c>
      <x:c r="S11" s="130" t="n">
        <x:v>134</x:v>
      </x:c>
      <x:c r="T11" s="130" t="str">
        <x:v>F</x:v>
      </x:c>
      <x:c r="U11" s="130" t="n">
        <x:v>30317</x:v>
      </x:c>
      <x:c r="V11" s="130" t="str">
        <x:v>DRV-002.png</x:v>
      </x:c>
      <x:c r="W11" s="130" t="str">
        <x:v>Hispanic</x:v>
      </x:c>
      <x:c r="X11" s="130" t="str">
        <x:v>marialopez@example.com</x:v>
      </x:c>
      <x:c r="Y11" s="130" t="str">
        <x:v>770 Demo Street</x:v>
      </x:c>
      <x:c r="Z11" s="130" t="str">
        <x:v>Chicago</x:v>
      </x:c>
      <x:c r="AA11" s="130" t="str">
        <x:v>IL</x:v>
      </x:c>
      <x:c r="AB11" s="130" t="n">
        <x:v>60611</x:v>
      </x:c>
      <x:c r="AC11" s="130" t="str">
        <x:v>IL</x:v>
      </x:c>
      <x:c r="AD11" s="130" t="str">
        <x:v>Class A</x:v>
      </x:c>
      <x:c r="AE11" s="180" t="n">
        <x:v>44696</x:v>
      </x:c>
      <x:c r="AF11" s="130" t="str">
        <x:v>N</x:v>
      </x:c>
      <x:c r="AG11" s="130" t="str">
        <x:v>Corrective lenses</x:v>
      </x:c>
      <x:c r="AH11" s="180" t="n">
        <x:v>45866</x:v>
      </x:c>
      <x:c r="AI11" s="130" t="str">
        <x:v>MC-0020104</x:v>
      </x:c>
      <x:c r="AJ11" s="130" t="str">
        <x:v>Dr. Kevin Marshall</x:v>
      </x:c>
      <x:c r="AK11" s="130" t="str">
        <x:v>ME100002</x:v>
      </x:c>
      <x:c r="AL11" s="130" t="str">
        <x:v>Corrective lenses</x:v>
      </x:c>
      <x:c r="AM11" s="130" t="str">
        <x:v>Qualified</x:v>
      </x:c>
      <x:c r="AN11" s="180" t="n">
        <x:v>46425</x:v>
      </x:c>
      <x:c r="AO11" s="130" t="n">
        <x:v>1</x:v>
      </x:c>
      <x:c r="AP11" s="130" t="n">
        <x:v>0</x:v>
      </x:c>
      <x:c r="AQ11" s="130" t="str">
        <x:v>Corrective lenses</x:v>
      </x:c>
      <x:c r="AR11" s="130" t="str">
        <x:v>Clear</x:v>
      </x:c>
      <x:c r="AS11" s="180" t="n">
        <x:v>45446</x:v>
      </x:c>
      <x:c r="AT11" s="130" t="str">
        <x:v>Authorized to Work</x:v>
      </x:c>
      <x:c r="AU11" s="130" t="str">
        <x:v>U.S. Passport</x:v>
      </x:c>
      <x:c r="AV11" s="130"/>
      <x:c r="AW11" s="130"/>
      <x:c r="AX11" s="180" t="n">
        <x:v>45446</x:v>
      </x:c>
      <x:c r="AY11" s="130" t="str">
        <x:v>BOF Onboarding Team</x:v>
      </x:c>
      <x:c r="AZ11" s="130" t="str">
        <x:v>Complete</x:v>
      </x:c>
      <x:c r="BA11" s="130"/>
      <x:c r="BB11" s="130" t="str">
        <x:v>Individual/Sole Proprietor</x:v>
      </x:c>
      <x:c r="BC11" s="130" t="str">
        <x:v>SSN</x:v>
      </x:c>
      <x:c r="BD11" s="130" t="str">
        <x:v>***-**-0105</x:v>
      </x:c>
      <x:c r="BE11" s="130"/>
      <x:c r="BF11" s="180" t="n">
        <x:v>45446</x:v>
      </x:c>
      <x:c r="BG11" s="130" t="str">
        <x:v>Received</x:v>
      </x:c>
      <x:c r="BH11" s="130" t="str">
        <x:v>Checking</x:v>
      </x:c>
      <x:c r="BI11" s="130" t="str">
        <x:v>Direct Deposit</x:v>
      </x:c>
      <x:c r="BJ11" s="180" t="n">
        <x:v>45446</x:v>
      </x:c>
      <x:c r="BK11" s="130" t="str">
        <x:v>Verified</x:v>
      </x:c>
      <x:c r="BL11" s="180" t="n">
        <x:v>45439</x:v>
      </x:c>
      <x:c r="BM11" s="130" t="str">
        <x:v>D. Foster</x:v>
      </x:c>
      <x:c r="BN11" s="130" t="str">
        <x:v>Day cab tractor</x:v>
      </x:c>
      <x:c r="BO11" s="130" t="str">
        <x:v>53 ft reefer</x:v>
      </x:c>
      <x:c r="BP11" s="130" t="str">
        <x:v>Chicago, IL</x:v>
      </x:c>
      <x:c r="BQ11" s="130" t="n">
        <x:v>4</x:v>
      </x:c>
      <x:c r="BR11" s="130" t="n">
        <x:v>5</x:v>
      </x:c>
      <x:c r="BS11" s="130" t="n">
        <x:v>4</x:v>
      </x:c>
      <x:c r="BT11" s="130" t="n">
        <x:v>4</x:v>
      </x:c>
      <x:c r="BU11" s="130" t="n">
        <x:v>5</x:v>
      </x:c>
      <x:c r="BV11" s="130" t="n">
        <x:v>5</x:v>
      </x:c>
      <x:c r="BW11" s="130" t="n">
        <x:v>4</x:v>
      </x:c>
      <x:c r="BX11" s="130" t="n">
        <x:v>5</x:v>
      </x:c>
      <x:c r="BY11" s="130" t="n">
        <x:v>4</x:v>
      </x:c>
      <x:c r="BZ11" s="130" t="str">
        <x:v>Pass</x:v>
      </x:c>
      <x:c r="CA11" s="130" t="str">
        <x:v>Corrective lenses</x:v>
      </x:c>
      <x:c r="CB11" s="130" t="str">
        <x:v>Passed</x:v>
      </x:c>
      <x:c r="CC11" s="130" t="str">
        <x:v>Enrolled</x:v>
      </x:c>
      <x:c r="CD11" s="130" t="str">
        <x:v>Query Completed</x:v>
      </x:c>
      <x:c r="CE11" s="180" t="n">
        <x:v>46037</x:v>
      </x:c>
      <x:c r="CF11" s="180" t="n">
        <x:v>46218</x:v>
      </x:c>
      <x:c r="CG11" s="130"/>
      <x:c r="CH11" s="130" t="str">
        <x:v>Compliant</x:v>
      </x:c>
      <x:c r="CI11" s="130"/>
      <x:c r="CJ11" s="130" t="str">
        <x:v>Maria</x:v>
      </x:c>
      <x:c r="CK11" s="130" t="str">
        <x:v>Lopez</x:v>
      </x:c>
      <x:c r="CL11" s="130" t="str">
        <x:v>IL0000043</x:v>
      </x:c>
      <x:c r="CM11" s="130" t="str">
        <x:v>IL</x:v>
      </x:c>
      <x:c r="CN11" s="130" t="str">
        <x:v>CDL Holder</x:v>
      </x:c>
      <x:c r="CO11" s="130" t="str">
        <x:v>Maria Lopez</x:v>
      </x:c>
      <x:c r="CP11" s="180" t="n">
        <x:v>45866</x:v>
      </x:c>
      <x:c r="CQ11" s="180" t="n">
        <x:v>46596</x:v>
      </x:c>
      <x:c r="CR11" s="130" t="str">
        <x:v>(312) 555-0101</x:v>
      </x:c>
      <x:c r="CS11" s="130" t="str">
        <x:v>Dr. Kevin Marshall</x:v>
      </x:c>
      <x:c r="CT11" s="180" t="n">
        <x:v>45866</x:v>
      </x:c>
      <x:c r="CU11" s="130" t="str">
        <x:v>IL-ME-425674</x:v>
      </x:c>
      <x:c r="CV11" s="130" t="str">
        <x:v>ME100002</x:v>
      </x:c>
      <x:c r="CW11" s="130" t="str">
        <x:v>MD</x:v>
      </x:c>
      <x:c r="CX11" s="130" t="str">
        <x:v>IL</x:v>
      </x:c>
      <x:c r="CY11" s="130" t="str">
        <x:v>Federal Motor Carrier Safety Regulations</x:v>
      </x:c>
      <x:c r="CZ11" s="130"/>
      <x:c r="DA11" s="130" t="str">
        <x:v>Yes</x:v>
      </x:c>
      <x:c r="DB11" s="130" t="str">
        <x:v>No</x:v>
      </x:c>
      <x:c r="DC11" s="130" t="str">
        <x:v>No</x:v>
      </x:c>
      <x:c r="DD11" s="130" t="str">
        <x:v>No</x:v>
      </x:c>
      <x:c r="DE11" s="130" t="str">
        <x:v>Yes</x:v>
      </x:c>
      <x:c r="DF11" s="130" t="str">
        <x:v>No</x:v>
      </x:c>
      <x:c r="DG11" s="130" t="str">
        <x:v>Jane Doe</x:v>
      </x:c>
      <x:c r="DH11" s="130" t="str">
        <x:v>Sister</x:v>
      </x:c>
      <x:c r="DI11" s="130" t="str">
        <x:v>555-555-5555</x:v>
      </x:c>
      <x:c r="DJ11" s="130" t="str">
        <x:v>No</x:v>
      </x:c>
      <x:c r="DK11" s="130" t="str">
        <x:v>No</x:v>
      </x:c>
      <x:c r="DL11" s="130" t="str">
        <x:v>No</x:v>
      </x:c>
      <x:c r="DM11" s="130" t="str">
        <x:v>No</x:v>
      </x:c>
      <x:c r="DN11" s="130" t="str">
        <x:v>Yes - Appendectomy (2005)</x:v>
      </x:c>
      <x:c r="DO11" s="130" t="str">
        <x:v>20/20</x:v>
      </x:c>
      <x:c r="DP11" s="130" t="str">
        <x:v>20/20</x:v>
      </x:c>
      <x:c r="DQ11" s="130" t="str">
        <x:v>Pass</x:v>
      </x:c>
      <x:c r="DR11" s="130" t="str">
        <x:v>118</x:v>
      </x:c>
      <x:c r="DS11" s="130" t="str">
        <x:v>78</x:v>
      </x:c>
      <x:c r="DT11" s="130" t="str">
        <x:v>72</x:v>
      </x:c>
      <x:c r="DU11" s="130" t="str">
        <x:v>Normal</x:v>
      </x:c>
      <x:c r="DV11" s="180" t="n">
        <x:v>45392</x:v>
      </x:c>
      <x:c r="DW11" s="180" t="n">
        <x:v>45394</x:v>
      </x:c>
      <x:c r="DX11" s="130" t="str">
        <x:v>Negative</x:v>
      </x:c>
      <x:c r="DY11" s="180" t="n">
        <x:v>45397</x:v>
      </x:c>
      <x:c r="DZ11" s="130" t="str">
        <x:v>BOF Fleet Safety &amp; Compliance Policy 2024</x:v>
      </x:c>
      <x:c r="EA11" s="130" t="str">
        <x:v>Complete</x:v>
      </x:c>
      <x:c r="EB11" s="180" t="n">
        <x:v>45413</x:v>
      </x:c>
    </x:row>
    <x:row r="12">
      <x:c r="A12" s="130" t="str">
        <x:v>DRV-002</x:v>
      </x:c>
      <x:c r="B12" s="130" t="str">
        <x:v>Maria Lopez</x:v>
      </x:c>
      <x:c r="C12" s="130" t="str">
        <x:v>770 Demo Street, Chicago, IL 60611</x:v>
      </x:c>
      <x:c r="D12" s="130" t="str">
        <x:v>707-555-0100</x:v>
      </x:c>
      <x:c r="E12" s="130" t="str">
        <x:v>***-**-0105</x:v>
      </x:c>
      <x:c r="F12" s="130" t="str">
        <x:v>Chase</x:v>
      </x:c>
      <x:c r="G12" s="130" t="n">
        <x:v>000000107</x:v>
      </x:c>
      <x:c r="H12" s="130" t="n">
        <x:v>999900201</x:v>
      </x:c>
      <x:c r="I12" s="130" t="str">
        <x:v>Driver Application</x:v>
      </x:c>
      <x:c r="J12" s="130" t="str">
        <x:v>VALID</x:v>
      </x:c>
      <x:c r="K12" s="130" t="str">
        <x:v>IL0000065</x:v>
      </x:c>
      <x:c r="L12" s="180" t="n">
        <x:v>46518</x:v>
      </x:c>
      <x:c r="M12" s="180" t="n">
        <x:v>46596</x:v>
      </x:c>
      <x:c r="N12" s="180" t="n">
        <x:v>46455</x:v>
      </x:c>
      <x:c r="O12" s="130"/>
      <x:c r="P12" s="130" t="str">
        <x:v>Brown</x:v>
      </x:c>
      <x:c r="Q12" s="130" t="str">
        <x:v>Hazel</x:v>
      </x:c>
      <x:c r="R12" s="130" t="str">
        <x:v>5'-3"</x:v>
      </x:c>
      <x:c r="S12" s="130" t="n">
        <x:v>134</x:v>
      </x:c>
      <x:c r="T12" s="130" t="str">
        <x:v>F</x:v>
      </x:c>
      <x:c r="U12" s="130" t="n">
        <x:v>30317</x:v>
      </x:c>
      <x:c r="V12" s="130" t="str">
        <x:v>DRV-002.png</x:v>
      </x:c>
      <x:c r="W12" s="130" t="str">
        <x:v>Hispanic</x:v>
      </x:c>
      <x:c r="X12" s="130" t="str">
        <x:v>marialopez@example.com</x:v>
      </x:c>
      <x:c r="Y12" s="130" t="str">
        <x:v>770 Demo Street</x:v>
      </x:c>
      <x:c r="Z12" s="130" t="str">
        <x:v>Chicago</x:v>
      </x:c>
      <x:c r="AA12" s="130" t="str">
        <x:v>IL</x:v>
      </x:c>
      <x:c r="AB12" s="130" t="n">
        <x:v>60611</x:v>
      </x:c>
      <x:c r="AC12" s="130" t="str">
        <x:v>IL</x:v>
      </x:c>
      <x:c r="AD12" s="130" t="str">
        <x:v>Class A</x:v>
      </x:c>
      <x:c r="AE12" s="180" t="n">
        <x:v>44696</x:v>
      </x:c>
      <x:c r="AF12" s="130" t="str">
        <x:v>N</x:v>
      </x:c>
      <x:c r="AG12" s="130" t="str">
        <x:v>Corrective lenses</x:v>
      </x:c>
      <x:c r="AH12" s="180" t="n">
        <x:v>45866</x:v>
      </x:c>
      <x:c r="AI12" s="130" t="str">
        <x:v>MC-0020104</x:v>
      </x:c>
      <x:c r="AJ12" s="130" t="str">
        <x:v>Dr. Kevin Marshall</x:v>
      </x:c>
      <x:c r="AK12" s="130" t="str">
        <x:v>ME100002</x:v>
      </x:c>
      <x:c r="AL12" s="130" t="str">
        <x:v>Corrective lenses</x:v>
      </x:c>
      <x:c r="AM12" s="130" t="str">
        <x:v>Qualified</x:v>
      </x:c>
      <x:c r="AN12" s="180" t="n">
        <x:v>46425</x:v>
      </x:c>
      <x:c r="AO12" s="130" t="n">
        <x:v>1</x:v>
      </x:c>
      <x:c r="AP12" s="130" t="n">
        <x:v>0</x:v>
      </x:c>
      <x:c r="AQ12" s="130" t="str">
        <x:v>Corrective lenses</x:v>
      </x:c>
      <x:c r="AR12" s="130" t="str">
        <x:v>Clear</x:v>
      </x:c>
      <x:c r="AS12" s="180" t="n">
        <x:v>45446</x:v>
      </x:c>
      <x:c r="AT12" s="130" t="str">
        <x:v>Authorized to Work</x:v>
      </x:c>
      <x:c r="AU12" s="130" t="str">
        <x:v>U.S. Passport</x:v>
      </x:c>
      <x:c r="AV12" s="130"/>
      <x:c r="AW12" s="130"/>
      <x:c r="AX12" s="180" t="n">
        <x:v>45446</x:v>
      </x:c>
      <x:c r="AY12" s="130" t="str">
        <x:v>BOF Onboarding Team</x:v>
      </x:c>
      <x:c r="AZ12" s="130" t="str">
        <x:v>Complete</x:v>
      </x:c>
      <x:c r="BA12" s="130"/>
      <x:c r="BB12" s="130" t="str">
        <x:v>Individual/Sole Proprietor</x:v>
      </x:c>
      <x:c r="BC12" s="130" t="str">
        <x:v>SSN</x:v>
      </x:c>
      <x:c r="BD12" s="130" t="str">
        <x:v>***-**-0105</x:v>
      </x:c>
      <x:c r="BE12" s="130"/>
      <x:c r="BF12" s="180" t="n">
        <x:v>45446</x:v>
      </x:c>
      <x:c r="BG12" s="130" t="str">
        <x:v>Received</x:v>
      </x:c>
      <x:c r="BH12" s="130" t="str">
        <x:v>Checking</x:v>
      </x:c>
      <x:c r="BI12" s="130" t="str">
        <x:v>Direct Deposit</x:v>
      </x:c>
      <x:c r="BJ12" s="180" t="n">
        <x:v>45446</x:v>
      </x:c>
      <x:c r="BK12" s="130" t="str">
        <x:v>Verified</x:v>
      </x:c>
      <x:c r="BL12" s="180" t="n">
        <x:v>45439</x:v>
      </x:c>
      <x:c r="BM12" s="130" t="str">
        <x:v>D. Foster</x:v>
      </x:c>
      <x:c r="BN12" s="130" t="str">
        <x:v>Day cab tractor</x:v>
      </x:c>
      <x:c r="BO12" s="130" t="str">
        <x:v>53 ft reefer</x:v>
      </x:c>
      <x:c r="BP12" s="130" t="str">
        <x:v>Chicago, IL</x:v>
      </x:c>
      <x:c r="BQ12" s="130" t="n">
        <x:v>4</x:v>
      </x:c>
      <x:c r="BR12" s="130" t="n">
        <x:v>5</x:v>
      </x:c>
      <x:c r="BS12" s="130" t="n">
        <x:v>4</x:v>
      </x:c>
      <x:c r="BT12" s="130" t="n">
        <x:v>4</x:v>
      </x:c>
      <x:c r="BU12" s="130" t="n">
        <x:v>5</x:v>
      </x:c>
      <x:c r="BV12" s="130" t="n">
        <x:v>5</x:v>
      </x:c>
      <x:c r="BW12" s="130" t="n">
        <x:v>4</x:v>
      </x:c>
      <x:c r="BX12" s="130" t="n">
        <x:v>5</x:v>
      </x:c>
      <x:c r="BY12" s="130" t="n">
        <x:v>4</x:v>
      </x:c>
      <x:c r="BZ12" s="130" t="str">
        <x:v>Pass</x:v>
      </x:c>
      <x:c r="CA12" s="130" t="str">
        <x:v>Corrective lenses</x:v>
      </x:c>
      <x:c r="CB12" s="130" t="str">
        <x:v>Passed</x:v>
      </x:c>
      <x:c r="CC12" s="130" t="str">
        <x:v>Enrolled</x:v>
      </x:c>
      <x:c r="CD12" s="130" t="str">
        <x:v>Query Completed</x:v>
      </x:c>
      <x:c r="CE12" s="180" t="n">
        <x:v>46037</x:v>
      </x:c>
      <x:c r="CF12" s="180" t="n">
        <x:v>46218</x:v>
      </x:c>
      <x:c r="CG12" s="130"/>
      <x:c r="CH12" s="130" t="str">
        <x:v>Compliant</x:v>
      </x:c>
      <x:c r="CI12" s="130"/>
      <x:c r="CJ12" s="130" t="str">
        <x:v>Maria</x:v>
      </x:c>
      <x:c r="CK12" s="130" t="str">
        <x:v>Lopez</x:v>
      </x:c>
      <x:c r="CL12" s="130" t="str">
        <x:v>IL0000044</x:v>
      </x:c>
      <x:c r="CM12" s="130" t="str">
        <x:v>IL</x:v>
      </x:c>
      <x:c r="CN12" s="130" t="str">
        <x:v>CDL Holder</x:v>
      </x:c>
      <x:c r="CO12" s="130" t="str">
        <x:v>Maria Lopez</x:v>
      </x:c>
      <x:c r="CP12" s="180" t="n">
        <x:v>45866</x:v>
      </x:c>
      <x:c r="CQ12" s="180" t="n">
        <x:v>46596</x:v>
      </x:c>
      <x:c r="CR12" s="130" t="str">
        <x:v>(312) 555-0101</x:v>
      </x:c>
      <x:c r="CS12" s="130" t="str">
        <x:v>Dr. Kevin Marshall</x:v>
      </x:c>
      <x:c r="CT12" s="180" t="n">
        <x:v>45866</x:v>
      </x:c>
      <x:c r="CU12" s="130" t="str">
        <x:v>IL-ME-425674</x:v>
      </x:c>
      <x:c r="CV12" s="130" t="str">
        <x:v>ME100002</x:v>
      </x:c>
      <x:c r="CW12" s="130" t="str">
        <x:v>MD</x:v>
      </x:c>
      <x:c r="CX12" s="130" t="str">
        <x:v>IL</x:v>
      </x:c>
      <x:c r="CY12" s="130" t="str">
        <x:v>Federal Motor Carrier Safety Regulations</x:v>
      </x:c>
      <x:c r="CZ12" s="130"/>
      <x:c r="DA12" s="130" t="str">
        <x:v>Yes</x:v>
      </x:c>
      <x:c r="DB12" s="130" t="str">
        <x:v>No</x:v>
      </x:c>
      <x:c r="DC12" s="130" t="str">
        <x:v>No</x:v>
      </x:c>
      <x:c r="DD12" s="130" t="str">
        <x:v>No</x:v>
      </x:c>
      <x:c r="DE12" s="130" t="str">
        <x:v>Yes</x:v>
      </x:c>
      <x:c r="DF12" s="130" t="str">
        <x:v>No</x:v>
      </x:c>
      <x:c r="DG12" s="130" t="str">
        <x:v>Jane Doe</x:v>
      </x:c>
      <x:c r="DH12" s="130" t="str">
        <x:v>Sister</x:v>
      </x:c>
      <x:c r="DI12" s="130" t="str">
        <x:v>555-555-5555</x:v>
      </x:c>
      <x:c r="DJ12" s="130" t="str">
        <x:v>No</x:v>
      </x:c>
      <x:c r="DK12" s="130" t="str">
        <x:v>No</x:v>
      </x:c>
      <x:c r="DL12" s="130" t="str">
        <x:v>No</x:v>
      </x:c>
      <x:c r="DM12" s="130" t="str">
        <x:v>No</x:v>
      </x:c>
      <x:c r="DN12" s="130" t="str">
        <x:v>Yes - Appendectomy (2005)</x:v>
      </x:c>
      <x:c r="DO12" s="130" t="str">
        <x:v>20/20</x:v>
      </x:c>
      <x:c r="DP12" s="130" t="str">
        <x:v>20/20</x:v>
      </x:c>
      <x:c r="DQ12" s="130" t="str">
        <x:v>Pass</x:v>
      </x:c>
      <x:c r="DR12" s="130" t="str">
        <x:v>118</x:v>
      </x:c>
      <x:c r="DS12" s="130" t="str">
        <x:v>78</x:v>
      </x:c>
      <x:c r="DT12" s="130" t="str">
        <x:v>72</x:v>
      </x:c>
      <x:c r="DU12" s="130" t="str">
        <x:v>Normal</x:v>
      </x:c>
      <x:c r="DV12" s="180" t="n">
        <x:v>45392</x:v>
      </x:c>
      <x:c r="DW12" s="180" t="n">
        <x:v>45394</x:v>
      </x:c>
      <x:c r="DX12" s="130" t="str">
        <x:v>Negative</x:v>
      </x:c>
      <x:c r="DY12" s="180" t="n">
        <x:v>45397</x:v>
      </x:c>
      <x:c r="DZ12" s="130" t="str">
        <x:v>BOF Fleet Safety &amp; Compliance Policy 2024</x:v>
      </x:c>
      <x:c r="EA12" s="130" t="str">
        <x:v>Complete</x:v>
      </x:c>
      <x:c r="EB12" s="180" t="n">
        <x:v>45413</x:v>
      </x:c>
    </x:row>
    <x:row r="13">
      <x:c r="A13" s="130" t="str">
        <x:v>DRV-002</x:v>
      </x:c>
      <x:c r="B13" s="130" t="str">
        <x:v>Maria Lopez</x:v>
      </x:c>
      <x:c r="C13" s="130" t="str">
        <x:v>770 Demo Street, Chicago, IL 60611</x:v>
      </x:c>
      <x:c r="D13" s="130" t="str">
        <x:v>707-555-0100</x:v>
      </x:c>
      <x:c r="E13" s="130" t="str">
        <x:v>***-**-0105</x:v>
      </x:c>
      <x:c r="F13" s="130" t="str">
        <x:v>Chase</x:v>
      </x:c>
      <x:c r="G13" s="130" t="n">
        <x:v>000000107</x:v>
      </x:c>
      <x:c r="H13" s="130" t="n">
        <x:v>999900201</x:v>
      </x:c>
      <x:c r="I13" s="130" t="str">
        <x:v>Road Test Certificate</x:v>
      </x:c>
      <x:c r="J13" s="130" t="str">
        <x:v>VALID</x:v>
      </x:c>
      <x:c r="K13" s="130" t="str">
        <x:v>IL0000067</x:v>
      </x:c>
      <x:c r="L13" s="180" t="n">
        <x:v>46518</x:v>
      </x:c>
      <x:c r="M13" s="180" t="n">
        <x:v>46596</x:v>
      </x:c>
      <x:c r="N13" s="180" t="n">
        <x:v>46455</x:v>
      </x:c>
      <x:c r="O13" s="130"/>
      <x:c r="P13" s="130" t="str">
        <x:v>Brown</x:v>
      </x:c>
      <x:c r="Q13" s="130" t="str">
        <x:v>Hazel</x:v>
      </x:c>
      <x:c r="R13" s="130" t="str">
        <x:v>5'-3"</x:v>
      </x:c>
      <x:c r="S13" s="130" t="n">
        <x:v>134</x:v>
      </x:c>
      <x:c r="T13" s="130" t="str">
        <x:v>F</x:v>
      </x:c>
      <x:c r="U13" s="130" t="n">
        <x:v>30317</x:v>
      </x:c>
      <x:c r="V13" s="130" t="str">
        <x:v>DRV-002.png</x:v>
      </x:c>
      <x:c r="W13" s="130" t="str">
        <x:v>Hispanic</x:v>
      </x:c>
      <x:c r="X13" s="130" t="str">
        <x:v>marialopez@example.com</x:v>
      </x:c>
      <x:c r="Y13" s="130" t="str">
        <x:v>770 Demo Street</x:v>
      </x:c>
      <x:c r="Z13" s="130" t="str">
        <x:v>Chicago</x:v>
      </x:c>
      <x:c r="AA13" s="130" t="str">
        <x:v>IL</x:v>
      </x:c>
      <x:c r="AB13" s="130" t="n">
        <x:v>60611</x:v>
      </x:c>
      <x:c r="AC13" s="130" t="str">
        <x:v>IL</x:v>
      </x:c>
      <x:c r="AD13" s="130" t="str">
        <x:v>Class A</x:v>
      </x:c>
      <x:c r="AE13" s="180" t="n">
        <x:v>44696</x:v>
      </x:c>
      <x:c r="AF13" s="130" t="str">
        <x:v>N</x:v>
      </x:c>
      <x:c r="AG13" s="130" t="str">
        <x:v>Corrective lenses</x:v>
      </x:c>
      <x:c r="AH13" s="180" t="n">
        <x:v>45866</x:v>
      </x:c>
      <x:c r="AI13" s="130" t="str">
        <x:v>MC-0020104</x:v>
      </x:c>
      <x:c r="AJ13" s="130" t="str">
        <x:v>Dr. Kevin Marshall</x:v>
      </x:c>
      <x:c r="AK13" s="130" t="str">
        <x:v>ME100002</x:v>
      </x:c>
      <x:c r="AL13" s="130" t="str">
        <x:v>Corrective lenses</x:v>
      </x:c>
      <x:c r="AM13" s="130" t="str">
        <x:v>Qualified</x:v>
      </x:c>
      <x:c r="AN13" s="180" t="n">
        <x:v>46425</x:v>
      </x:c>
      <x:c r="AO13" s="130" t="n">
        <x:v>1</x:v>
      </x:c>
      <x:c r="AP13" s="130" t="n">
        <x:v>0</x:v>
      </x:c>
      <x:c r="AQ13" s="130" t="str">
        <x:v>Corrective lenses</x:v>
      </x:c>
      <x:c r="AR13" s="130" t="str">
        <x:v>Clear</x:v>
      </x:c>
      <x:c r="AS13" s="180" t="n">
        <x:v>45446</x:v>
      </x:c>
      <x:c r="AT13" s="130" t="str">
        <x:v>Authorized to Work</x:v>
      </x:c>
      <x:c r="AU13" s="130" t="str">
        <x:v>U.S. Passport</x:v>
      </x:c>
      <x:c r="AV13" s="130"/>
      <x:c r="AW13" s="130"/>
      <x:c r="AX13" s="180" t="n">
        <x:v>45446</x:v>
      </x:c>
      <x:c r="AY13" s="130" t="str">
        <x:v>BOF Onboarding Team</x:v>
      </x:c>
      <x:c r="AZ13" s="130" t="str">
        <x:v>Complete</x:v>
      </x:c>
      <x:c r="BA13" s="130"/>
      <x:c r="BB13" s="130" t="str">
        <x:v>Individual/Sole Proprietor</x:v>
      </x:c>
      <x:c r="BC13" s="130" t="str">
        <x:v>SSN</x:v>
      </x:c>
      <x:c r="BD13" s="130" t="str">
        <x:v>***-**-0105</x:v>
      </x:c>
      <x:c r="BE13" s="130"/>
      <x:c r="BF13" s="180" t="n">
        <x:v>45446</x:v>
      </x:c>
      <x:c r="BG13" s="130" t="str">
        <x:v>Received</x:v>
      </x:c>
      <x:c r="BH13" s="130" t="str">
        <x:v>Checking</x:v>
      </x:c>
      <x:c r="BI13" s="130" t="str">
        <x:v>Direct Deposit</x:v>
      </x:c>
      <x:c r="BJ13" s="180" t="n">
        <x:v>45446</x:v>
      </x:c>
      <x:c r="BK13" s="130" t="str">
        <x:v>Verified</x:v>
      </x:c>
      <x:c r="BL13" s="180" t="n">
        <x:v>45439</x:v>
      </x:c>
      <x:c r="BM13" s="130" t="str">
        <x:v>D. Foster</x:v>
      </x:c>
      <x:c r="BN13" s="130" t="str">
        <x:v>Day cab tractor</x:v>
      </x:c>
      <x:c r="BO13" s="130" t="str">
        <x:v>53 ft reefer</x:v>
      </x:c>
      <x:c r="BP13" s="130" t="str">
        <x:v>Chicago, IL</x:v>
      </x:c>
      <x:c r="BQ13" s="130" t="n">
        <x:v>4</x:v>
      </x:c>
      <x:c r="BR13" s="130" t="n">
        <x:v>5</x:v>
      </x:c>
      <x:c r="BS13" s="130" t="n">
        <x:v>4</x:v>
      </x:c>
      <x:c r="BT13" s="130" t="n">
        <x:v>4</x:v>
      </x:c>
      <x:c r="BU13" s="130" t="n">
        <x:v>5</x:v>
      </x:c>
      <x:c r="BV13" s="130" t="n">
        <x:v>5</x:v>
      </x:c>
      <x:c r="BW13" s="130" t="n">
        <x:v>4</x:v>
      </x:c>
      <x:c r="BX13" s="130" t="n">
        <x:v>5</x:v>
      </x:c>
      <x:c r="BY13" s="130" t="n">
        <x:v>4</x:v>
      </x:c>
      <x:c r="BZ13" s="130" t="str">
        <x:v>Pass</x:v>
      </x:c>
      <x:c r="CA13" s="130" t="str">
        <x:v>Corrective lenses</x:v>
      </x:c>
      <x:c r="CB13" s="130" t="str">
        <x:v>Passed</x:v>
      </x:c>
      <x:c r="CC13" s="130" t="str">
        <x:v>Enrolled</x:v>
      </x:c>
      <x:c r="CD13" s="130" t="str">
        <x:v>Query Completed</x:v>
      </x:c>
      <x:c r="CE13" s="180" t="n">
        <x:v>46037</x:v>
      </x:c>
      <x:c r="CF13" s="180" t="n">
        <x:v>46218</x:v>
      </x:c>
      <x:c r="CG13" s="130"/>
      <x:c r="CH13" s="130" t="str">
        <x:v>Compliant</x:v>
      </x:c>
      <x:c r="CI13" s="130"/>
      <x:c r="CJ13" s="130" t="str">
        <x:v>Maria</x:v>
      </x:c>
      <x:c r="CK13" s="130" t="str">
        <x:v>Lopez</x:v>
      </x:c>
      <x:c r="CL13" s="130" t="str">
        <x:v>IL0000045</x:v>
      </x:c>
      <x:c r="CM13" s="130" t="str">
        <x:v>IL</x:v>
      </x:c>
      <x:c r="CN13" s="130" t="str">
        <x:v>CDL Holder</x:v>
      </x:c>
      <x:c r="CO13" s="130" t="str">
        <x:v>Maria Lopez</x:v>
      </x:c>
      <x:c r="CP13" s="180" t="n">
        <x:v>45866</x:v>
      </x:c>
      <x:c r="CQ13" s="180" t="n">
        <x:v>46596</x:v>
      </x:c>
      <x:c r="CR13" s="130" t="str">
        <x:v>(312) 555-0101</x:v>
      </x:c>
      <x:c r="CS13" s="130" t="str">
        <x:v>Dr. Kevin Marshall</x:v>
      </x:c>
      <x:c r="CT13" s="180" t="n">
        <x:v>45866</x:v>
      </x:c>
      <x:c r="CU13" s="130" t="str">
        <x:v>IL-ME-425674</x:v>
      </x:c>
      <x:c r="CV13" s="130" t="str">
        <x:v>ME100002</x:v>
      </x:c>
      <x:c r="CW13" s="130" t="str">
        <x:v>MD</x:v>
      </x:c>
      <x:c r="CX13" s="130" t="str">
        <x:v>IL</x:v>
      </x:c>
      <x:c r="CY13" s="130" t="str">
        <x:v>Federal Motor Carrier Safety Regulations</x:v>
      </x:c>
      <x:c r="CZ13" s="130"/>
      <x:c r="DA13" s="130" t="str">
        <x:v>Yes</x:v>
      </x:c>
      <x:c r="DB13" s="130" t="str">
        <x:v>No</x:v>
      </x:c>
      <x:c r="DC13" s="130" t="str">
        <x:v>No</x:v>
      </x:c>
      <x:c r="DD13" s="130" t="str">
        <x:v>No</x:v>
      </x:c>
      <x:c r="DE13" s="130" t="str">
        <x:v>Yes</x:v>
      </x:c>
      <x:c r="DF13" s="130" t="str">
        <x:v>No</x:v>
      </x:c>
      <x:c r="DG13" s="130" t="str">
        <x:v>Jane Doe</x:v>
      </x:c>
      <x:c r="DH13" s="130" t="str">
        <x:v>Sister</x:v>
      </x:c>
      <x:c r="DI13" s="130" t="str">
        <x:v>555-555-5555</x:v>
      </x:c>
      <x:c r="DJ13" s="130" t="str">
        <x:v>No</x:v>
      </x:c>
      <x:c r="DK13" s="130" t="str">
        <x:v>No</x:v>
      </x:c>
      <x:c r="DL13" s="130" t="str">
        <x:v>No</x:v>
      </x:c>
      <x:c r="DM13" s="130" t="str">
        <x:v>No</x:v>
      </x:c>
      <x:c r="DN13" s="130" t="str">
        <x:v>Yes - Appendectomy (2005)</x:v>
      </x:c>
      <x:c r="DO13" s="130" t="str">
        <x:v>20/20</x:v>
      </x:c>
      <x:c r="DP13" s="130" t="str">
        <x:v>20/20</x:v>
      </x:c>
      <x:c r="DQ13" s="130" t="str">
        <x:v>Pass</x:v>
      </x:c>
      <x:c r="DR13" s="130" t="str">
        <x:v>118</x:v>
      </x:c>
      <x:c r="DS13" s="130" t="str">
        <x:v>78</x:v>
      </x:c>
      <x:c r="DT13" s="130" t="str">
        <x:v>72</x:v>
      </x:c>
      <x:c r="DU13" s="130" t="str">
        <x:v>Normal</x:v>
      </x:c>
      <x:c r="DV13" s="180" t="n">
        <x:v>45392</x:v>
      </x:c>
      <x:c r="DW13" s="180" t="n">
        <x:v>45394</x:v>
      </x:c>
      <x:c r="DX13" s="130" t="str">
        <x:v>Negative</x:v>
      </x:c>
      <x:c r="DY13" s="180" t="n">
        <x:v>45397</x:v>
      </x:c>
      <x:c r="DZ13" s="130" t="str">
        <x:v>BOF Fleet Safety &amp; Compliance Policy 2024</x:v>
      </x:c>
      <x:c r="EA13" s="130" t="str">
        <x:v>Complete</x:v>
      </x:c>
      <x:c r="EB13" s="180" t="n">
        <x:v>45413</x:v>
      </x:c>
    </x:row>
    <x:row r="14">
      <x:c r="A14" s="130" t="str">
        <x:v>DRV-002</x:v>
      </x:c>
      <x:c r="B14" s="130" t="str">
        <x:v>Maria Lopez</x:v>
      </x:c>
      <x:c r="C14" s="130" t="str">
        <x:v>770 Demo Street, Chicago, IL 60611</x:v>
      </x:c>
      <x:c r="D14" s="130" t="str">
        <x:v>707-555-0100</x:v>
      </x:c>
      <x:c r="E14" s="130" t="str">
        <x:v>***-**-0105</x:v>
      </x:c>
      <x:c r="F14" s="130" t="str">
        <x:v>Chase</x:v>
      </x:c>
      <x:c r="G14" s="130" t="n">
        <x:v>000000107</x:v>
      </x:c>
      <x:c r="H14" s="130" t="n">
        <x:v>999900201</x:v>
      </x:c>
      <x:c r="I14" s="130" t="str">
        <x:v>Incident/Accident Report</x:v>
      </x:c>
      <x:c r="J14" s="130" t="str">
        <x:v>VALID</x:v>
      </x:c>
      <x:c r="K14" s="130" t="str">
        <x:v>IL0000058</x:v>
      </x:c>
      <x:c r="L14" s="180" t="n">
        <x:v>46518</x:v>
      </x:c>
      <x:c r="M14" s="180" t="n">
        <x:v>46596</x:v>
      </x:c>
      <x:c r="N14" s="180" t="n">
        <x:v>46455</x:v>
      </x:c>
      <x:c r="O14" s="130" t="str">
        <x:v>No major incidents recorded in last 90 days.</x:v>
      </x:c>
      <x:c r="P14" s="130" t="str">
        <x:v>Brown</x:v>
      </x:c>
      <x:c r="Q14" s="130" t="str">
        <x:v>Hazel</x:v>
      </x:c>
      <x:c r="R14" s="130" t="str">
        <x:v>5'-3"</x:v>
      </x:c>
      <x:c r="S14" s="130" t="n">
        <x:v>134</x:v>
      </x:c>
      <x:c r="T14" s="130" t="str">
        <x:v>F</x:v>
      </x:c>
      <x:c r="U14" s="130" t="n">
        <x:v>30317</x:v>
      </x:c>
      <x:c r="V14" s="130" t="str">
        <x:v>DRV-002.png</x:v>
      </x:c>
      <x:c r="W14" s="130" t="str">
        <x:v>Hispanic</x:v>
      </x:c>
      <x:c r="X14" s="130" t="str">
        <x:v>marialopez@example.com</x:v>
      </x:c>
      <x:c r="Y14" s="130" t="str">
        <x:v>770 Demo Street</x:v>
      </x:c>
      <x:c r="Z14" s="130" t="str">
        <x:v>Chicago</x:v>
      </x:c>
      <x:c r="AA14" s="130" t="str">
        <x:v>IL</x:v>
      </x:c>
      <x:c r="AB14" s="130" t="n">
        <x:v>60611</x:v>
      </x:c>
      <x:c r="AC14" s="130" t="str">
        <x:v>IL</x:v>
      </x:c>
      <x:c r="AD14" s="130" t="str">
        <x:v>Class A</x:v>
      </x:c>
      <x:c r="AE14" s="180" t="n">
        <x:v>44696</x:v>
      </x:c>
      <x:c r="AF14" s="130" t="str">
        <x:v>N</x:v>
      </x:c>
      <x:c r="AG14" s="130" t="str">
        <x:v>Corrective lenses</x:v>
      </x:c>
      <x:c r="AH14" s="180" t="n">
        <x:v>45866</x:v>
      </x:c>
      <x:c r="AI14" s="130" t="str">
        <x:v>MC-0020104</x:v>
      </x:c>
      <x:c r="AJ14" s="130" t="str">
        <x:v>Dr. Kevin Marshall</x:v>
      </x:c>
      <x:c r="AK14" s="130" t="str">
        <x:v>ME100002</x:v>
      </x:c>
      <x:c r="AL14" s="130" t="str">
        <x:v>Corrective lenses</x:v>
      </x:c>
      <x:c r="AM14" s="130" t="str">
        <x:v>Qualified</x:v>
      </x:c>
      <x:c r="AN14" s="180" t="n">
        <x:v>46425</x:v>
      </x:c>
      <x:c r="AO14" s="130" t="n">
        <x:v>1</x:v>
      </x:c>
      <x:c r="AP14" s="130" t="n">
        <x:v>0</x:v>
      </x:c>
      <x:c r="AQ14" s="130" t="str">
        <x:v>Corrective lenses</x:v>
      </x:c>
      <x:c r="AR14" s="130" t="str">
        <x:v>Clear</x:v>
      </x:c>
      <x:c r="AS14" s="180" t="n">
        <x:v>45446</x:v>
      </x:c>
      <x:c r="AT14" s="130" t="str">
        <x:v>Authorized to Work</x:v>
      </x:c>
      <x:c r="AU14" s="130" t="str">
        <x:v>U.S. Passport</x:v>
      </x:c>
      <x:c r="AV14" s="130"/>
      <x:c r="AW14" s="130"/>
      <x:c r="AX14" s="180" t="n">
        <x:v>45446</x:v>
      </x:c>
      <x:c r="AY14" s="130" t="str">
        <x:v>BOF Onboarding Team</x:v>
      </x:c>
      <x:c r="AZ14" s="130" t="str">
        <x:v>Complete</x:v>
      </x:c>
      <x:c r="BA14" s="130"/>
      <x:c r="BB14" s="130" t="str">
        <x:v>Individual/Sole Proprietor</x:v>
      </x:c>
      <x:c r="BC14" s="130" t="str">
        <x:v>SSN</x:v>
      </x:c>
      <x:c r="BD14" s="130" t="str">
        <x:v>***-**-0105</x:v>
      </x:c>
      <x:c r="BE14" s="130"/>
      <x:c r="BF14" s="180" t="n">
        <x:v>45446</x:v>
      </x:c>
      <x:c r="BG14" s="130" t="str">
        <x:v>Received</x:v>
      </x:c>
      <x:c r="BH14" s="130" t="str">
        <x:v>Checking</x:v>
      </x:c>
      <x:c r="BI14" s="130" t="str">
        <x:v>Direct Deposit</x:v>
      </x:c>
      <x:c r="BJ14" s="180" t="n">
        <x:v>45446</x:v>
      </x:c>
      <x:c r="BK14" s="130" t="str">
        <x:v>Verified</x:v>
      </x:c>
      <x:c r="BL14" s="180" t="n">
        <x:v>45439</x:v>
      </x:c>
      <x:c r="BM14" s="130" t="str">
        <x:v>D. Foster</x:v>
      </x:c>
      <x:c r="BN14" s="130" t="str">
        <x:v>Day cab tractor</x:v>
      </x:c>
      <x:c r="BO14" s="130" t="str">
        <x:v>53 ft reefer</x:v>
      </x:c>
      <x:c r="BP14" s="130" t="str">
        <x:v>Chicago, IL</x:v>
      </x:c>
      <x:c r="BQ14" s="130" t="n">
        <x:v>4</x:v>
      </x:c>
      <x:c r="BR14" s="130" t="n">
        <x:v>5</x:v>
      </x:c>
      <x:c r="BS14" s="130" t="n">
        <x:v>4</x:v>
      </x:c>
      <x:c r="BT14" s="130" t="n">
        <x:v>4</x:v>
      </x:c>
      <x:c r="BU14" s="130" t="n">
        <x:v>5</x:v>
      </x:c>
      <x:c r="BV14" s="130" t="n">
        <x:v>5</x:v>
      </x:c>
      <x:c r="BW14" s="130" t="n">
        <x:v>4</x:v>
      </x:c>
      <x:c r="BX14" s="130" t="n">
        <x:v>5</x:v>
      </x:c>
      <x:c r="BY14" s="130" t="n">
        <x:v>4</x:v>
      </x:c>
      <x:c r="BZ14" s="130" t="str">
        <x:v>Pass</x:v>
      </x:c>
      <x:c r="CA14" s="130" t="str">
        <x:v>Corrective lenses</x:v>
      </x:c>
      <x:c r="CB14" s="130" t="str">
        <x:v>Passed</x:v>
      </x:c>
      <x:c r="CC14" s="130" t="str">
        <x:v>Enrolled</x:v>
      </x:c>
      <x:c r="CD14" s="130" t="str">
        <x:v>Query Completed</x:v>
      </x:c>
      <x:c r="CE14" s="180" t="n">
        <x:v>46037</x:v>
      </x:c>
      <x:c r="CF14" s="180" t="n">
        <x:v>46218</x:v>
      </x:c>
      <x:c r="CG14" s="130"/>
      <x:c r="CH14" s="130" t="str">
        <x:v>Compliant</x:v>
      </x:c>
      <x:c r="CI14" s="130"/>
      <x:c r="CJ14" s="130" t="str">
        <x:v>Maria</x:v>
      </x:c>
      <x:c r="CK14" s="130" t="str">
        <x:v>Lopez</x:v>
      </x:c>
      <x:c r="CL14" s="130" t="str">
        <x:v>IL0000046</x:v>
      </x:c>
      <x:c r="CM14" s="130" t="str">
        <x:v>IL</x:v>
      </x:c>
      <x:c r="CN14" s="130" t="str">
        <x:v>CDL Holder</x:v>
      </x:c>
      <x:c r="CO14" s="130" t="str">
        <x:v>Maria Lopez</x:v>
      </x:c>
      <x:c r="CP14" s="180" t="n">
        <x:v>45866</x:v>
      </x:c>
      <x:c r="CQ14" s="180" t="n">
        <x:v>46596</x:v>
      </x:c>
      <x:c r="CR14" s="130" t="str">
        <x:v>(312) 555-0101</x:v>
      </x:c>
      <x:c r="CS14" s="130" t="str">
        <x:v>Dr. Kevin Marshall</x:v>
      </x:c>
      <x:c r="CT14" s="180" t="n">
        <x:v>45866</x:v>
      </x:c>
      <x:c r="CU14" s="130" t="str">
        <x:v>IL-ME-425674</x:v>
      </x:c>
      <x:c r="CV14" s="130" t="str">
        <x:v>ME100002</x:v>
      </x:c>
      <x:c r="CW14" s="130" t="str">
        <x:v>MD</x:v>
      </x:c>
      <x:c r="CX14" s="130" t="str">
        <x:v>IL</x:v>
      </x:c>
      <x:c r="CY14" s="130" t="str">
        <x:v>Federal Motor Carrier Safety Regulations</x:v>
      </x:c>
      <x:c r="CZ14" s="130"/>
      <x:c r="DA14" s="130" t="str">
        <x:v>Yes</x:v>
      </x:c>
      <x:c r="DB14" s="130" t="str">
        <x:v>No</x:v>
      </x:c>
      <x:c r="DC14" s="130" t="str">
        <x:v>No</x:v>
      </x:c>
      <x:c r="DD14" s="130" t="str">
        <x:v>No</x:v>
      </x:c>
      <x:c r="DE14" s="130" t="str">
        <x:v>Yes</x:v>
      </x:c>
      <x:c r="DF14" s="130" t="str">
        <x:v>No</x:v>
      </x:c>
      <x:c r="DG14" s="130" t="str">
        <x:v>Jane Doe</x:v>
      </x:c>
      <x:c r="DH14" s="130" t="str">
        <x:v>Sister</x:v>
      </x:c>
      <x:c r="DI14" s="130" t="str">
        <x:v>555-555-5555</x:v>
      </x:c>
      <x:c r="DJ14" s="130" t="str">
        <x:v>No</x:v>
      </x:c>
      <x:c r="DK14" s="130" t="str">
        <x:v>No</x:v>
      </x:c>
      <x:c r="DL14" s="130" t="str">
        <x:v>No</x:v>
      </x:c>
      <x:c r="DM14" s="130" t="str">
        <x:v>No</x:v>
      </x:c>
      <x:c r="DN14" s="130" t="str">
        <x:v>Yes - Appendectomy (2005)</x:v>
      </x:c>
      <x:c r="DO14" s="130" t="str">
        <x:v>20/20</x:v>
      </x:c>
      <x:c r="DP14" s="130" t="str">
        <x:v>20/20</x:v>
      </x:c>
      <x:c r="DQ14" s="130" t="str">
        <x:v>Pass</x:v>
      </x:c>
      <x:c r="DR14" s="130" t="str">
        <x:v>118</x:v>
      </x:c>
      <x:c r="DS14" s="130" t="str">
        <x:v>78</x:v>
      </x:c>
      <x:c r="DT14" s="130" t="str">
        <x:v>72</x:v>
      </x:c>
      <x:c r="DU14" s="130" t="str">
        <x:v>Normal</x:v>
      </x:c>
      <x:c r="DV14" s="180" t="n">
        <x:v>45392</x:v>
      </x:c>
      <x:c r="DW14" s="180" t="n">
        <x:v>45394</x:v>
      </x:c>
      <x:c r="DX14" s="130" t="str">
        <x:v>Negative</x:v>
      </x:c>
      <x:c r="DY14" s="180" t="n">
        <x:v>45397</x:v>
      </x:c>
      <x:c r="DZ14" s="130" t="str">
        <x:v>BOF Fleet Safety &amp; Compliance Policy 2024</x:v>
      </x:c>
      <x:c r="EA14" s="130" t="str">
        <x:v>Complete</x:v>
      </x:c>
      <x:c r="EB14" s="180" t="n">
        <x:v>45413</x:v>
      </x:c>
    </x:row>
    <x:row r="15">
      <x:c r="A15" s="130" t="str">
        <x:v>DRV-002</x:v>
      </x:c>
      <x:c r="B15" s="130" t="str">
        <x:v>Maria Lopez</x:v>
      </x:c>
      <x:c r="C15" s="130" t="str">
        <x:v>770 Demo Street, Chicago, IL 60611</x:v>
      </x:c>
      <x:c r="D15" s="130" t="str">
        <x:v>707-555-0100</x:v>
      </x:c>
      <x:c r="E15" s="130" t="str">
        <x:v>***-**-0105</x:v>
      </x:c>
      <x:c r="F15" s="130" t="str">
        <x:v>Chase</x:v>
      </x:c>
      <x:c r="G15" s="130" t="n">
        <x:v>000000107</x:v>
      </x:c>
      <x:c r="H15" s="130" t="n">
        <x:v>999900201</x:v>
      </x:c>
      <x:c r="I15" s="130" t="str">
        <x:v>Direct Deposit Form</x:v>
      </x:c>
      <x:c r="J15" s="130" t="str">
        <x:v>VALID</x:v>
      </x:c>
      <x:c r="K15" s="130" t="str">
        <x:v>IL0000061</x:v>
      </x:c>
      <x:c r="L15" s="180" t="n">
        <x:v>46518</x:v>
      </x:c>
      <x:c r="M15" s="180" t="n">
        <x:v>46596</x:v>
      </x:c>
      <x:c r="N15" s="180" t="n">
        <x:v>46455</x:v>
      </x:c>
      <x:c r="O15" s="130"/>
      <x:c r="P15" s="130" t="str">
        <x:v>Brown</x:v>
      </x:c>
      <x:c r="Q15" s="130" t="str">
        <x:v>Hazel</x:v>
      </x:c>
      <x:c r="R15" s="130" t="str">
        <x:v>5'-3"</x:v>
      </x:c>
      <x:c r="S15" s="130" t="n">
        <x:v>134</x:v>
      </x:c>
      <x:c r="T15" s="130" t="str">
        <x:v>F</x:v>
      </x:c>
      <x:c r="U15" s="130" t="n">
        <x:v>30317</x:v>
      </x:c>
      <x:c r="V15" s="130" t="str">
        <x:v>DRV-002.png</x:v>
      </x:c>
      <x:c r="W15" s="130" t="str">
        <x:v>Hispanic</x:v>
      </x:c>
      <x:c r="X15" s="130" t="str">
        <x:v>marialopez@example.com</x:v>
      </x:c>
      <x:c r="Y15" s="130" t="str">
        <x:v>770 Demo Street</x:v>
      </x:c>
      <x:c r="Z15" s="130" t="str">
        <x:v>Chicago</x:v>
      </x:c>
      <x:c r="AA15" s="130" t="str">
        <x:v>IL</x:v>
      </x:c>
      <x:c r="AB15" s="130" t="n">
        <x:v>60611</x:v>
      </x:c>
      <x:c r="AC15" s="130" t="str">
        <x:v>IL</x:v>
      </x:c>
      <x:c r="AD15" s="130" t="str">
        <x:v>Class A</x:v>
      </x:c>
      <x:c r="AE15" s="180" t="n">
        <x:v>44696</x:v>
      </x:c>
      <x:c r="AF15" s="130" t="str">
        <x:v>N</x:v>
      </x:c>
      <x:c r="AG15" s="130" t="str">
        <x:v>Corrective lenses</x:v>
      </x:c>
      <x:c r="AH15" s="180" t="n">
        <x:v>45866</x:v>
      </x:c>
      <x:c r="AI15" s="130" t="str">
        <x:v>MC-0020104</x:v>
      </x:c>
      <x:c r="AJ15" s="130" t="str">
        <x:v>Dr. Kevin Marshall</x:v>
      </x:c>
      <x:c r="AK15" s="130" t="str">
        <x:v>ME100002</x:v>
      </x:c>
      <x:c r="AL15" s="130" t="str">
        <x:v>Corrective lenses</x:v>
      </x:c>
      <x:c r="AM15" s="130" t="str">
        <x:v>Qualified</x:v>
      </x:c>
      <x:c r="AN15" s="180" t="n">
        <x:v>46425</x:v>
      </x:c>
      <x:c r="AO15" s="130" t="n">
        <x:v>1</x:v>
      </x:c>
      <x:c r="AP15" s="130" t="n">
        <x:v>0</x:v>
      </x:c>
      <x:c r="AQ15" s="130" t="str">
        <x:v>Corrective lenses</x:v>
      </x:c>
      <x:c r="AR15" s="130" t="str">
        <x:v>Clear</x:v>
      </x:c>
      <x:c r="AS15" s="180" t="n">
        <x:v>45446</x:v>
      </x:c>
      <x:c r="AT15" s="130" t="str">
        <x:v>Authorized to Work</x:v>
      </x:c>
      <x:c r="AU15" s="130" t="str">
        <x:v>U.S. Passport</x:v>
      </x:c>
      <x:c r="AV15" s="130"/>
      <x:c r="AW15" s="130"/>
      <x:c r="AX15" s="180" t="n">
        <x:v>45446</x:v>
      </x:c>
      <x:c r="AY15" s="130" t="str">
        <x:v>BOF Onboarding Team</x:v>
      </x:c>
      <x:c r="AZ15" s="130" t="str">
        <x:v>Complete</x:v>
      </x:c>
      <x:c r="BA15" s="130"/>
      <x:c r="BB15" s="130" t="str">
        <x:v>Individual/Sole Proprietor</x:v>
      </x:c>
      <x:c r="BC15" s="130" t="str">
        <x:v>SSN</x:v>
      </x:c>
      <x:c r="BD15" s="130" t="str">
        <x:v>***-**-0105</x:v>
      </x:c>
      <x:c r="BE15" s="130"/>
      <x:c r="BF15" s="180" t="n">
        <x:v>45446</x:v>
      </x:c>
      <x:c r="BG15" s="130" t="str">
        <x:v>Received</x:v>
      </x:c>
      <x:c r="BH15" s="130" t="str">
        <x:v>Checking</x:v>
      </x:c>
      <x:c r="BI15" s="130" t="str">
        <x:v>Direct Deposit</x:v>
      </x:c>
      <x:c r="BJ15" s="180" t="n">
        <x:v>45446</x:v>
      </x:c>
      <x:c r="BK15" s="130" t="str">
        <x:v>Verified</x:v>
      </x:c>
      <x:c r="BL15" s="180" t="n">
        <x:v>45439</x:v>
      </x:c>
      <x:c r="BM15" s="130" t="str">
        <x:v>D. Foster</x:v>
      </x:c>
      <x:c r="BN15" s="130" t="str">
        <x:v>Day cab tractor</x:v>
      </x:c>
      <x:c r="BO15" s="130" t="str">
        <x:v>53 ft reefer</x:v>
      </x:c>
      <x:c r="BP15" s="130" t="str">
        <x:v>Chicago, IL</x:v>
      </x:c>
      <x:c r="BQ15" s="130" t="n">
        <x:v>4</x:v>
      </x:c>
      <x:c r="BR15" s="130" t="n">
        <x:v>5</x:v>
      </x:c>
      <x:c r="BS15" s="130" t="n">
        <x:v>4</x:v>
      </x:c>
      <x:c r="BT15" s="130" t="n">
        <x:v>4</x:v>
      </x:c>
      <x:c r="BU15" s="130" t="n">
        <x:v>5</x:v>
      </x:c>
      <x:c r="BV15" s="130" t="n">
        <x:v>5</x:v>
      </x:c>
      <x:c r="BW15" s="130" t="n">
        <x:v>4</x:v>
      </x:c>
      <x:c r="BX15" s="130" t="n">
        <x:v>5</x:v>
      </x:c>
      <x:c r="BY15" s="130" t="n">
        <x:v>4</x:v>
      </x:c>
      <x:c r="BZ15" s="130" t="str">
        <x:v>Pass</x:v>
      </x:c>
      <x:c r="CA15" s="130" t="str">
        <x:v>Corrective lenses</x:v>
      </x:c>
      <x:c r="CB15" s="130" t="str">
        <x:v>Passed</x:v>
      </x:c>
      <x:c r="CC15" s="130" t="str">
        <x:v>Enrolled</x:v>
      </x:c>
      <x:c r="CD15" s="130" t="str">
        <x:v>Query Completed</x:v>
      </x:c>
      <x:c r="CE15" s="180" t="n">
        <x:v>46037</x:v>
      </x:c>
      <x:c r="CF15" s="180" t="n">
        <x:v>46218</x:v>
      </x:c>
      <x:c r="CG15" s="130"/>
      <x:c r="CH15" s="130" t="str">
        <x:v>Compliant</x:v>
      </x:c>
      <x:c r="CI15" s="130"/>
      <x:c r="CJ15" s="130" t="str">
        <x:v>Maria</x:v>
      </x:c>
      <x:c r="CK15" s="130" t="str">
        <x:v>Lopez</x:v>
      </x:c>
      <x:c r="CL15" s="130" t="str">
        <x:v>IL0000047</x:v>
      </x:c>
      <x:c r="CM15" s="130" t="str">
        <x:v>IL</x:v>
      </x:c>
      <x:c r="CN15" s="130" t="str">
        <x:v>CDL Holder</x:v>
      </x:c>
      <x:c r="CO15" s="130" t="str">
        <x:v>Maria Lopez</x:v>
      </x:c>
      <x:c r="CP15" s="180" t="n">
        <x:v>45866</x:v>
      </x:c>
      <x:c r="CQ15" s="180" t="n">
        <x:v>46596</x:v>
      </x:c>
      <x:c r="CR15" s="130" t="str">
        <x:v>(312) 555-0101</x:v>
      </x:c>
      <x:c r="CS15" s="130" t="str">
        <x:v>Dr. Kevin Marshall</x:v>
      </x:c>
      <x:c r="CT15" s="180" t="n">
        <x:v>45866</x:v>
      </x:c>
      <x:c r="CU15" s="130" t="str">
        <x:v>IL-ME-425674</x:v>
      </x:c>
      <x:c r="CV15" s="130" t="str">
        <x:v>ME100002</x:v>
      </x:c>
      <x:c r="CW15" s="130" t="str">
        <x:v>MD</x:v>
      </x:c>
      <x:c r="CX15" s="130" t="str">
        <x:v>IL</x:v>
      </x:c>
      <x:c r="CY15" s="130" t="str">
        <x:v>Federal Motor Carrier Safety Regulations</x:v>
      </x:c>
      <x:c r="CZ15" s="130"/>
      <x:c r="DA15" s="130" t="str">
        <x:v>Yes</x:v>
      </x:c>
      <x:c r="DB15" s="130" t="str">
        <x:v>No</x:v>
      </x:c>
      <x:c r="DC15" s="130" t="str">
        <x:v>No</x:v>
      </x:c>
      <x:c r="DD15" s="130" t="str">
        <x:v>No</x:v>
      </x:c>
      <x:c r="DE15" s="130" t="str">
        <x:v>Yes</x:v>
      </x:c>
      <x:c r="DF15" s="130" t="str">
        <x:v>No</x:v>
      </x:c>
      <x:c r="DG15" s="130" t="str">
        <x:v>Jane Doe</x:v>
      </x:c>
      <x:c r="DH15" s="130" t="str">
        <x:v>Sister</x:v>
      </x:c>
      <x:c r="DI15" s="130" t="str">
        <x:v>555-555-5555</x:v>
      </x:c>
      <x:c r="DJ15" s="130" t="str">
        <x:v>No</x:v>
      </x:c>
      <x:c r="DK15" s="130" t="str">
        <x:v>No</x:v>
      </x:c>
      <x:c r="DL15" s="130" t="str">
        <x:v>No</x:v>
      </x:c>
      <x:c r="DM15" s="130" t="str">
        <x:v>No</x:v>
      </x:c>
      <x:c r="DN15" s="130" t="str">
        <x:v>Yes - Appendectomy (2005)</x:v>
      </x:c>
      <x:c r="DO15" s="130" t="str">
        <x:v>20/20</x:v>
      </x:c>
      <x:c r="DP15" s="130" t="str">
        <x:v>20/20</x:v>
      </x:c>
      <x:c r="DQ15" s="130" t="str">
        <x:v>Pass</x:v>
      </x:c>
      <x:c r="DR15" s="130" t="str">
        <x:v>118</x:v>
      </x:c>
      <x:c r="DS15" s="130" t="str">
        <x:v>78</x:v>
      </x:c>
      <x:c r="DT15" s="130" t="str">
        <x:v>72</x:v>
      </x:c>
      <x:c r="DU15" s="130" t="str">
        <x:v>Normal</x:v>
      </x:c>
      <x:c r="DV15" s="180" t="n">
        <x:v>45392</x:v>
      </x:c>
      <x:c r="DW15" s="180" t="n">
        <x:v>45394</x:v>
      </x:c>
      <x:c r="DX15" s="130" t="str">
        <x:v>Negative</x:v>
      </x:c>
      <x:c r="DY15" s="180" t="n">
        <x:v>45397</x:v>
      </x:c>
      <x:c r="DZ15" s="130" t="str">
        <x:v>BOF Fleet Safety &amp; Compliance Policy 2024</x:v>
      </x:c>
      <x:c r="EA15" s="130" t="str">
        <x:v>Complete</x:v>
      </x:c>
      <x:c r="EB15" s="180" t="n">
        <x:v>45413</x:v>
      </x:c>
    </x:row>
    <x:row r="16">
      <x:c r="A16" s="130" t="str">
        <x:v>DRV-003</x:v>
      </x:c>
      <x:c r="B16" s="130" t="str">
        <x:v>Alex Kim</x:v>
      </x:c>
      <x:c r="C16" s="130" t="str">
        <x:v>960 Demo Street, Atlanta, GA 30308</x:v>
      </x:c>
      <x:c r="D16" s="130" t="str">
        <x:v>675-555-0100</x:v>
      </x:c>
      <x:c r="E16" s="130" t="str">
        <x:v>***-**-0116</x:v>
      </x:c>
      <x:c r="F16" s="130" t="str">
        <x:v>Chase</x:v>
      </x:c>
      <x:c r="G16" s="130" t="n">
        <x:v>000000111</x:v>
      </x:c>
      <x:c r="H16" s="130" t="n">
        <x:v>999900211</x:v>
      </x:c>
      <x:c r="I16" s="130" t="str">
        <x:v>CDL Summary</x:v>
      </x:c>
      <x:c r="J16" s="130" t="str">
        <x:v>VALID</x:v>
      </x:c>
      <x:c r="K16" s="130" t="str">
        <x:v>GA0000013</x:v>
      </x:c>
      <x:c r="L16" s="180" t="n">
        <x:v>46420</x:v>
      </x:c>
      <x:c r="M16" s="180" t="n">
        <x:v>46659</x:v>
      </x:c>
      <x:c r="N16" s="180" t="n">
        <x:v>46449</x:v>
      </x:c>
      <x:c r="O16" s="130"/>
      <x:c r="P16" s="130" t="str">
        <x:v>Brown</x:v>
      </x:c>
      <x:c r="Q16" s="130" t="str">
        <x:v>Blue</x:v>
      </x:c>
      <x:c r="R16" s="130" t="str">
        <x:v>6'-2"</x:v>
      </x:c>
      <x:c r="S16" s="130" t="n">
        <x:v>214</x:v>
      </x:c>
      <x:c r="T16" s="130" t="str">
        <x:v>M</x:v>
      </x:c>
      <x:c r="U16" s="130" t="n">
        <x:v>25934</x:v>
      </x:c>
      <x:c r="V16" s="130" t="str">
        <x:v>DRV-003.png</x:v>
      </x:c>
      <x:c r="W16" s="130" t="str">
        <x:v>Asian</x:v>
      </x:c>
      <x:c r="X16" s="130" t="str">
        <x:v>alexkim@example.com</x:v>
      </x:c>
      <x:c r="Y16" s="130" t="str">
        <x:v>960 Demo Street</x:v>
      </x:c>
      <x:c r="Z16" s="130" t="str">
        <x:v>Atlanta</x:v>
      </x:c>
      <x:c r="AA16" s="130" t="str">
        <x:v>GA</x:v>
      </x:c>
      <x:c r="AB16" s="130" t="n">
        <x:v>30308</x:v>
      </x:c>
      <x:c r="AC16" s="130" t="str">
        <x:v>GA</x:v>
      </x:c>
      <x:c r="AD16" s="130" t="str">
        <x:v>Class A</x:v>
      </x:c>
      <x:c r="AE16" s="180" t="n">
        <x:v>44598</x:v>
      </x:c>
      <x:c r="AF16" s="130" t="str">
        <x:v>H,N</x:v>
      </x:c>
      <x:c r="AG16" s="130"/>
      <x:c r="AH16" s="180" t="n">
        <x:v>45929</x:v>
      </x:c>
      <x:c r="AI16" s="130" t="str">
        <x:v>MC-0030104</x:v>
      </x:c>
      <x:c r="AJ16" s="130" t="str">
        <x:v>Dr. Lisa Bennett</x:v>
      </x:c>
      <x:c r="AK16" s="130" t="str">
        <x:v>ME100003</x:v>
      </x:c>
      <x:c r="AL16" s="130"/>
      <x:c r="AM16" s="130" t="str">
        <x:v>Qualified</x:v>
      </x:c>
      <x:c r="AN16" s="180" t="n">
        <x:v>46419</x:v>
      </x:c>
      <x:c r="AO16" s="130" t="n">
        <x:v>0</x:v>
      </x:c>
      <x:c r="AP16" s="130" t="n">
        <x:v>0</x:v>
      </x:c>
      <x:c r="AQ16" s="130"/>
      <x:c r="AR16" s="130" t="str">
        <x:v>Clear</x:v>
      </x:c>
      <x:c r="AS16" s="180" t="n">
        <x:v>45488</x:v>
      </x:c>
      <x:c r="AT16" s="130" t="str">
        <x:v>Authorized to Work</x:v>
      </x:c>
      <x:c r="AU16" s="130" t="str">
        <x:v>U.S. Passport</x:v>
      </x:c>
      <x:c r="AV16" s="130"/>
      <x:c r="AW16" s="130"/>
      <x:c r="AX16" s="180" t="n">
        <x:v>45488</x:v>
      </x:c>
      <x:c r="AY16" s="130" t="str">
        <x:v>BOF Onboarding Team</x:v>
      </x:c>
      <x:c r="AZ16" s="130" t="str">
        <x:v>Complete</x:v>
      </x:c>
      <x:c r="BA16" s="130"/>
      <x:c r="BB16" s="130" t="str">
        <x:v>Individual/Sole Proprietor</x:v>
      </x:c>
      <x:c r="BC16" s="130" t="str">
        <x:v>SSN</x:v>
      </x:c>
      <x:c r="BD16" s="130" t="str">
        <x:v>***-**-0116</x:v>
      </x:c>
      <x:c r="BE16" s="130"/>
      <x:c r="BF16" s="180" t="n">
        <x:v>45488</x:v>
      </x:c>
      <x:c r="BG16" s="130" t="str">
        <x:v>Received</x:v>
      </x:c>
      <x:c r="BH16" s="130" t="str">
        <x:v>Checking</x:v>
      </x:c>
      <x:c r="BI16" s="130" t="str">
        <x:v>Direct Deposit</x:v>
      </x:c>
      <x:c r="BJ16" s="180" t="n">
        <x:v>45488</x:v>
      </x:c>
      <x:c r="BK16" s="130" t="str">
        <x:v>Verified</x:v>
      </x:c>
      <x:c r="BL16" s="180" t="n">
        <x:v>45481</x:v>
      </x:c>
      <x:c r="BM16" s="130" t="str">
        <x:v>M. Chen</x:v>
      </x:c>
      <x:c r="BN16" s="130" t="str">
        <x:v>Sleeper tractor</x:v>
      </x:c>
      <x:c r="BO16" s="130" t="str">
        <x:v>Tanker</x:v>
      </x:c>
      <x:c r="BP16" s="130" t="str">
        <x:v>Atlanta, GA</x:v>
      </x:c>
      <x:c r="BQ16" s="130" t="n">
        <x:v>5</x:v>
      </x:c>
      <x:c r="BR16" s="130" t="n">
        <x:v>5</x:v>
      </x:c>
      <x:c r="BS16" s="130" t="n">
        <x:v>5</x:v>
      </x:c>
      <x:c r="BT16" s="130" t="n">
        <x:v>5</x:v>
      </x:c>
      <x:c r="BU16" s="130" t="n">
        <x:v>4</x:v>
      </x:c>
      <x:c r="BV16" s="130" t="n">
        <x:v>5</x:v>
      </x:c>
      <x:c r="BW16" s="130" t="n">
        <x:v>5</x:v>
      </x:c>
      <x:c r="BX16" s="130" t="n">
        <x:v>5</x:v>
      </x:c>
      <x:c r="BY16" s="130" t="n">
        <x:v>5</x:v>
      </x:c>
      <x:c r="BZ16" s="130" t="str">
        <x:v>Pass</x:v>
      </x:c>
      <x:c r="CA16" s="130" t="str">
        <x:v>HazMat loads only after refresher every 12 months</x:v>
      </x:c>
      <x:c r="CB16" s="130" t="str">
        <x:v>Passed</x:v>
      </x:c>
      <x:c r="CC16" s="130" t="str">
        <x:v>Enrolled</x:v>
      </x:c>
      <x:c r="CD16" s="130" t="str">
        <x:v>Query Completed</x:v>
      </x:c>
      <x:c r="CE16" s="180" t="n">
        <x:v>46037</x:v>
      </x:c>
      <x:c r="CF16" s="180" t="n">
        <x:v>46218</x:v>
      </x:c>
      <x:c r="CG16" s="130"/>
      <x:c r="CH16" s="130" t="str">
        <x:v>Compliant</x:v>
      </x:c>
      <x:c r="CI16" s="130"/>
      <x:c r="CJ16" s="130" t="str">
        <x:v>Alex</x:v>
      </x:c>
      <x:c r="CK16" s="130" t="str">
        <x:v>Kim</x:v>
      </x:c>
      <x:c r="CL16" s="130" t="str">
        <x:v>GA0000013</x:v>
      </x:c>
      <x:c r="CM16" s="130" t="str">
        <x:v>GA</x:v>
      </x:c>
      <x:c r="CN16" s="130" t="str">
        <x:v>CDL Holder</x:v>
      </x:c>
      <x:c r="CO16" s="130" t="str">
        <x:v>Alex Kim</x:v>
      </x:c>
      <x:c r="CP16" s="180" t="n">
        <x:v>45929</x:v>
      </x:c>
      <x:c r="CQ16" s="180" t="n">
        <x:v>46659</x:v>
      </x:c>
      <x:c r="CR16" s="130" t="str">
        <x:v>(404) 555-0107</x:v>
      </x:c>
      <x:c r="CS16" s="130" t="str">
        <x:v>Dr. Lisa Bennett</x:v>
      </x:c>
      <x:c r="CT16" s="180" t="n">
        <x:v>45929</x:v>
      </x:c>
      <x:c r="CU16" s="130" t="str">
        <x:v>GA-ME-142937</x:v>
      </x:c>
      <x:c r="CV16" s="130" t="str">
        <x:v>ME100003</x:v>
      </x:c>
      <x:c r="CW16" s="130" t="str">
        <x:v>Advanced Practice Nurse</x:v>
      </x:c>
      <x:c r="CX16" s="130" t="str">
        <x:v>GA</x:v>
      </x:c>
      <x:c r="CY16" s="130" t="str">
        <x:v>Federal Motor Carrier Safety Regulations</x:v>
      </x:c>
      <x:c r="CZ16" s="130"/>
      <x:c r="DA16" s="130" t="str">
        <x:v>No</x:v>
      </x:c>
      <x:c r="DB16" s="130" t="str">
        <x:v>No</x:v>
      </x:c>
      <x:c r="DC16" s="130" t="str">
        <x:v>No</x:v>
      </x:c>
      <x:c r="DD16" s="130" t="str">
        <x:v>No</x:v>
      </x:c>
      <x:c r="DE16" s="130" t="str">
        <x:v>No</x:v>
      </x:c>
      <x:c r="DF16" s="130" t="str">
        <x:v>No</x:v>
      </x:c>
      <x:c r="DG16" s="130" t="str">
        <x:v>Jane Doe</x:v>
      </x:c>
      <x:c r="DH16" s="130" t="str">
        <x:v>Sister</x:v>
      </x:c>
      <x:c r="DI16" s="130" t="str">
        <x:v>555-555-5555</x:v>
      </x:c>
      <x:c r="DJ16" s="130" t="str">
        <x:v>No</x:v>
      </x:c>
      <x:c r="DK16" s="130" t="str">
        <x:v>No</x:v>
      </x:c>
      <x:c r="DL16" s="130" t="str">
        <x:v>No</x:v>
      </x:c>
      <x:c r="DM16" s="130" t="str">
        <x:v>No</x:v>
      </x:c>
      <x:c r="DN16" s="130" t="str">
        <x:v>Yes - Appendectomy (2005)</x:v>
      </x:c>
      <x:c r="DO16" s="130" t="str">
        <x:v>20/20</x:v>
      </x:c>
      <x:c r="DP16" s="130" t="str">
        <x:v>20/20</x:v>
      </x:c>
      <x:c r="DQ16" s="130" t="str">
        <x:v>Pass</x:v>
      </x:c>
      <x:c r="DR16" s="130" t="str">
        <x:v>118</x:v>
      </x:c>
      <x:c r="DS16" s="130" t="str">
        <x:v>78</x:v>
      </x:c>
      <x:c r="DT16" s="130" t="str">
        <x:v>72</x:v>
      </x:c>
      <x:c r="DU16" s="130" t="str">
        <x:v>Normal</x:v>
      </x:c>
      <x:c r="DV16" s="180" t="n">
        <x:v>45392</x:v>
      </x:c>
      <x:c r="DW16" s="180" t="n">
        <x:v>45394</x:v>
      </x:c>
      <x:c r="DX16" s="130" t="str">
        <x:v>Negative</x:v>
      </x:c>
      <x:c r="DY16" s="180" t="n">
        <x:v>45397</x:v>
      </x:c>
      <x:c r="DZ16" s="130" t="str">
        <x:v>BOF Fleet Safety &amp; Compliance Policy 2024</x:v>
      </x:c>
      <x:c r="EA16" s="130" t="str">
        <x:v>Complete</x:v>
      </x:c>
      <x:c r="EB16" s="180" t="n">
        <x:v>45413</x:v>
      </x:c>
    </x:row>
    <x:row r="17">
      <x:c r="A17" s="130" t="str">
        <x:v>DRV-003</x:v>
      </x:c>
      <x:c r="B17" s="130" t="str">
        <x:v>Alex Kim</x:v>
      </x:c>
      <x:c r="C17" s="130" t="str">
        <x:v>960 Demo Street, Atlanta, GA 30308</x:v>
      </x:c>
      <x:c r="D17" s="130" t="str">
        <x:v>675-555-0100</x:v>
      </x:c>
      <x:c r="E17" s="130" t="str">
        <x:v>***-**-0116</x:v>
      </x:c>
      <x:c r="F17" s="130" t="str">
        <x:v>Chase</x:v>
      </x:c>
      <x:c r="G17" s="130" t="n">
        <x:v>000000111</x:v>
      </x:c>
      <x:c r="H17" s="130" t="n">
        <x:v>999900211</x:v>
      </x:c>
      <x:c r="I17" s="130" t="str">
        <x:v>Medical Certification</x:v>
      </x:c>
      <x:c r="J17" s="130" t="str">
        <x:v>VALID</x:v>
      </x:c>
      <x:c r="K17" s="130" t="str">
        <x:v>GA0000006</x:v>
      </x:c>
      <x:c r="L17" s="180" t="n">
        <x:v>46420</x:v>
      </x:c>
      <x:c r="M17" s="180" t="n">
        <x:v>46659</x:v>
      </x:c>
      <x:c r="N17" s="180" t="n">
        <x:v>46449</x:v>
      </x:c>
      <x:c r="O17" s="130"/>
      <x:c r="P17" s="130" t="str">
        <x:v>Brown</x:v>
      </x:c>
      <x:c r="Q17" s="130" t="str">
        <x:v>Blue</x:v>
      </x:c>
      <x:c r="R17" s="130" t="str">
        <x:v>6'-2"</x:v>
      </x:c>
      <x:c r="S17" s="130" t="n">
        <x:v>214</x:v>
      </x:c>
      <x:c r="T17" s="130" t="str">
        <x:v>M</x:v>
      </x:c>
      <x:c r="U17" s="130" t="n">
        <x:v>25934</x:v>
      </x:c>
      <x:c r="V17" s="130" t="str">
        <x:v>DRV-003.png</x:v>
      </x:c>
      <x:c r="W17" s="130" t="str">
        <x:v>Asian</x:v>
      </x:c>
      <x:c r="X17" s="130" t="str">
        <x:v>alexkim@example.com</x:v>
      </x:c>
      <x:c r="Y17" s="130" t="str">
        <x:v>960 Demo Street</x:v>
      </x:c>
      <x:c r="Z17" s="130" t="str">
        <x:v>Atlanta</x:v>
      </x:c>
      <x:c r="AA17" s="130" t="str">
        <x:v>GA</x:v>
      </x:c>
      <x:c r="AB17" s="130" t="n">
        <x:v>30308</x:v>
      </x:c>
      <x:c r="AC17" s="130" t="str">
        <x:v>GA</x:v>
      </x:c>
      <x:c r="AD17" s="130" t="str">
        <x:v>Class A</x:v>
      </x:c>
      <x:c r="AE17" s="180" t="n">
        <x:v>44598</x:v>
      </x:c>
      <x:c r="AF17" s="130" t="str">
        <x:v>H,N</x:v>
      </x:c>
      <x:c r="AG17" s="130"/>
      <x:c r="AH17" s="180" t="n">
        <x:v>45929</x:v>
      </x:c>
      <x:c r="AI17" s="130" t="str">
        <x:v>MC-0030104</x:v>
      </x:c>
      <x:c r="AJ17" s="130" t="str">
        <x:v>Dr. Lisa Bennett</x:v>
      </x:c>
      <x:c r="AK17" s="130" t="str">
        <x:v>ME100003</x:v>
      </x:c>
      <x:c r="AL17" s="130"/>
      <x:c r="AM17" s="130" t="str">
        <x:v>Qualified</x:v>
      </x:c>
      <x:c r="AN17" s="180" t="n">
        <x:v>46419</x:v>
      </x:c>
      <x:c r="AO17" s="130" t="n">
        <x:v>0</x:v>
      </x:c>
      <x:c r="AP17" s="130" t="n">
        <x:v>0</x:v>
      </x:c>
      <x:c r="AQ17" s="130"/>
      <x:c r="AR17" s="130" t="str">
        <x:v>Clear</x:v>
      </x:c>
      <x:c r="AS17" s="180" t="n">
        <x:v>45488</x:v>
      </x:c>
      <x:c r="AT17" s="130" t="str">
        <x:v>Authorized to Work</x:v>
      </x:c>
      <x:c r="AU17" s="130" t="str">
        <x:v>U.S. Passport</x:v>
      </x:c>
      <x:c r="AV17" s="130"/>
      <x:c r="AW17" s="130"/>
      <x:c r="AX17" s="180" t="n">
        <x:v>45488</x:v>
      </x:c>
      <x:c r="AY17" s="130" t="str">
        <x:v>BOF Onboarding Team</x:v>
      </x:c>
      <x:c r="AZ17" s="130" t="str">
        <x:v>Complete</x:v>
      </x:c>
      <x:c r="BA17" s="130"/>
      <x:c r="BB17" s="130" t="str">
        <x:v>Individual/Sole Proprietor</x:v>
      </x:c>
      <x:c r="BC17" s="130" t="str">
        <x:v>SSN</x:v>
      </x:c>
      <x:c r="BD17" s="130" t="str">
        <x:v>***-**-0116</x:v>
      </x:c>
      <x:c r="BE17" s="130"/>
      <x:c r="BF17" s="180" t="n">
        <x:v>45488</x:v>
      </x:c>
      <x:c r="BG17" s="130" t="str">
        <x:v>Received</x:v>
      </x:c>
      <x:c r="BH17" s="130" t="str">
        <x:v>Checking</x:v>
      </x:c>
      <x:c r="BI17" s="130" t="str">
        <x:v>Direct Deposit</x:v>
      </x:c>
      <x:c r="BJ17" s="180" t="n">
        <x:v>45488</x:v>
      </x:c>
      <x:c r="BK17" s="130" t="str">
        <x:v>Verified</x:v>
      </x:c>
      <x:c r="BL17" s="180" t="n">
        <x:v>45481</x:v>
      </x:c>
      <x:c r="BM17" s="130" t="str">
        <x:v>M. Chen</x:v>
      </x:c>
      <x:c r="BN17" s="130" t="str">
        <x:v>Sleeper tractor</x:v>
      </x:c>
      <x:c r="BO17" s="130" t="str">
        <x:v>Tanker</x:v>
      </x:c>
      <x:c r="BP17" s="130" t="str">
        <x:v>Atlanta, GA</x:v>
      </x:c>
      <x:c r="BQ17" s="130" t="n">
        <x:v>5</x:v>
      </x:c>
      <x:c r="BR17" s="130" t="n">
        <x:v>5</x:v>
      </x:c>
      <x:c r="BS17" s="130" t="n">
        <x:v>5</x:v>
      </x:c>
      <x:c r="BT17" s="130" t="n">
        <x:v>5</x:v>
      </x:c>
      <x:c r="BU17" s="130" t="n">
        <x:v>4</x:v>
      </x:c>
      <x:c r="BV17" s="130" t="n">
        <x:v>5</x:v>
      </x:c>
      <x:c r="BW17" s="130" t="n">
        <x:v>5</x:v>
      </x:c>
      <x:c r="BX17" s="130" t="n">
        <x:v>5</x:v>
      </x:c>
      <x:c r="BY17" s="130" t="n">
        <x:v>5</x:v>
      </x:c>
      <x:c r="BZ17" s="130" t="str">
        <x:v>Pass</x:v>
      </x:c>
      <x:c r="CA17" s="130" t="str">
        <x:v>HazMat loads only after refresher every 12 months</x:v>
      </x:c>
      <x:c r="CB17" s="130" t="str">
        <x:v>Passed</x:v>
      </x:c>
      <x:c r="CC17" s="130" t="str">
        <x:v>Enrolled</x:v>
      </x:c>
      <x:c r="CD17" s="130" t="str">
        <x:v>Query Completed</x:v>
      </x:c>
      <x:c r="CE17" s="180" t="n">
        <x:v>46037</x:v>
      </x:c>
      <x:c r="CF17" s="180" t="n">
        <x:v>46218</x:v>
      </x:c>
      <x:c r="CG17" s="130"/>
      <x:c r="CH17" s="130" t="str">
        <x:v>Compliant</x:v>
      </x:c>
      <x:c r="CI17" s="130"/>
      <x:c r="CJ17" s="130" t="str">
        <x:v>Alex</x:v>
      </x:c>
      <x:c r="CK17" s="130" t="str">
        <x:v>Kim</x:v>
      </x:c>
      <x:c r="CL17" s="130" t="str">
        <x:v>GA0000014</x:v>
      </x:c>
      <x:c r="CM17" s="130" t="str">
        <x:v>GA</x:v>
      </x:c>
      <x:c r="CN17" s="130" t="str">
        <x:v>CDL Holder</x:v>
      </x:c>
      <x:c r="CO17" s="130" t="str">
        <x:v>Alex Kim</x:v>
      </x:c>
      <x:c r="CP17" s="180" t="n">
        <x:v>45929</x:v>
      </x:c>
      <x:c r="CQ17" s="180" t="n">
        <x:v>46659</x:v>
      </x:c>
      <x:c r="CR17" s="130" t="str">
        <x:v>(404) 555-0107</x:v>
      </x:c>
      <x:c r="CS17" s="130" t="str">
        <x:v>Dr. Lisa Bennett</x:v>
      </x:c>
      <x:c r="CT17" s="180" t="n">
        <x:v>45929</x:v>
      </x:c>
      <x:c r="CU17" s="130" t="str">
        <x:v>GA-ME-142937</x:v>
      </x:c>
      <x:c r="CV17" s="130" t="str">
        <x:v>ME100003</x:v>
      </x:c>
      <x:c r="CW17" s="130" t="str">
        <x:v>Advanced Practice Nurse</x:v>
      </x:c>
      <x:c r="CX17" s="130" t="str">
        <x:v>GA</x:v>
      </x:c>
      <x:c r="CY17" s="130" t="str">
        <x:v>Federal Motor Carrier Safety Regulations</x:v>
      </x:c>
      <x:c r="CZ17" s="130"/>
      <x:c r="DA17" s="130" t="str">
        <x:v>No</x:v>
      </x:c>
      <x:c r="DB17" s="130" t="str">
        <x:v>No</x:v>
      </x:c>
      <x:c r="DC17" s="130" t="str">
        <x:v>No</x:v>
      </x:c>
      <x:c r="DD17" s="130" t="str">
        <x:v>No</x:v>
      </x:c>
      <x:c r="DE17" s="130" t="str">
        <x:v>No</x:v>
      </x:c>
      <x:c r="DF17" s="130" t="str">
        <x:v>No</x:v>
      </x:c>
      <x:c r="DG17" s="130" t="str">
        <x:v>Jane Doe</x:v>
      </x:c>
      <x:c r="DH17" s="130" t="str">
        <x:v>Sister</x:v>
      </x:c>
      <x:c r="DI17" s="130" t="str">
        <x:v>555-555-5555</x:v>
      </x:c>
      <x:c r="DJ17" s="130" t="str">
        <x:v>No</x:v>
      </x:c>
      <x:c r="DK17" s="130" t="str">
        <x:v>No</x:v>
      </x:c>
      <x:c r="DL17" s="130" t="str">
        <x:v>No</x:v>
      </x:c>
      <x:c r="DM17" s="130" t="str">
        <x:v>No</x:v>
      </x:c>
      <x:c r="DN17" s="130" t="str">
        <x:v>Yes - Appendectomy (2005)</x:v>
      </x:c>
      <x:c r="DO17" s="130" t="str">
        <x:v>20/20</x:v>
      </x:c>
      <x:c r="DP17" s="130" t="str">
        <x:v>20/20</x:v>
      </x:c>
      <x:c r="DQ17" s="130" t="str">
        <x:v>Pass</x:v>
      </x:c>
      <x:c r="DR17" s="130" t="str">
        <x:v>118</x:v>
      </x:c>
      <x:c r="DS17" s="130" t="str">
        <x:v>78</x:v>
      </x:c>
      <x:c r="DT17" s="130" t="str">
        <x:v>72</x:v>
      </x:c>
      <x:c r="DU17" s="130" t="str">
        <x:v>Normal</x:v>
      </x:c>
      <x:c r="DV17" s="180" t="n">
        <x:v>45392</x:v>
      </x:c>
      <x:c r="DW17" s="180" t="n">
        <x:v>45394</x:v>
      </x:c>
      <x:c r="DX17" s="130" t="str">
        <x:v>Negative</x:v>
      </x:c>
      <x:c r="DY17" s="180" t="n">
        <x:v>45397</x:v>
      </x:c>
      <x:c r="DZ17" s="130" t="str">
        <x:v>BOF Fleet Safety &amp; Compliance Policy 2024</x:v>
      </x:c>
      <x:c r="EA17" s="130" t="str">
        <x:v>Complete</x:v>
      </x:c>
      <x:c r="EB17" s="180" t="n">
        <x:v>45413</x:v>
      </x:c>
    </x:row>
    <x:row r="18">
      <x:c r="A18" s="130" t="str">
        <x:v>DRV-003</x:v>
      </x:c>
      <x:c r="B18" s="130" t="str">
        <x:v>Alex Kim</x:v>
      </x:c>
      <x:c r="C18" s="130" t="str">
        <x:v>960 Demo Street, Atlanta, GA 30308</x:v>
      </x:c>
      <x:c r="D18" s="130" t="str">
        <x:v>675-555-0100</x:v>
      </x:c>
      <x:c r="E18" s="130" t="str">
        <x:v>***-**-0116</x:v>
      </x:c>
      <x:c r="F18" s="130" t="str">
        <x:v>Chase</x:v>
      </x:c>
      <x:c r="G18" s="130" t="n">
        <x:v>000000111</x:v>
      </x:c>
      <x:c r="H18" s="130" t="n">
        <x:v>999900211</x:v>
      </x:c>
      <x:c r="I18" s="130" t="str">
        <x:v>MVR Background Report</x:v>
      </x:c>
      <x:c r="J18" s="130" t="str">
        <x:v>VALID</x:v>
      </x:c>
      <x:c r="K18" s="130" t="str">
        <x:v>GA0000011</x:v>
      </x:c>
      <x:c r="L18" s="180" t="n">
        <x:v>46420</x:v>
      </x:c>
      <x:c r="M18" s="180" t="n">
        <x:v>46659</x:v>
      </x:c>
      <x:c r="N18" s="180" t="n">
        <x:v>46449</x:v>
      </x:c>
      <x:c r="O18" s="130"/>
      <x:c r="P18" s="130" t="str">
        <x:v>Brown</x:v>
      </x:c>
      <x:c r="Q18" s="130" t="str">
        <x:v>Blue</x:v>
      </x:c>
      <x:c r="R18" s="130" t="str">
        <x:v>6'-2"</x:v>
      </x:c>
      <x:c r="S18" s="130" t="n">
        <x:v>214</x:v>
      </x:c>
      <x:c r="T18" s="130" t="str">
        <x:v>M</x:v>
      </x:c>
      <x:c r="U18" s="130" t="n">
        <x:v>25934</x:v>
      </x:c>
      <x:c r="V18" s="130" t="str">
        <x:v>DRV-003.png</x:v>
      </x:c>
      <x:c r="W18" s="130" t="str">
        <x:v>Asian</x:v>
      </x:c>
      <x:c r="X18" s="130" t="str">
        <x:v>alexkim@example.com</x:v>
      </x:c>
      <x:c r="Y18" s="130" t="str">
        <x:v>960 Demo Street</x:v>
      </x:c>
      <x:c r="Z18" s="130" t="str">
        <x:v>Atlanta</x:v>
      </x:c>
      <x:c r="AA18" s="130" t="str">
        <x:v>GA</x:v>
      </x:c>
      <x:c r="AB18" s="130" t="n">
        <x:v>30308</x:v>
      </x:c>
      <x:c r="AC18" s="130" t="str">
        <x:v>GA</x:v>
      </x:c>
      <x:c r="AD18" s="130" t="str">
        <x:v>Class A</x:v>
      </x:c>
      <x:c r="AE18" s="180" t="n">
        <x:v>44598</x:v>
      </x:c>
      <x:c r="AF18" s="130" t="str">
        <x:v>H,N</x:v>
      </x:c>
      <x:c r="AG18" s="130"/>
      <x:c r="AH18" s="180" t="n">
        <x:v>45929</x:v>
      </x:c>
      <x:c r="AI18" s="130" t="str">
        <x:v>MC-0030104</x:v>
      </x:c>
      <x:c r="AJ18" s="130" t="str">
        <x:v>Dr. Lisa Bennett</x:v>
      </x:c>
      <x:c r="AK18" s="130" t="str">
        <x:v>ME100003</x:v>
      </x:c>
      <x:c r="AL18" s="130"/>
      <x:c r="AM18" s="130" t="str">
        <x:v>Qualified</x:v>
      </x:c>
      <x:c r="AN18" s="180" t="n">
        <x:v>46419</x:v>
      </x:c>
      <x:c r="AO18" s="130" t="n">
        <x:v>0</x:v>
      </x:c>
      <x:c r="AP18" s="130" t="n">
        <x:v>0</x:v>
      </x:c>
      <x:c r="AQ18" s="130"/>
      <x:c r="AR18" s="130" t="str">
        <x:v>Clear</x:v>
      </x:c>
      <x:c r="AS18" s="180" t="n">
        <x:v>45488</x:v>
      </x:c>
      <x:c r="AT18" s="130" t="str">
        <x:v>Authorized to Work</x:v>
      </x:c>
      <x:c r="AU18" s="130" t="str">
        <x:v>U.S. Passport</x:v>
      </x:c>
      <x:c r="AV18" s="130"/>
      <x:c r="AW18" s="130"/>
      <x:c r="AX18" s="180" t="n">
        <x:v>45488</x:v>
      </x:c>
      <x:c r="AY18" s="130" t="str">
        <x:v>BOF Onboarding Team</x:v>
      </x:c>
      <x:c r="AZ18" s="130" t="str">
        <x:v>Complete</x:v>
      </x:c>
      <x:c r="BA18" s="130"/>
      <x:c r="BB18" s="130" t="str">
        <x:v>Individual/Sole Proprietor</x:v>
      </x:c>
      <x:c r="BC18" s="130" t="str">
        <x:v>SSN</x:v>
      </x:c>
      <x:c r="BD18" s="130" t="str">
        <x:v>***-**-0116</x:v>
      </x:c>
      <x:c r="BE18" s="130"/>
      <x:c r="BF18" s="180" t="n">
        <x:v>45488</x:v>
      </x:c>
      <x:c r="BG18" s="130" t="str">
        <x:v>Received</x:v>
      </x:c>
      <x:c r="BH18" s="130" t="str">
        <x:v>Checking</x:v>
      </x:c>
      <x:c r="BI18" s="130" t="str">
        <x:v>Direct Deposit</x:v>
      </x:c>
      <x:c r="BJ18" s="180" t="n">
        <x:v>45488</x:v>
      </x:c>
      <x:c r="BK18" s="130" t="str">
        <x:v>Verified</x:v>
      </x:c>
      <x:c r="BL18" s="180" t="n">
        <x:v>45481</x:v>
      </x:c>
      <x:c r="BM18" s="130" t="str">
        <x:v>M. Chen</x:v>
      </x:c>
      <x:c r="BN18" s="130" t="str">
        <x:v>Sleeper tractor</x:v>
      </x:c>
      <x:c r="BO18" s="130" t="str">
        <x:v>Tanker</x:v>
      </x:c>
      <x:c r="BP18" s="130" t="str">
        <x:v>Atlanta, GA</x:v>
      </x:c>
      <x:c r="BQ18" s="130" t="n">
        <x:v>5</x:v>
      </x:c>
      <x:c r="BR18" s="130" t="n">
        <x:v>5</x:v>
      </x:c>
      <x:c r="BS18" s="130" t="n">
        <x:v>5</x:v>
      </x:c>
      <x:c r="BT18" s="130" t="n">
        <x:v>5</x:v>
      </x:c>
      <x:c r="BU18" s="130" t="n">
        <x:v>4</x:v>
      </x:c>
      <x:c r="BV18" s="130" t="n">
        <x:v>5</x:v>
      </x:c>
      <x:c r="BW18" s="130" t="n">
        <x:v>5</x:v>
      </x:c>
      <x:c r="BX18" s="130" t="n">
        <x:v>5</x:v>
      </x:c>
      <x:c r="BY18" s="130" t="n">
        <x:v>5</x:v>
      </x:c>
      <x:c r="BZ18" s="130" t="str">
        <x:v>Pass</x:v>
      </x:c>
      <x:c r="CA18" s="130" t="str">
        <x:v>HazMat loads only after refresher every 12 months</x:v>
      </x:c>
      <x:c r="CB18" s="130" t="str">
        <x:v>Passed</x:v>
      </x:c>
      <x:c r="CC18" s="130" t="str">
        <x:v>Enrolled</x:v>
      </x:c>
      <x:c r="CD18" s="130" t="str">
        <x:v>Query Completed</x:v>
      </x:c>
      <x:c r="CE18" s="180" t="n">
        <x:v>46037</x:v>
      </x:c>
      <x:c r="CF18" s="180" t="n">
        <x:v>46218</x:v>
      </x:c>
      <x:c r="CG18" s="130"/>
      <x:c r="CH18" s="130" t="str">
        <x:v>Compliant</x:v>
      </x:c>
      <x:c r="CI18" s="130"/>
      <x:c r="CJ18" s="130" t="str">
        <x:v>Alex</x:v>
      </x:c>
      <x:c r="CK18" s="130" t="str">
        <x:v>Kim</x:v>
      </x:c>
      <x:c r="CL18" s="130" t="str">
        <x:v>GA0000015</x:v>
      </x:c>
      <x:c r="CM18" s="130" t="str">
        <x:v>GA</x:v>
      </x:c>
      <x:c r="CN18" s="130" t="str">
        <x:v>CDL Holder</x:v>
      </x:c>
      <x:c r="CO18" s="130" t="str">
        <x:v>Alex Kim</x:v>
      </x:c>
      <x:c r="CP18" s="180" t="n">
        <x:v>45929</x:v>
      </x:c>
      <x:c r="CQ18" s="180" t="n">
        <x:v>46659</x:v>
      </x:c>
      <x:c r="CR18" s="130" t="str">
        <x:v>(404) 555-0107</x:v>
      </x:c>
      <x:c r="CS18" s="130" t="str">
        <x:v>Dr. Lisa Bennett</x:v>
      </x:c>
      <x:c r="CT18" s="180" t="n">
        <x:v>45929</x:v>
      </x:c>
      <x:c r="CU18" s="130" t="str">
        <x:v>GA-ME-142937</x:v>
      </x:c>
      <x:c r="CV18" s="130" t="str">
        <x:v>ME100003</x:v>
      </x:c>
      <x:c r="CW18" s="130" t="str">
        <x:v>Advanced Practice Nurse</x:v>
      </x:c>
      <x:c r="CX18" s="130" t="str">
        <x:v>GA</x:v>
      </x:c>
      <x:c r="CY18" s="130" t="str">
        <x:v>Federal Motor Carrier Safety Regulations</x:v>
      </x:c>
      <x:c r="CZ18" s="130"/>
      <x:c r="DA18" s="130" t="str">
        <x:v>No</x:v>
      </x:c>
      <x:c r="DB18" s="130" t="str">
        <x:v>No</x:v>
      </x:c>
      <x:c r="DC18" s="130" t="str">
        <x:v>No</x:v>
      </x:c>
      <x:c r="DD18" s="130" t="str">
        <x:v>No</x:v>
      </x:c>
      <x:c r="DE18" s="130" t="str">
        <x:v>No</x:v>
      </x:c>
      <x:c r="DF18" s="130" t="str">
        <x:v>No</x:v>
      </x:c>
      <x:c r="DG18" s="130" t="str">
        <x:v>Jane Doe</x:v>
      </x:c>
      <x:c r="DH18" s="130" t="str">
        <x:v>Sister</x:v>
      </x:c>
      <x:c r="DI18" s="130" t="str">
        <x:v>555-555-5555</x:v>
      </x:c>
      <x:c r="DJ18" s="130" t="str">
        <x:v>No</x:v>
      </x:c>
      <x:c r="DK18" s="130" t="str">
        <x:v>No</x:v>
      </x:c>
      <x:c r="DL18" s="130" t="str">
        <x:v>No</x:v>
      </x:c>
      <x:c r="DM18" s="130" t="str">
        <x:v>No</x:v>
      </x:c>
      <x:c r="DN18" s="130" t="str">
        <x:v>Yes - Appendectomy (2005)</x:v>
      </x:c>
      <x:c r="DO18" s="130" t="str">
        <x:v>20/20</x:v>
      </x:c>
      <x:c r="DP18" s="130" t="str">
        <x:v>20/20</x:v>
      </x:c>
      <x:c r="DQ18" s="130" t="str">
        <x:v>Pass</x:v>
      </x:c>
      <x:c r="DR18" s="130" t="str">
        <x:v>118</x:v>
      </x:c>
      <x:c r="DS18" s="130" t="str">
        <x:v>78</x:v>
      </x:c>
      <x:c r="DT18" s="130" t="str">
        <x:v>72</x:v>
      </x:c>
      <x:c r="DU18" s="130" t="str">
        <x:v>Normal</x:v>
      </x:c>
      <x:c r="DV18" s="180" t="n">
        <x:v>45392</x:v>
      </x:c>
      <x:c r="DW18" s="180" t="n">
        <x:v>45394</x:v>
      </x:c>
      <x:c r="DX18" s="130" t="str">
        <x:v>Negative</x:v>
      </x:c>
      <x:c r="DY18" s="180" t="n">
        <x:v>45397</x:v>
      </x:c>
      <x:c r="DZ18" s="130" t="str">
        <x:v>BOF Fleet Safety &amp; Compliance Policy 2024</x:v>
      </x:c>
      <x:c r="EA18" s="130" t="str">
        <x:v>Complete</x:v>
      </x:c>
      <x:c r="EB18" s="180" t="n">
        <x:v>45413</x:v>
      </x:c>
    </x:row>
    <x:row r="19">
      <x:c r="A19" s="130" t="str">
        <x:v>DRV-003</x:v>
      </x:c>
      <x:c r="B19" s="130" t="str">
        <x:v>Alex Kim</x:v>
      </x:c>
      <x:c r="C19" s="130" t="str">
        <x:v>960 Demo Street, Atlanta, GA 30308</x:v>
      </x:c>
      <x:c r="D19" s="130" t="str">
        <x:v>675-555-0100</x:v>
      </x:c>
      <x:c r="E19" s="130" t="str">
        <x:v>***-**-0116</x:v>
      </x:c>
      <x:c r="F19" s="130" t="str">
        <x:v>Chase</x:v>
      </x:c>
      <x:c r="G19" s="130" t="n">
        <x:v>000000111</x:v>
      </x:c>
      <x:c r="H19" s="130" t="n">
        <x:v>999900211</x:v>
      </x:c>
      <x:c r="I19" s="130" t="str">
        <x:v>Driver Application</x:v>
      </x:c>
      <x:c r="J19" s="130" t="str">
        <x:v>VALID</x:v>
      </x:c>
      <x:c r="K19" s="130" t="str">
        <x:v>GA0000005</x:v>
      </x:c>
      <x:c r="L19" s="180" t="n">
        <x:v>46420</x:v>
      </x:c>
      <x:c r="M19" s="180" t="n">
        <x:v>46659</x:v>
      </x:c>
      <x:c r="N19" s="180" t="n">
        <x:v>46449</x:v>
      </x:c>
      <x:c r="O19" s="130"/>
      <x:c r="P19" s="130" t="str">
        <x:v>Brown</x:v>
      </x:c>
      <x:c r="Q19" s="130" t="str">
        <x:v>Blue</x:v>
      </x:c>
      <x:c r="R19" s="130" t="str">
        <x:v>6'-2"</x:v>
      </x:c>
      <x:c r="S19" s="130" t="n">
        <x:v>214</x:v>
      </x:c>
      <x:c r="T19" s="130" t="str">
        <x:v>M</x:v>
      </x:c>
      <x:c r="U19" s="130" t="n">
        <x:v>25934</x:v>
      </x:c>
      <x:c r="V19" s="130" t="str">
        <x:v>DRV-003.png</x:v>
      </x:c>
      <x:c r="W19" s="130" t="str">
        <x:v>Asian</x:v>
      </x:c>
      <x:c r="X19" s="130" t="str">
        <x:v>alexkim@example.com</x:v>
      </x:c>
      <x:c r="Y19" s="130" t="str">
        <x:v>960 Demo Street</x:v>
      </x:c>
      <x:c r="Z19" s="130" t="str">
        <x:v>Atlanta</x:v>
      </x:c>
      <x:c r="AA19" s="130" t="str">
        <x:v>GA</x:v>
      </x:c>
      <x:c r="AB19" s="130" t="n">
        <x:v>30308</x:v>
      </x:c>
      <x:c r="AC19" s="130" t="str">
        <x:v>GA</x:v>
      </x:c>
      <x:c r="AD19" s="130" t="str">
        <x:v>Class A</x:v>
      </x:c>
      <x:c r="AE19" s="180" t="n">
        <x:v>44598</x:v>
      </x:c>
      <x:c r="AF19" s="130" t="str">
        <x:v>H,N</x:v>
      </x:c>
      <x:c r="AG19" s="130"/>
      <x:c r="AH19" s="180" t="n">
        <x:v>45929</x:v>
      </x:c>
      <x:c r="AI19" s="130" t="str">
        <x:v>MC-0030104</x:v>
      </x:c>
      <x:c r="AJ19" s="130" t="str">
        <x:v>Dr. Lisa Bennett</x:v>
      </x:c>
      <x:c r="AK19" s="130" t="str">
        <x:v>ME100003</x:v>
      </x:c>
      <x:c r="AL19" s="130"/>
      <x:c r="AM19" s="130" t="str">
        <x:v>Qualified</x:v>
      </x:c>
      <x:c r="AN19" s="180" t="n">
        <x:v>46419</x:v>
      </x:c>
      <x:c r="AO19" s="130" t="n">
        <x:v>0</x:v>
      </x:c>
      <x:c r="AP19" s="130" t="n">
        <x:v>0</x:v>
      </x:c>
      <x:c r="AQ19" s="130"/>
      <x:c r="AR19" s="130" t="str">
        <x:v>Clear</x:v>
      </x:c>
      <x:c r="AS19" s="180" t="n">
        <x:v>45488</x:v>
      </x:c>
      <x:c r="AT19" s="130" t="str">
        <x:v>Authorized to Work</x:v>
      </x:c>
      <x:c r="AU19" s="130" t="str">
        <x:v>U.S. Passport</x:v>
      </x:c>
      <x:c r="AV19" s="130"/>
      <x:c r="AW19" s="130"/>
      <x:c r="AX19" s="180" t="n">
        <x:v>45488</x:v>
      </x:c>
      <x:c r="AY19" s="130" t="str">
        <x:v>BOF Onboarding Team</x:v>
      </x:c>
      <x:c r="AZ19" s="130" t="str">
        <x:v>Complete</x:v>
      </x:c>
      <x:c r="BA19" s="130"/>
      <x:c r="BB19" s="130" t="str">
        <x:v>Individual/Sole Proprietor</x:v>
      </x:c>
      <x:c r="BC19" s="130" t="str">
        <x:v>SSN</x:v>
      </x:c>
      <x:c r="BD19" s="130" t="str">
        <x:v>***-**-0116</x:v>
      </x:c>
      <x:c r="BE19" s="130"/>
      <x:c r="BF19" s="180" t="n">
        <x:v>45488</x:v>
      </x:c>
      <x:c r="BG19" s="130" t="str">
        <x:v>Received</x:v>
      </x:c>
      <x:c r="BH19" s="130" t="str">
        <x:v>Checking</x:v>
      </x:c>
      <x:c r="BI19" s="130" t="str">
        <x:v>Direct Deposit</x:v>
      </x:c>
      <x:c r="BJ19" s="180" t="n">
        <x:v>45488</x:v>
      </x:c>
      <x:c r="BK19" s="130" t="str">
        <x:v>Verified</x:v>
      </x:c>
      <x:c r="BL19" s="180" t="n">
        <x:v>45481</x:v>
      </x:c>
      <x:c r="BM19" s="130" t="str">
        <x:v>M. Chen</x:v>
      </x:c>
      <x:c r="BN19" s="130" t="str">
        <x:v>Sleeper tractor</x:v>
      </x:c>
      <x:c r="BO19" s="130" t="str">
        <x:v>Tanker</x:v>
      </x:c>
      <x:c r="BP19" s="130" t="str">
        <x:v>Atlanta, GA</x:v>
      </x:c>
      <x:c r="BQ19" s="130" t="n">
        <x:v>5</x:v>
      </x:c>
      <x:c r="BR19" s="130" t="n">
        <x:v>5</x:v>
      </x:c>
      <x:c r="BS19" s="130" t="n">
        <x:v>5</x:v>
      </x:c>
      <x:c r="BT19" s="130" t="n">
        <x:v>5</x:v>
      </x:c>
      <x:c r="BU19" s="130" t="n">
        <x:v>4</x:v>
      </x:c>
      <x:c r="BV19" s="130" t="n">
        <x:v>5</x:v>
      </x:c>
      <x:c r="BW19" s="130" t="n">
        <x:v>5</x:v>
      </x:c>
      <x:c r="BX19" s="130" t="n">
        <x:v>5</x:v>
      </x:c>
      <x:c r="BY19" s="130" t="n">
        <x:v>5</x:v>
      </x:c>
      <x:c r="BZ19" s="130" t="str">
        <x:v>Pass</x:v>
      </x:c>
      <x:c r="CA19" s="130" t="str">
        <x:v>HazMat loads only after refresher every 12 months</x:v>
      </x:c>
      <x:c r="CB19" s="130" t="str">
        <x:v>Passed</x:v>
      </x:c>
      <x:c r="CC19" s="130" t="str">
        <x:v>Enrolled</x:v>
      </x:c>
      <x:c r="CD19" s="130" t="str">
        <x:v>Query Completed</x:v>
      </x:c>
      <x:c r="CE19" s="180" t="n">
        <x:v>46037</x:v>
      </x:c>
      <x:c r="CF19" s="180" t="n">
        <x:v>46218</x:v>
      </x:c>
      <x:c r="CG19" s="130"/>
      <x:c r="CH19" s="130" t="str">
        <x:v>Compliant</x:v>
      </x:c>
      <x:c r="CI19" s="130"/>
      <x:c r="CJ19" s="130" t="str">
        <x:v>Alex</x:v>
      </x:c>
      <x:c r="CK19" s="130" t="str">
        <x:v>Kim</x:v>
      </x:c>
      <x:c r="CL19" s="130" t="str">
        <x:v>GA0000016</x:v>
      </x:c>
      <x:c r="CM19" s="130" t="str">
        <x:v>GA</x:v>
      </x:c>
      <x:c r="CN19" s="130" t="str">
        <x:v>CDL Holder</x:v>
      </x:c>
      <x:c r="CO19" s="130" t="str">
        <x:v>Alex Kim</x:v>
      </x:c>
      <x:c r="CP19" s="180" t="n">
        <x:v>45929</x:v>
      </x:c>
      <x:c r="CQ19" s="180" t="n">
        <x:v>46659</x:v>
      </x:c>
      <x:c r="CR19" s="130" t="str">
        <x:v>(404) 555-0107</x:v>
      </x:c>
      <x:c r="CS19" s="130" t="str">
        <x:v>Dr. Lisa Bennett</x:v>
      </x:c>
      <x:c r="CT19" s="180" t="n">
        <x:v>45929</x:v>
      </x:c>
      <x:c r="CU19" s="130" t="str">
        <x:v>GA-ME-142937</x:v>
      </x:c>
      <x:c r="CV19" s="130" t="str">
        <x:v>ME100003</x:v>
      </x:c>
      <x:c r="CW19" s="130" t="str">
        <x:v>Advanced Practice Nurse</x:v>
      </x:c>
      <x:c r="CX19" s="130" t="str">
        <x:v>GA</x:v>
      </x:c>
      <x:c r="CY19" s="130" t="str">
        <x:v>Federal Motor Carrier Safety Regulations</x:v>
      </x:c>
      <x:c r="CZ19" s="130"/>
      <x:c r="DA19" s="130" t="str">
        <x:v>No</x:v>
      </x:c>
      <x:c r="DB19" s="130" t="str">
        <x:v>No</x:v>
      </x:c>
      <x:c r="DC19" s="130" t="str">
        <x:v>No</x:v>
      </x:c>
      <x:c r="DD19" s="130" t="str">
        <x:v>No</x:v>
      </x:c>
      <x:c r="DE19" s="130" t="str">
        <x:v>No</x:v>
      </x:c>
      <x:c r="DF19" s="130" t="str">
        <x:v>No</x:v>
      </x:c>
      <x:c r="DG19" s="130" t="str">
        <x:v>Jane Doe</x:v>
      </x:c>
      <x:c r="DH19" s="130" t="str">
        <x:v>Sister</x:v>
      </x:c>
      <x:c r="DI19" s="130" t="str">
        <x:v>555-555-5555</x:v>
      </x:c>
      <x:c r="DJ19" s="130" t="str">
        <x:v>No</x:v>
      </x:c>
      <x:c r="DK19" s="130" t="str">
        <x:v>No</x:v>
      </x:c>
      <x:c r="DL19" s="130" t="str">
        <x:v>No</x:v>
      </x:c>
      <x:c r="DM19" s="130" t="str">
        <x:v>No</x:v>
      </x:c>
      <x:c r="DN19" s="130" t="str">
        <x:v>Yes - Appendectomy (2005)</x:v>
      </x:c>
      <x:c r="DO19" s="130" t="str">
        <x:v>20/20</x:v>
      </x:c>
      <x:c r="DP19" s="130" t="str">
        <x:v>20/20</x:v>
      </x:c>
      <x:c r="DQ19" s="130" t="str">
        <x:v>Pass</x:v>
      </x:c>
      <x:c r="DR19" s="130" t="str">
        <x:v>118</x:v>
      </x:c>
      <x:c r="DS19" s="130" t="str">
        <x:v>78</x:v>
      </x:c>
      <x:c r="DT19" s="130" t="str">
        <x:v>72</x:v>
      </x:c>
      <x:c r="DU19" s="130" t="str">
        <x:v>Normal</x:v>
      </x:c>
      <x:c r="DV19" s="180" t="n">
        <x:v>45392</x:v>
      </x:c>
      <x:c r="DW19" s="180" t="n">
        <x:v>45394</x:v>
      </x:c>
      <x:c r="DX19" s="130" t="str">
        <x:v>Negative</x:v>
      </x:c>
      <x:c r="DY19" s="180" t="n">
        <x:v>45397</x:v>
      </x:c>
      <x:c r="DZ19" s="130" t="str">
        <x:v>BOF Fleet Safety &amp; Compliance Policy 2024</x:v>
      </x:c>
      <x:c r="EA19" s="130" t="str">
        <x:v>Complete</x:v>
      </x:c>
      <x:c r="EB19" s="180" t="n">
        <x:v>45413</x:v>
      </x:c>
    </x:row>
    <x:row r="20">
      <x:c r="A20" s="130" t="str">
        <x:v>DRV-003</x:v>
      </x:c>
      <x:c r="B20" s="130" t="str">
        <x:v>Alex Kim</x:v>
      </x:c>
      <x:c r="C20" s="130" t="str">
        <x:v>960 Demo Street, Atlanta, GA 30308</x:v>
      </x:c>
      <x:c r="D20" s="130" t="str">
        <x:v>675-555-0100</x:v>
      </x:c>
      <x:c r="E20" s="130" t="str">
        <x:v>***-**-0116</x:v>
      </x:c>
      <x:c r="F20" s="130" t="str">
        <x:v>Chase</x:v>
      </x:c>
      <x:c r="G20" s="130" t="n">
        <x:v>000000111</x:v>
      </x:c>
      <x:c r="H20" s="130" t="n">
        <x:v>999900211</x:v>
      </x:c>
      <x:c r="I20" s="130" t="str">
        <x:v>Road Test Certificate</x:v>
      </x:c>
      <x:c r="J20" s="130" t="str">
        <x:v>VALID</x:v>
      </x:c>
      <x:c r="K20" s="130" t="str">
        <x:v>GA0000004</x:v>
      </x:c>
      <x:c r="L20" s="180" t="n">
        <x:v>46420</x:v>
      </x:c>
      <x:c r="M20" s="180" t="n">
        <x:v>46659</x:v>
      </x:c>
      <x:c r="N20" s="180" t="n">
        <x:v>46449</x:v>
      </x:c>
      <x:c r="O20" s="130"/>
      <x:c r="P20" s="130" t="str">
        <x:v>Brown</x:v>
      </x:c>
      <x:c r="Q20" s="130" t="str">
        <x:v>Blue</x:v>
      </x:c>
      <x:c r="R20" s="130" t="str">
        <x:v>6'-2"</x:v>
      </x:c>
      <x:c r="S20" s="130" t="n">
        <x:v>214</x:v>
      </x:c>
      <x:c r="T20" s="130" t="str">
        <x:v>M</x:v>
      </x:c>
      <x:c r="U20" s="130" t="n">
        <x:v>25934</x:v>
      </x:c>
      <x:c r="V20" s="130" t="str">
        <x:v>DRV-003.png</x:v>
      </x:c>
      <x:c r="W20" s="130" t="str">
        <x:v>Asian</x:v>
      </x:c>
      <x:c r="X20" s="130" t="str">
        <x:v>alexkim@example.com</x:v>
      </x:c>
      <x:c r="Y20" s="130" t="str">
        <x:v>960 Demo Street</x:v>
      </x:c>
      <x:c r="Z20" s="130" t="str">
        <x:v>Atlanta</x:v>
      </x:c>
      <x:c r="AA20" s="130" t="str">
        <x:v>GA</x:v>
      </x:c>
      <x:c r="AB20" s="130" t="n">
        <x:v>30308</x:v>
      </x:c>
      <x:c r="AC20" s="130" t="str">
        <x:v>GA</x:v>
      </x:c>
      <x:c r="AD20" s="130" t="str">
        <x:v>Class A</x:v>
      </x:c>
      <x:c r="AE20" s="180" t="n">
        <x:v>44598</x:v>
      </x:c>
      <x:c r="AF20" s="130" t="str">
        <x:v>H,N</x:v>
      </x:c>
      <x:c r="AG20" s="130"/>
      <x:c r="AH20" s="180" t="n">
        <x:v>45929</x:v>
      </x:c>
      <x:c r="AI20" s="130" t="str">
        <x:v>MC-0030104</x:v>
      </x:c>
      <x:c r="AJ20" s="130" t="str">
        <x:v>Dr. Lisa Bennett</x:v>
      </x:c>
      <x:c r="AK20" s="130" t="str">
        <x:v>ME100003</x:v>
      </x:c>
      <x:c r="AL20" s="130"/>
      <x:c r="AM20" s="130" t="str">
        <x:v>Qualified</x:v>
      </x:c>
      <x:c r="AN20" s="180" t="n">
        <x:v>46419</x:v>
      </x:c>
      <x:c r="AO20" s="130" t="n">
        <x:v>0</x:v>
      </x:c>
      <x:c r="AP20" s="130" t="n">
        <x:v>0</x:v>
      </x:c>
      <x:c r="AQ20" s="130"/>
      <x:c r="AR20" s="130" t="str">
        <x:v>Clear</x:v>
      </x:c>
      <x:c r="AS20" s="180" t="n">
        <x:v>45488</x:v>
      </x:c>
      <x:c r="AT20" s="130" t="str">
        <x:v>Authorized to Work</x:v>
      </x:c>
      <x:c r="AU20" s="130" t="str">
        <x:v>U.S. Passport</x:v>
      </x:c>
      <x:c r="AV20" s="130"/>
      <x:c r="AW20" s="130"/>
      <x:c r="AX20" s="180" t="n">
        <x:v>45488</x:v>
      </x:c>
      <x:c r="AY20" s="130" t="str">
        <x:v>BOF Onboarding Team</x:v>
      </x:c>
      <x:c r="AZ20" s="130" t="str">
        <x:v>Complete</x:v>
      </x:c>
      <x:c r="BA20" s="130"/>
      <x:c r="BB20" s="130" t="str">
        <x:v>Individual/Sole Proprietor</x:v>
      </x:c>
      <x:c r="BC20" s="130" t="str">
        <x:v>SSN</x:v>
      </x:c>
      <x:c r="BD20" s="130" t="str">
        <x:v>***-**-0116</x:v>
      </x:c>
      <x:c r="BE20" s="130"/>
      <x:c r="BF20" s="180" t="n">
        <x:v>45488</x:v>
      </x:c>
      <x:c r="BG20" s="130" t="str">
        <x:v>Received</x:v>
      </x:c>
      <x:c r="BH20" s="130" t="str">
        <x:v>Checking</x:v>
      </x:c>
      <x:c r="BI20" s="130" t="str">
        <x:v>Direct Deposit</x:v>
      </x:c>
      <x:c r="BJ20" s="180" t="n">
        <x:v>45488</x:v>
      </x:c>
      <x:c r="BK20" s="130" t="str">
        <x:v>Verified</x:v>
      </x:c>
      <x:c r="BL20" s="180" t="n">
        <x:v>45481</x:v>
      </x:c>
      <x:c r="BM20" s="130" t="str">
        <x:v>M. Chen</x:v>
      </x:c>
      <x:c r="BN20" s="130" t="str">
        <x:v>Sleeper tractor</x:v>
      </x:c>
      <x:c r="BO20" s="130" t="str">
        <x:v>Tanker</x:v>
      </x:c>
      <x:c r="BP20" s="130" t="str">
        <x:v>Atlanta, GA</x:v>
      </x:c>
      <x:c r="BQ20" s="130" t="n">
        <x:v>5</x:v>
      </x:c>
      <x:c r="BR20" s="130" t="n">
        <x:v>5</x:v>
      </x:c>
      <x:c r="BS20" s="130" t="n">
        <x:v>5</x:v>
      </x:c>
      <x:c r="BT20" s="130" t="n">
        <x:v>5</x:v>
      </x:c>
      <x:c r="BU20" s="130" t="n">
        <x:v>4</x:v>
      </x:c>
      <x:c r="BV20" s="130" t="n">
        <x:v>5</x:v>
      </x:c>
      <x:c r="BW20" s="130" t="n">
        <x:v>5</x:v>
      </x:c>
      <x:c r="BX20" s="130" t="n">
        <x:v>5</x:v>
      </x:c>
      <x:c r="BY20" s="130" t="n">
        <x:v>5</x:v>
      </x:c>
      <x:c r="BZ20" s="130" t="str">
        <x:v>Pass</x:v>
      </x:c>
      <x:c r="CA20" s="130" t="str">
        <x:v>HazMat loads only after refresher every 12 months</x:v>
      </x:c>
      <x:c r="CB20" s="130" t="str">
        <x:v>Passed</x:v>
      </x:c>
      <x:c r="CC20" s="130" t="str">
        <x:v>Enrolled</x:v>
      </x:c>
      <x:c r="CD20" s="130" t="str">
        <x:v>Query Completed</x:v>
      </x:c>
      <x:c r="CE20" s="180" t="n">
        <x:v>46037</x:v>
      </x:c>
      <x:c r="CF20" s="180" t="n">
        <x:v>46218</x:v>
      </x:c>
      <x:c r="CG20" s="130"/>
      <x:c r="CH20" s="130" t="str">
        <x:v>Compliant</x:v>
      </x:c>
      <x:c r="CI20" s="130"/>
      <x:c r="CJ20" s="130" t="str">
        <x:v>Alex</x:v>
      </x:c>
      <x:c r="CK20" s="130" t="str">
        <x:v>Kim</x:v>
      </x:c>
      <x:c r="CL20" s="130" t="str">
        <x:v>GA0000017</x:v>
      </x:c>
      <x:c r="CM20" s="130" t="str">
        <x:v>GA</x:v>
      </x:c>
      <x:c r="CN20" s="130" t="str">
        <x:v>CDL Holder</x:v>
      </x:c>
      <x:c r="CO20" s="130" t="str">
        <x:v>Alex Kim</x:v>
      </x:c>
      <x:c r="CP20" s="180" t="n">
        <x:v>45929</x:v>
      </x:c>
      <x:c r="CQ20" s="180" t="n">
        <x:v>46659</x:v>
      </x:c>
      <x:c r="CR20" s="130" t="str">
        <x:v>(404) 555-0107</x:v>
      </x:c>
      <x:c r="CS20" s="130" t="str">
        <x:v>Dr. Lisa Bennett</x:v>
      </x:c>
      <x:c r="CT20" s="180" t="n">
        <x:v>45929</x:v>
      </x:c>
      <x:c r="CU20" s="130" t="str">
        <x:v>GA-ME-142937</x:v>
      </x:c>
      <x:c r="CV20" s="130" t="str">
        <x:v>ME100003</x:v>
      </x:c>
      <x:c r="CW20" s="130" t="str">
        <x:v>Advanced Practice Nurse</x:v>
      </x:c>
      <x:c r="CX20" s="130" t="str">
        <x:v>GA</x:v>
      </x:c>
      <x:c r="CY20" s="130" t="str">
        <x:v>Federal Motor Carrier Safety Regulations</x:v>
      </x:c>
      <x:c r="CZ20" s="130"/>
      <x:c r="DA20" s="130" t="str">
        <x:v>No</x:v>
      </x:c>
      <x:c r="DB20" s="130" t="str">
        <x:v>No</x:v>
      </x:c>
      <x:c r="DC20" s="130" t="str">
        <x:v>No</x:v>
      </x:c>
      <x:c r="DD20" s="130" t="str">
        <x:v>No</x:v>
      </x:c>
      <x:c r="DE20" s="130" t="str">
        <x:v>No</x:v>
      </x:c>
      <x:c r="DF20" s="130" t="str">
        <x:v>No</x:v>
      </x:c>
      <x:c r="DG20" s="130" t="str">
        <x:v>Jane Doe</x:v>
      </x:c>
      <x:c r="DH20" s="130" t="str">
        <x:v>Sister</x:v>
      </x:c>
      <x:c r="DI20" s="130" t="str">
        <x:v>555-555-5555</x:v>
      </x:c>
      <x:c r="DJ20" s="130" t="str">
        <x:v>No</x:v>
      </x:c>
      <x:c r="DK20" s="130" t="str">
        <x:v>No</x:v>
      </x:c>
      <x:c r="DL20" s="130" t="str">
        <x:v>No</x:v>
      </x:c>
      <x:c r="DM20" s="130" t="str">
        <x:v>No</x:v>
      </x:c>
      <x:c r="DN20" s="130" t="str">
        <x:v>Yes - Appendectomy (2005)</x:v>
      </x:c>
      <x:c r="DO20" s="130" t="str">
        <x:v>20/20</x:v>
      </x:c>
      <x:c r="DP20" s="130" t="str">
        <x:v>20/20</x:v>
      </x:c>
      <x:c r="DQ20" s="130" t="str">
        <x:v>Pass</x:v>
      </x:c>
      <x:c r="DR20" s="130" t="str">
        <x:v>118</x:v>
      </x:c>
      <x:c r="DS20" s="130" t="str">
        <x:v>78</x:v>
      </x:c>
      <x:c r="DT20" s="130" t="str">
        <x:v>72</x:v>
      </x:c>
      <x:c r="DU20" s="130" t="str">
        <x:v>Normal</x:v>
      </x:c>
      <x:c r="DV20" s="180" t="n">
        <x:v>45392</x:v>
      </x:c>
      <x:c r="DW20" s="180" t="n">
        <x:v>45394</x:v>
      </x:c>
      <x:c r="DX20" s="130" t="str">
        <x:v>Negative</x:v>
      </x:c>
      <x:c r="DY20" s="180" t="n">
        <x:v>45397</x:v>
      </x:c>
      <x:c r="DZ20" s="130" t="str">
        <x:v>BOF Fleet Safety &amp; Compliance Policy 2024</x:v>
      </x:c>
      <x:c r="EA20" s="130" t="str">
        <x:v>Complete</x:v>
      </x:c>
      <x:c r="EB20" s="180" t="n">
        <x:v>45413</x:v>
      </x:c>
    </x:row>
    <x:row r="21">
      <x:c r="A21" s="130" t="str">
        <x:v>DRV-003</x:v>
      </x:c>
      <x:c r="B21" s="130" t="str">
        <x:v>Alex Kim</x:v>
      </x:c>
      <x:c r="C21" s="130" t="str">
        <x:v>960 Demo Street, Atlanta, GA 30308</x:v>
      </x:c>
      <x:c r="D21" s="130" t="str">
        <x:v>675-555-0100</x:v>
      </x:c>
      <x:c r="E21" s="130" t="str">
        <x:v>***-**-0116</x:v>
      </x:c>
      <x:c r="F21" s="130" t="str">
        <x:v>Chase</x:v>
      </x:c>
      <x:c r="G21" s="130" t="n">
        <x:v>000000111</x:v>
      </x:c>
      <x:c r="H21" s="130" t="n">
        <x:v>999900211</x:v>
      </x:c>
      <x:c r="I21" s="130" t="str">
        <x:v>Incident/Accident Report</x:v>
      </x:c>
      <x:c r="J21" s="130" t="str">
        <x:v>VALID</x:v>
      </x:c>
      <x:c r="K21" s="130" t="str">
        <x:v>GA0000027</x:v>
      </x:c>
      <x:c r="L21" s="180" t="n">
        <x:v>46420</x:v>
      </x:c>
      <x:c r="M21" s="180" t="n">
        <x:v>46659</x:v>
      </x:c>
      <x:c r="N21" s="180" t="n">
        <x:v>46449</x:v>
      </x:c>
      <x:c r="O21" s="130" t="str">
        <x:v>No major incidents recorded in last 90 days.</x:v>
      </x:c>
      <x:c r="P21" s="130" t="str">
        <x:v>Brown</x:v>
      </x:c>
      <x:c r="Q21" s="130" t="str">
        <x:v>Blue</x:v>
      </x:c>
      <x:c r="R21" s="130" t="str">
        <x:v>6'-2"</x:v>
      </x:c>
      <x:c r="S21" s="130" t="n">
        <x:v>214</x:v>
      </x:c>
      <x:c r="T21" s="130" t="str">
        <x:v>M</x:v>
      </x:c>
      <x:c r="U21" s="130" t="n">
        <x:v>25934</x:v>
      </x:c>
      <x:c r="V21" s="130" t="str">
        <x:v>DRV-003.png</x:v>
      </x:c>
      <x:c r="W21" s="130" t="str">
        <x:v>Asian</x:v>
      </x:c>
      <x:c r="X21" s="130" t="str">
        <x:v>alexkim@example.com</x:v>
      </x:c>
      <x:c r="Y21" s="130" t="str">
        <x:v>960 Demo Street</x:v>
      </x:c>
      <x:c r="Z21" s="130" t="str">
        <x:v>Atlanta</x:v>
      </x:c>
      <x:c r="AA21" s="130" t="str">
        <x:v>GA</x:v>
      </x:c>
      <x:c r="AB21" s="130" t="n">
        <x:v>30308</x:v>
      </x:c>
      <x:c r="AC21" s="130" t="str">
        <x:v>GA</x:v>
      </x:c>
      <x:c r="AD21" s="130" t="str">
        <x:v>Class A</x:v>
      </x:c>
      <x:c r="AE21" s="180" t="n">
        <x:v>44598</x:v>
      </x:c>
      <x:c r="AF21" s="130" t="str">
        <x:v>H,N</x:v>
      </x:c>
      <x:c r="AG21" s="130"/>
      <x:c r="AH21" s="180" t="n">
        <x:v>45929</x:v>
      </x:c>
      <x:c r="AI21" s="130" t="str">
        <x:v>MC-0030104</x:v>
      </x:c>
      <x:c r="AJ21" s="130" t="str">
        <x:v>Dr. Lisa Bennett</x:v>
      </x:c>
      <x:c r="AK21" s="130" t="str">
        <x:v>ME100003</x:v>
      </x:c>
      <x:c r="AL21" s="130"/>
      <x:c r="AM21" s="130" t="str">
        <x:v>Qualified</x:v>
      </x:c>
      <x:c r="AN21" s="180" t="n">
        <x:v>46419</x:v>
      </x:c>
      <x:c r="AO21" s="130" t="n">
        <x:v>0</x:v>
      </x:c>
      <x:c r="AP21" s="130" t="n">
        <x:v>0</x:v>
      </x:c>
      <x:c r="AQ21" s="130"/>
      <x:c r="AR21" s="130" t="str">
        <x:v>Clear</x:v>
      </x:c>
      <x:c r="AS21" s="180" t="n">
        <x:v>45488</x:v>
      </x:c>
      <x:c r="AT21" s="130" t="str">
        <x:v>Authorized to Work</x:v>
      </x:c>
      <x:c r="AU21" s="130" t="str">
        <x:v>U.S. Passport</x:v>
      </x:c>
      <x:c r="AV21" s="130"/>
      <x:c r="AW21" s="130"/>
      <x:c r="AX21" s="180" t="n">
        <x:v>45488</x:v>
      </x:c>
      <x:c r="AY21" s="130" t="str">
        <x:v>BOF Onboarding Team</x:v>
      </x:c>
      <x:c r="AZ21" s="130" t="str">
        <x:v>Complete</x:v>
      </x:c>
      <x:c r="BA21" s="130"/>
      <x:c r="BB21" s="130" t="str">
        <x:v>Individual/Sole Proprietor</x:v>
      </x:c>
      <x:c r="BC21" s="130" t="str">
        <x:v>SSN</x:v>
      </x:c>
      <x:c r="BD21" s="130" t="str">
        <x:v>***-**-0116</x:v>
      </x:c>
      <x:c r="BE21" s="130"/>
      <x:c r="BF21" s="180" t="n">
        <x:v>45488</x:v>
      </x:c>
      <x:c r="BG21" s="130" t="str">
        <x:v>Received</x:v>
      </x:c>
      <x:c r="BH21" s="130" t="str">
        <x:v>Checking</x:v>
      </x:c>
      <x:c r="BI21" s="130" t="str">
        <x:v>Direct Deposit</x:v>
      </x:c>
      <x:c r="BJ21" s="180" t="n">
        <x:v>45488</x:v>
      </x:c>
      <x:c r="BK21" s="130" t="str">
        <x:v>Verified</x:v>
      </x:c>
      <x:c r="BL21" s="180" t="n">
        <x:v>45481</x:v>
      </x:c>
      <x:c r="BM21" s="130" t="str">
        <x:v>M. Chen</x:v>
      </x:c>
      <x:c r="BN21" s="130" t="str">
        <x:v>Sleeper tractor</x:v>
      </x:c>
      <x:c r="BO21" s="130" t="str">
        <x:v>Tanker</x:v>
      </x:c>
      <x:c r="BP21" s="130" t="str">
        <x:v>Atlanta, GA</x:v>
      </x:c>
      <x:c r="BQ21" s="130" t="n">
        <x:v>5</x:v>
      </x:c>
      <x:c r="BR21" s="130" t="n">
        <x:v>5</x:v>
      </x:c>
      <x:c r="BS21" s="130" t="n">
        <x:v>5</x:v>
      </x:c>
      <x:c r="BT21" s="130" t="n">
        <x:v>5</x:v>
      </x:c>
      <x:c r="BU21" s="130" t="n">
        <x:v>4</x:v>
      </x:c>
      <x:c r="BV21" s="130" t="n">
        <x:v>5</x:v>
      </x:c>
      <x:c r="BW21" s="130" t="n">
        <x:v>5</x:v>
      </x:c>
      <x:c r="BX21" s="130" t="n">
        <x:v>5</x:v>
      </x:c>
      <x:c r="BY21" s="130" t="n">
        <x:v>5</x:v>
      </x:c>
      <x:c r="BZ21" s="130" t="str">
        <x:v>Pass</x:v>
      </x:c>
      <x:c r="CA21" s="130" t="str">
        <x:v>HazMat loads only after refresher every 12 months</x:v>
      </x:c>
      <x:c r="CB21" s="130" t="str">
        <x:v>Passed</x:v>
      </x:c>
      <x:c r="CC21" s="130" t="str">
        <x:v>Enrolled</x:v>
      </x:c>
      <x:c r="CD21" s="130" t="str">
        <x:v>Query Completed</x:v>
      </x:c>
      <x:c r="CE21" s="180" t="n">
        <x:v>46037</x:v>
      </x:c>
      <x:c r="CF21" s="180" t="n">
        <x:v>46218</x:v>
      </x:c>
      <x:c r="CG21" s="130"/>
      <x:c r="CH21" s="130" t="str">
        <x:v>Compliant</x:v>
      </x:c>
      <x:c r="CI21" s="130"/>
      <x:c r="CJ21" s="130" t="str">
        <x:v>Alex</x:v>
      </x:c>
      <x:c r="CK21" s="130" t="str">
        <x:v>Kim</x:v>
      </x:c>
      <x:c r="CL21" s="130" t="str">
        <x:v>GA0000018</x:v>
      </x:c>
      <x:c r="CM21" s="130" t="str">
        <x:v>GA</x:v>
      </x:c>
      <x:c r="CN21" s="130" t="str">
        <x:v>CDL Holder</x:v>
      </x:c>
      <x:c r="CO21" s="130" t="str">
        <x:v>Alex Kim</x:v>
      </x:c>
      <x:c r="CP21" s="180" t="n">
        <x:v>45929</x:v>
      </x:c>
      <x:c r="CQ21" s="180" t="n">
        <x:v>46659</x:v>
      </x:c>
      <x:c r="CR21" s="130" t="str">
        <x:v>(404) 555-0107</x:v>
      </x:c>
      <x:c r="CS21" s="130" t="str">
        <x:v>Dr. Lisa Bennett</x:v>
      </x:c>
      <x:c r="CT21" s="180" t="n">
        <x:v>45929</x:v>
      </x:c>
      <x:c r="CU21" s="130" t="str">
        <x:v>GA-ME-142937</x:v>
      </x:c>
      <x:c r="CV21" s="130" t="str">
        <x:v>ME100003</x:v>
      </x:c>
      <x:c r="CW21" s="130" t="str">
        <x:v>Advanced Practice Nurse</x:v>
      </x:c>
      <x:c r="CX21" s="130" t="str">
        <x:v>GA</x:v>
      </x:c>
      <x:c r="CY21" s="130" t="str">
        <x:v>Federal Motor Carrier Safety Regulations</x:v>
      </x:c>
      <x:c r="CZ21" s="130"/>
      <x:c r="DA21" s="130" t="str">
        <x:v>No</x:v>
      </x:c>
      <x:c r="DB21" s="130" t="str">
        <x:v>No</x:v>
      </x:c>
      <x:c r="DC21" s="130" t="str">
        <x:v>No</x:v>
      </x:c>
      <x:c r="DD21" s="130" t="str">
        <x:v>No</x:v>
      </x:c>
      <x:c r="DE21" s="130" t="str">
        <x:v>No</x:v>
      </x:c>
      <x:c r="DF21" s="130" t="str">
        <x:v>No</x:v>
      </x:c>
      <x:c r="DG21" s="130" t="str">
        <x:v>Jane Doe</x:v>
      </x:c>
      <x:c r="DH21" s="130" t="str">
        <x:v>Sister</x:v>
      </x:c>
      <x:c r="DI21" s="130" t="str">
        <x:v>555-555-5555</x:v>
      </x:c>
      <x:c r="DJ21" s="130" t="str">
        <x:v>No</x:v>
      </x:c>
      <x:c r="DK21" s="130" t="str">
        <x:v>No</x:v>
      </x:c>
      <x:c r="DL21" s="130" t="str">
        <x:v>No</x:v>
      </x:c>
      <x:c r="DM21" s="130" t="str">
        <x:v>No</x:v>
      </x:c>
      <x:c r="DN21" s="130" t="str">
        <x:v>Yes - Appendectomy (2005)</x:v>
      </x:c>
      <x:c r="DO21" s="130" t="str">
        <x:v>20/20</x:v>
      </x:c>
      <x:c r="DP21" s="130" t="str">
        <x:v>20/20</x:v>
      </x:c>
      <x:c r="DQ21" s="130" t="str">
        <x:v>Pass</x:v>
      </x:c>
      <x:c r="DR21" s="130" t="str">
        <x:v>118</x:v>
      </x:c>
      <x:c r="DS21" s="130" t="str">
        <x:v>78</x:v>
      </x:c>
      <x:c r="DT21" s="130" t="str">
        <x:v>72</x:v>
      </x:c>
      <x:c r="DU21" s="130" t="str">
        <x:v>Normal</x:v>
      </x:c>
      <x:c r="DV21" s="180" t="n">
        <x:v>45392</x:v>
      </x:c>
      <x:c r="DW21" s="180" t="n">
        <x:v>45394</x:v>
      </x:c>
      <x:c r="DX21" s="130" t="str">
        <x:v>Negative</x:v>
      </x:c>
      <x:c r="DY21" s="180" t="n">
        <x:v>45397</x:v>
      </x:c>
      <x:c r="DZ21" s="130" t="str">
        <x:v>BOF Fleet Safety &amp; Compliance Policy 2024</x:v>
      </x:c>
      <x:c r="EA21" s="130" t="str">
        <x:v>Complete</x:v>
      </x:c>
      <x:c r="EB21" s="180" t="n">
        <x:v>45413</x:v>
      </x:c>
    </x:row>
    <x:row r="22">
      <x:c r="A22" s="130" t="str">
        <x:v>DRV-003</x:v>
      </x:c>
      <x:c r="B22" s="130" t="str">
        <x:v>Alex Kim</x:v>
      </x:c>
      <x:c r="C22" s="130" t="str">
        <x:v>960 Demo Street, Atlanta, GA 30308</x:v>
      </x:c>
      <x:c r="D22" s="130" t="str">
        <x:v>675-555-0100</x:v>
      </x:c>
      <x:c r="E22" s="130" t="str">
        <x:v>***-**-0116</x:v>
      </x:c>
      <x:c r="F22" s="130" t="str">
        <x:v>Chase</x:v>
      </x:c>
      <x:c r="G22" s="130" t="n">
        <x:v>000000111</x:v>
      </x:c>
      <x:c r="H22" s="130" t="n">
        <x:v>999900211</x:v>
      </x:c>
      <x:c r="I22" s="130" t="str">
        <x:v>Direct Deposit Form</x:v>
      </x:c>
      <x:c r="J22" s="130" t="str">
        <x:v>VALID</x:v>
      </x:c>
      <x:c r="K22" s="130" t="str">
        <x:v>GA0000002</x:v>
      </x:c>
      <x:c r="L22" s="180" t="n">
        <x:v>46420</x:v>
      </x:c>
      <x:c r="M22" s="180" t="n">
        <x:v>46659</x:v>
      </x:c>
      <x:c r="N22" s="180" t="n">
        <x:v>46449</x:v>
      </x:c>
      <x:c r="O22" s="130"/>
      <x:c r="P22" s="130" t="str">
        <x:v>Brown</x:v>
      </x:c>
      <x:c r="Q22" s="130" t="str">
        <x:v>Blue</x:v>
      </x:c>
      <x:c r="R22" s="130" t="str">
        <x:v>6'-2"</x:v>
      </x:c>
      <x:c r="S22" s="130" t="n">
        <x:v>214</x:v>
      </x:c>
      <x:c r="T22" s="130" t="str">
        <x:v>M</x:v>
      </x:c>
      <x:c r="U22" s="130" t="n">
        <x:v>25934</x:v>
      </x:c>
      <x:c r="V22" s="130" t="str">
        <x:v>DRV-003.png</x:v>
      </x:c>
      <x:c r="W22" s="130" t="str">
        <x:v>Asian</x:v>
      </x:c>
      <x:c r="X22" s="130" t="str">
        <x:v>alexkim@example.com</x:v>
      </x:c>
      <x:c r="Y22" s="130" t="str">
        <x:v>960 Demo Street</x:v>
      </x:c>
      <x:c r="Z22" s="130" t="str">
        <x:v>Atlanta</x:v>
      </x:c>
      <x:c r="AA22" s="130" t="str">
        <x:v>GA</x:v>
      </x:c>
      <x:c r="AB22" s="130" t="n">
        <x:v>30308</x:v>
      </x:c>
      <x:c r="AC22" s="130" t="str">
        <x:v>GA</x:v>
      </x:c>
      <x:c r="AD22" s="130" t="str">
        <x:v>Class A</x:v>
      </x:c>
      <x:c r="AE22" s="180" t="n">
        <x:v>44598</x:v>
      </x:c>
      <x:c r="AF22" s="130" t="str">
        <x:v>H,N</x:v>
      </x:c>
      <x:c r="AG22" s="130"/>
      <x:c r="AH22" s="180" t="n">
        <x:v>45929</x:v>
      </x:c>
      <x:c r="AI22" s="130" t="str">
        <x:v>MC-0030104</x:v>
      </x:c>
      <x:c r="AJ22" s="130" t="str">
        <x:v>Dr. Lisa Bennett</x:v>
      </x:c>
      <x:c r="AK22" s="130" t="str">
        <x:v>ME100003</x:v>
      </x:c>
      <x:c r="AL22" s="130"/>
      <x:c r="AM22" s="130" t="str">
        <x:v>Qualified</x:v>
      </x:c>
      <x:c r="AN22" s="180" t="n">
        <x:v>46419</x:v>
      </x:c>
      <x:c r="AO22" s="130" t="n">
        <x:v>0</x:v>
      </x:c>
      <x:c r="AP22" s="130" t="n">
        <x:v>0</x:v>
      </x:c>
      <x:c r="AQ22" s="130"/>
      <x:c r="AR22" s="130" t="str">
        <x:v>Clear</x:v>
      </x:c>
      <x:c r="AS22" s="180" t="n">
        <x:v>45488</x:v>
      </x:c>
      <x:c r="AT22" s="130" t="str">
        <x:v>Authorized to Work</x:v>
      </x:c>
      <x:c r="AU22" s="130" t="str">
        <x:v>U.S. Passport</x:v>
      </x:c>
      <x:c r="AV22" s="130"/>
      <x:c r="AW22" s="130"/>
      <x:c r="AX22" s="180" t="n">
        <x:v>45488</x:v>
      </x:c>
      <x:c r="AY22" s="130" t="str">
        <x:v>BOF Onboarding Team</x:v>
      </x:c>
      <x:c r="AZ22" s="130" t="str">
        <x:v>Complete</x:v>
      </x:c>
      <x:c r="BA22" s="130"/>
      <x:c r="BB22" s="130" t="str">
        <x:v>Individual/Sole Proprietor</x:v>
      </x:c>
      <x:c r="BC22" s="130" t="str">
        <x:v>SSN</x:v>
      </x:c>
      <x:c r="BD22" s="130" t="str">
        <x:v>***-**-0116</x:v>
      </x:c>
      <x:c r="BE22" s="130"/>
      <x:c r="BF22" s="180" t="n">
        <x:v>45488</x:v>
      </x:c>
      <x:c r="BG22" s="130" t="str">
        <x:v>Received</x:v>
      </x:c>
      <x:c r="BH22" s="130" t="str">
        <x:v>Checking</x:v>
      </x:c>
      <x:c r="BI22" s="130" t="str">
        <x:v>Direct Deposit</x:v>
      </x:c>
      <x:c r="BJ22" s="180" t="n">
        <x:v>45488</x:v>
      </x:c>
      <x:c r="BK22" s="130" t="str">
        <x:v>Verified</x:v>
      </x:c>
      <x:c r="BL22" s="180" t="n">
        <x:v>45481</x:v>
      </x:c>
      <x:c r="BM22" s="130" t="str">
        <x:v>M. Chen</x:v>
      </x:c>
      <x:c r="BN22" s="130" t="str">
        <x:v>Sleeper tractor</x:v>
      </x:c>
      <x:c r="BO22" s="130" t="str">
        <x:v>Tanker</x:v>
      </x:c>
      <x:c r="BP22" s="130" t="str">
        <x:v>Atlanta, GA</x:v>
      </x:c>
      <x:c r="BQ22" s="130" t="n">
        <x:v>5</x:v>
      </x:c>
      <x:c r="BR22" s="130" t="n">
        <x:v>5</x:v>
      </x:c>
      <x:c r="BS22" s="130" t="n">
        <x:v>5</x:v>
      </x:c>
      <x:c r="BT22" s="130" t="n">
        <x:v>5</x:v>
      </x:c>
      <x:c r="BU22" s="130" t="n">
        <x:v>4</x:v>
      </x:c>
      <x:c r="BV22" s="130" t="n">
        <x:v>5</x:v>
      </x:c>
      <x:c r="BW22" s="130" t="n">
        <x:v>5</x:v>
      </x:c>
      <x:c r="BX22" s="130" t="n">
        <x:v>5</x:v>
      </x:c>
      <x:c r="BY22" s="130" t="n">
        <x:v>5</x:v>
      </x:c>
      <x:c r="BZ22" s="130" t="str">
        <x:v>Pass</x:v>
      </x:c>
      <x:c r="CA22" s="130" t="str">
        <x:v>HazMat loads only after refresher every 12 months</x:v>
      </x:c>
      <x:c r="CB22" s="130" t="str">
        <x:v>Passed</x:v>
      </x:c>
      <x:c r="CC22" s="130" t="str">
        <x:v>Enrolled</x:v>
      </x:c>
      <x:c r="CD22" s="130" t="str">
        <x:v>Query Completed</x:v>
      </x:c>
      <x:c r="CE22" s="180" t="n">
        <x:v>46037</x:v>
      </x:c>
      <x:c r="CF22" s="180" t="n">
        <x:v>46218</x:v>
      </x:c>
      <x:c r="CG22" s="130"/>
      <x:c r="CH22" s="130" t="str">
        <x:v>Compliant</x:v>
      </x:c>
      <x:c r="CI22" s="130"/>
      <x:c r="CJ22" s="130" t="str">
        <x:v>Alex</x:v>
      </x:c>
      <x:c r="CK22" s="130" t="str">
        <x:v>Kim</x:v>
      </x:c>
      <x:c r="CL22" s="130" t="str">
        <x:v>GA0000019</x:v>
      </x:c>
      <x:c r="CM22" s="130" t="str">
        <x:v>GA</x:v>
      </x:c>
      <x:c r="CN22" s="130" t="str">
        <x:v>CDL Holder</x:v>
      </x:c>
      <x:c r="CO22" s="130" t="str">
        <x:v>Alex Kim</x:v>
      </x:c>
      <x:c r="CP22" s="180" t="n">
        <x:v>45929</x:v>
      </x:c>
      <x:c r="CQ22" s="180" t="n">
        <x:v>46659</x:v>
      </x:c>
      <x:c r="CR22" s="130" t="str">
        <x:v>(404) 555-0107</x:v>
      </x:c>
      <x:c r="CS22" s="130" t="str">
        <x:v>Dr. Lisa Bennett</x:v>
      </x:c>
      <x:c r="CT22" s="180" t="n">
        <x:v>45929</x:v>
      </x:c>
      <x:c r="CU22" s="130" t="str">
        <x:v>GA-ME-142937</x:v>
      </x:c>
      <x:c r="CV22" s="130" t="str">
        <x:v>ME100003</x:v>
      </x:c>
      <x:c r="CW22" s="130" t="str">
        <x:v>Advanced Practice Nurse</x:v>
      </x:c>
      <x:c r="CX22" s="130" t="str">
        <x:v>GA</x:v>
      </x:c>
      <x:c r="CY22" s="130" t="str">
        <x:v>Federal Motor Carrier Safety Regulations</x:v>
      </x:c>
      <x:c r="CZ22" s="130"/>
      <x:c r="DA22" s="130" t="str">
        <x:v>No</x:v>
      </x:c>
      <x:c r="DB22" s="130" t="str">
        <x:v>No</x:v>
      </x:c>
      <x:c r="DC22" s="130" t="str">
        <x:v>No</x:v>
      </x:c>
      <x:c r="DD22" s="130" t="str">
        <x:v>No</x:v>
      </x:c>
      <x:c r="DE22" s="130" t="str">
        <x:v>No</x:v>
      </x:c>
      <x:c r="DF22" s="130" t="str">
        <x:v>No</x:v>
      </x:c>
      <x:c r="DG22" s="130" t="str">
        <x:v>Jane Doe</x:v>
      </x:c>
      <x:c r="DH22" s="130" t="str">
        <x:v>Sister</x:v>
      </x:c>
      <x:c r="DI22" s="130" t="str">
        <x:v>555-555-5555</x:v>
      </x:c>
      <x:c r="DJ22" s="130" t="str">
        <x:v>No</x:v>
      </x:c>
      <x:c r="DK22" s="130" t="str">
        <x:v>No</x:v>
      </x:c>
      <x:c r="DL22" s="130" t="str">
        <x:v>No</x:v>
      </x:c>
      <x:c r="DM22" s="130" t="str">
        <x:v>No</x:v>
      </x:c>
      <x:c r="DN22" s="130" t="str">
        <x:v>Yes - Appendectomy (2005)</x:v>
      </x:c>
      <x:c r="DO22" s="130" t="str">
        <x:v>20/20</x:v>
      </x:c>
      <x:c r="DP22" s="130" t="str">
        <x:v>20/20</x:v>
      </x:c>
      <x:c r="DQ22" s="130" t="str">
        <x:v>Pass</x:v>
      </x:c>
      <x:c r="DR22" s="130" t="str">
        <x:v>118</x:v>
      </x:c>
      <x:c r="DS22" s="130" t="str">
        <x:v>78</x:v>
      </x:c>
      <x:c r="DT22" s="130" t="str">
        <x:v>72</x:v>
      </x:c>
      <x:c r="DU22" s="130" t="str">
        <x:v>Normal</x:v>
      </x:c>
      <x:c r="DV22" s="180" t="n">
        <x:v>45392</x:v>
      </x:c>
      <x:c r="DW22" s="180" t="n">
        <x:v>45394</x:v>
      </x:c>
      <x:c r="DX22" s="130" t="str">
        <x:v>Negative</x:v>
      </x:c>
      <x:c r="DY22" s="180" t="n">
        <x:v>45397</x:v>
      </x:c>
      <x:c r="DZ22" s="130" t="str">
        <x:v>BOF Fleet Safety &amp; Compliance Policy 2024</x:v>
      </x:c>
      <x:c r="EA22" s="130" t="str">
        <x:v>Complete</x:v>
      </x:c>
      <x:c r="EB22" s="180" t="n">
        <x:v>45413</x:v>
      </x:c>
    </x:row>
    <x:row r="23">
      <x:c r="A23" s="130" t="str">
        <x:v>DRV-004</x:v>
      </x:c>
      <x:c r="B23" s="130" t="str">
        <x:v>Priya Patel</x:v>
      </x:c>
      <x:c r="C23" s="130" t="str">
        <x:v>520 Demo Street, Cleveland, OH 44114</x:v>
      </x:c>
      <x:c r="D23" s="130" t="str">
        <x:v>359-555-0100</x:v>
      </x:c>
      <x:c r="E23" s="130" t="str">
        <x:v>***-**-0119</x:v>
      </x:c>
      <x:c r="F23" s="130" t="str">
        <x:v>Chase</x:v>
      </x:c>
      <x:c r="G23" s="130" t="n">
        <x:v>000000101</x:v>
      </x:c>
      <x:c r="H23" s="130" t="n">
        <x:v>999900203</x:v>
      </x:c>
      <x:c r="I23" s="130" t="str">
        <x:v>CDL Summary</x:v>
      </x:c>
      <x:c r="J23" s="130" t="str">
        <x:v>VALID</x:v>
      </x:c>
      <x:c r="K23" s="130" t="str">
        <x:v>OH0000130</x:v>
      </x:c>
      <x:c r="L23" s="180" t="n">
        <x:v>46739</x:v>
      </x:c>
      <x:c r="M23" s="180" t="n">
        <x:v>46486</x:v>
      </x:c>
      <x:c r="N23" s="180" t="n">
        <x:v>46452</x:v>
      </x:c>
      <x:c r="O23" s="130"/>
      <x:c r="P23" s="130" t="str">
        <x:v>Brown</x:v>
      </x:c>
      <x:c r="Q23" s="130" t="str">
        <x:v>Blue</x:v>
      </x:c>
      <x:c r="R23" s="130" t="str">
        <x:v>5'-7"</x:v>
      </x:c>
      <x:c r="S23" s="130" t="n">
        <x:v>148</x:v>
      </x:c>
      <x:c r="T23" s="130" t="str">
        <x:v>F</x:v>
      </x:c>
      <x:c r="U23" s="130" t="n">
        <x:v>33970</x:v>
      </x:c>
      <x:c r="V23" s="130" t="str">
        <x:v>DRV-004.png</x:v>
      </x:c>
      <x:c r="W23" s="130" t="str">
        <x:v>South Asian</x:v>
      </x:c>
      <x:c r="X23" s="130" t="str">
        <x:v>priyapatel@example.com</x:v>
      </x:c>
      <x:c r="Y23" s="130" t="str">
        <x:v>520 Demo Street</x:v>
      </x:c>
      <x:c r="Z23" s="130" t="str">
        <x:v>Cleveland</x:v>
      </x:c>
      <x:c r="AA23" s="130" t="str">
        <x:v>OH</x:v>
      </x:c>
      <x:c r="AB23" s="130" t="n">
        <x:v>44114</x:v>
      </x:c>
      <x:c r="AC23" s="130" t="str">
        <x:v>OH</x:v>
      </x:c>
      <x:c r="AD23" s="130" t="str">
        <x:v>Class A</x:v>
      </x:c>
      <x:c r="AE23" s="180" t="n">
        <x:v>44917</x:v>
      </x:c>
      <x:c r="AF23" s="130" t="str">
        <x:v>N,T</x:v>
      </x:c>
      <x:c r="AG23" s="130" t="str">
        <x:v>Automatic transmission only</x:v>
      </x:c>
      <x:c r="AH23" s="180" t="n">
        <x:v>45756</x:v>
      </x:c>
      <x:c r="AI23" s="130" t="str">
        <x:v>MC-0040812</x:v>
      </x:c>
      <x:c r="AJ23" s="130" t="str">
        <x:v>Dr. Ramon Ortiz</x:v>
      </x:c>
      <x:c r="AK23" s="130" t="str">
        <x:v>ME100004</x:v>
      </x:c>
      <x:c r="AL23" s="130"/>
      <x:c r="AM23" s="130" t="str">
        <x:v>Qualified</x:v>
      </x:c>
      <x:c r="AN23" s="180" t="n">
        <x:v>46422</x:v>
      </x:c>
      <x:c r="AO23" s="130" t="n">
        <x:v>0</x:v>
      </x:c>
      <x:c r="AP23" s="130" t="n">
        <x:v>0</x:v>
      </x:c>
      <x:c r="AQ23" s="130" t="str">
        <x:v>Automatic transmission only</x:v>
      </x:c>
      <x:c r="AR23" s="130" t="str">
        <x:v>Clear</x:v>
      </x:c>
      <x:c r="AS23" s="180" t="n">
        <x:v>45432</x:v>
      </x:c>
      <x:c r="AT23" s="130" t="str">
        <x:v>Authorized to Work</x:v>
      </x:c>
      <x:c r="AU23" s="130" t="str">
        <x:v>U.S. Passport</x:v>
      </x:c>
      <x:c r="AV23" s="130"/>
      <x:c r="AW23" s="130"/>
      <x:c r="AX23" s="180" t="n">
        <x:v>45432</x:v>
      </x:c>
      <x:c r="AY23" s="130" t="str">
        <x:v>BOF Onboarding Team</x:v>
      </x:c>
      <x:c r="AZ23" s="130" t="str">
        <x:v>Complete</x:v>
      </x:c>
      <x:c r="BA23" s="130"/>
      <x:c r="BB23" s="130" t="str">
        <x:v>Individual/Sole Proprietor</x:v>
      </x:c>
      <x:c r="BC23" s="130" t="str">
        <x:v>SSN</x:v>
      </x:c>
      <x:c r="BD23" s="130" t="str">
        <x:v>***-**-0119</x:v>
      </x:c>
      <x:c r="BE23" s="130"/>
      <x:c r="BF23" s="180" t="n">
        <x:v>45432</x:v>
      </x:c>
      <x:c r="BG23" s="130" t="str">
        <x:v>Received</x:v>
      </x:c>
      <x:c r="BH23" s="130" t="str">
        <x:v>Savings</x:v>
      </x:c>
      <x:c r="BI23" s="130" t="str">
        <x:v>Direct Deposit</x:v>
      </x:c>
      <x:c r="BJ23" s="180" t="n">
        <x:v>45432</x:v>
      </x:c>
      <x:c r="BK23" s="130" t="str">
        <x:v>Verified</x:v>
      </x:c>
      <x:c r="BL23" s="180" t="n">
        <x:v>45425</x:v>
      </x:c>
      <x:c r="BM23" s="130" t="str">
        <x:v>S. Howard</x:v>
      </x:c>
      <x:c r="BN23" s="130" t="str">
        <x:v>Day cab tractor</x:v>
      </x:c>
      <x:c r="BO23" s="130" t="str">
        <x:v>53 ft dry van</x:v>
      </x:c>
      <x:c r="BP23" s="130" t="str">
        <x:v>Cleveland, OH</x:v>
      </x:c>
      <x:c r="BQ23" s="130" t="n">
        <x:v>4</x:v>
      </x:c>
      <x:c r="BR23" s="130" t="n">
        <x:v>4</x:v>
      </x:c>
      <x:c r="BS23" s="130" t="n">
        <x:v>4</x:v>
      </x:c>
      <x:c r="BT23" s="130" t="n">
        <x:v>5</x:v>
      </x:c>
      <x:c r="BU23" s="130" t="n">
        <x:v>4</x:v>
      </x:c>
      <x:c r="BV23" s="130" t="n">
        <x:v>4</x:v>
      </x:c>
      <x:c r="BW23" s="130" t="n">
        <x:v>4</x:v>
      </x:c>
      <x:c r="BX23" s="130" t="n">
        <x:v>5</x:v>
      </x:c>
      <x:c r="BY23" s="130" t="n">
        <x:v>4</x:v>
      </x:c>
      <x:c r="BZ23" s="130" t="str">
        <x:v>Pass</x:v>
      </x:c>
      <x:c r="CA23" s="130" t="str">
        <x:v>Automatic transmission assigned</x:v>
      </x:c>
      <x:c r="CB23" s="130" t="str">
        <x:v>Passed</x:v>
      </x:c>
      <x:c r="CC23" s="130" t="str">
        <x:v>Enrolled</x:v>
      </x:c>
      <x:c r="CD23" s="130" t="str">
        <x:v>Query Completed</x:v>
      </x:c>
      <x:c r="CE23" s="180" t="n">
        <x:v>46037</x:v>
      </x:c>
      <x:c r="CF23" s="180" t="n">
        <x:v>46218</x:v>
      </x:c>
      <x:c r="CG23" s="130"/>
      <x:c r="CH23" s="130" t="str">
        <x:v>Compliant</x:v>
      </x:c>
      <x:c r="CI23" s="130"/>
      <x:c r="CJ23" s="130" t="str">
        <x:v>Priya</x:v>
      </x:c>
      <x:c r="CK23" s="130" t="str">
        <x:v>Patel</x:v>
      </x:c>
      <x:c r="CL23" s="130" t="str">
        <x:v>OH0000130</x:v>
      </x:c>
      <x:c r="CM23" s="130" t="str">
        <x:v>OH</x:v>
      </x:c>
      <x:c r="CN23" s="130" t="str">
        <x:v>CDL Holder</x:v>
      </x:c>
      <x:c r="CO23" s="130" t="str">
        <x:v>Priya Patel</x:v>
      </x:c>
      <x:c r="CP23" s="180" t="n">
        <x:v>45756</x:v>
      </x:c>
      <x:c r="CQ23" s="180" t="n">
        <x:v>46486</x:v>
      </x:c>
      <x:c r="CR23" s="130" t="str">
        <x:v>(614) 555-0111</x:v>
      </x:c>
      <x:c r="CS23" s="130" t="str">
        <x:v>Dr. Ramon Ortiz</x:v>
      </x:c>
      <x:c r="CT23" s="180" t="n">
        <x:v>45756</x:v>
      </x:c>
      <x:c r="CU23" s="130" t="str">
        <x:v>OH-ME-293591</x:v>
      </x:c>
      <x:c r="CV23" s="130" t="str">
        <x:v>ME100004</x:v>
      </x:c>
      <x:c r="CW23" s="130" t="str">
        <x:v>MD</x:v>
      </x:c>
      <x:c r="CX23" s="130" t="str">
        <x:v>OH</x:v>
      </x:c>
      <x:c r="CY23" s="130" t="str">
        <x:v>Federal Motor Carrier Safety Regulations</x:v>
      </x:c>
      <x:c r="CZ23" s="130"/>
      <x:c r="DA23" s="130" t="str">
        <x:v>No</x:v>
      </x:c>
      <x:c r="DB23" s="130" t="str">
        <x:v>No</x:v>
      </x:c>
      <x:c r="DC23" s="130" t="str">
        <x:v>No</x:v>
      </x:c>
      <x:c r="DD23" s="130" t="str">
        <x:v>No</x:v>
      </x:c>
      <x:c r="DE23" s="130" t="str">
        <x:v>No</x:v>
      </x:c>
      <x:c r="DF23" s="130" t="str">
        <x:v>No</x:v>
      </x:c>
      <x:c r="DG23" s="130" t="str">
        <x:v>Jane Doe</x:v>
      </x:c>
      <x:c r="DH23" s="130" t="str">
        <x:v>Sister</x:v>
      </x:c>
      <x:c r="DI23" s="130" t="str">
        <x:v>555-555-5555</x:v>
      </x:c>
      <x:c r="DJ23" s="130" t="str">
        <x:v>No</x:v>
      </x:c>
      <x:c r="DK23" s="130" t="str">
        <x:v>No</x:v>
      </x:c>
      <x:c r="DL23" s="130" t="str">
        <x:v>No</x:v>
      </x:c>
      <x:c r="DM23" s="130" t="str">
        <x:v>No</x:v>
      </x:c>
      <x:c r="DN23" s="130" t="str">
        <x:v>Yes - Appendectomy (2005)</x:v>
      </x:c>
      <x:c r="DO23" s="130" t="str">
        <x:v>20/20</x:v>
      </x:c>
      <x:c r="DP23" s="130" t="str">
        <x:v>20/20</x:v>
      </x:c>
      <x:c r="DQ23" s="130" t="str">
        <x:v>Pass</x:v>
      </x:c>
      <x:c r="DR23" s="130" t="str">
        <x:v>118</x:v>
      </x:c>
      <x:c r="DS23" s="130" t="str">
        <x:v>78</x:v>
      </x:c>
      <x:c r="DT23" s="130" t="str">
        <x:v>72</x:v>
      </x:c>
      <x:c r="DU23" s="130" t="str">
        <x:v>Normal</x:v>
      </x:c>
      <x:c r="DV23" s="180" t="n">
        <x:v>45392</x:v>
      </x:c>
      <x:c r="DW23" s="180" t="n">
        <x:v>45394</x:v>
      </x:c>
      <x:c r="DX23" s="130" t="str">
        <x:v>Negative</x:v>
      </x:c>
      <x:c r="DY23" s="180" t="n">
        <x:v>45397</x:v>
      </x:c>
      <x:c r="DZ23" s="130" t="str">
        <x:v>BOF Fleet Safety &amp; Compliance Policy 2024</x:v>
      </x:c>
      <x:c r="EA23" s="130" t="str">
        <x:v>Complete</x:v>
      </x:c>
      <x:c r="EB23" s="180" t="n">
        <x:v>45413</x:v>
      </x:c>
    </x:row>
    <x:row r="24">
      <x:c r="A24" s="130" t="str">
        <x:v>DRV-004</x:v>
      </x:c>
      <x:c r="B24" s="130" t="str">
        <x:v>Priya Patel</x:v>
      </x:c>
      <x:c r="C24" s="130" t="str">
        <x:v>520 Demo Street, Cleveland, OH 44114</x:v>
      </x:c>
      <x:c r="D24" s="130" t="str">
        <x:v>359-555-0100</x:v>
      </x:c>
      <x:c r="E24" s="130" t="str">
        <x:v>***-**-0119</x:v>
      </x:c>
      <x:c r="F24" s="130" t="str">
        <x:v>Chase</x:v>
      </x:c>
      <x:c r="G24" s="130" t="n">
        <x:v>000000101</x:v>
      </x:c>
      <x:c r="H24" s="130" t="n">
        <x:v>999900203</x:v>
      </x:c>
      <x:c r="I24" s="130" t="str">
        <x:v>Medical Certification</x:v>
      </x:c>
      <x:c r="J24" s="130" t="str">
        <x:v>VALID</x:v>
      </x:c>
      <x:c r="K24" s="130" t="str">
        <x:v>OH0000099</x:v>
      </x:c>
      <x:c r="L24" s="180" t="n">
        <x:v>46739</x:v>
      </x:c>
      <x:c r="M24" s="180" t="n">
        <x:v>46486</x:v>
      </x:c>
      <x:c r="N24" s="180" t="n">
        <x:v>46452</x:v>
      </x:c>
      <x:c r="O24" s="130"/>
      <x:c r="P24" s="130" t="str">
        <x:v>Brown</x:v>
      </x:c>
      <x:c r="Q24" s="130" t="str">
        <x:v>Blue</x:v>
      </x:c>
      <x:c r="R24" s="130" t="str">
        <x:v>5'-7"</x:v>
      </x:c>
      <x:c r="S24" s="130" t="n">
        <x:v>148</x:v>
      </x:c>
      <x:c r="T24" s="130" t="str">
        <x:v>F</x:v>
      </x:c>
      <x:c r="U24" s="130" t="n">
        <x:v>33970</x:v>
      </x:c>
      <x:c r="V24" s="130" t="str">
        <x:v>DRV-004.png</x:v>
      </x:c>
      <x:c r="W24" s="130" t="str">
        <x:v>South Asian</x:v>
      </x:c>
      <x:c r="X24" s="130" t="str">
        <x:v>priyapatel@example.com</x:v>
      </x:c>
      <x:c r="Y24" s="130" t="str">
        <x:v>520 Demo Street</x:v>
      </x:c>
      <x:c r="Z24" s="130" t="str">
        <x:v>Cleveland</x:v>
      </x:c>
      <x:c r="AA24" s="130" t="str">
        <x:v>OH</x:v>
      </x:c>
      <x:c r="AB24" s="130" t="n">
        <x:v>44114</x:v>
      </x:c>
      <x:c r="AC24" s="130" t="str">
        <x:v>OH</x:v>
      </x:c>
      <x:c r="AD24" s="130" t="str">
        <x:v>Class A</x:v>
      </x:c>
      <x:c r="AE24" s="180" t="n">
        <x:v>44917</x:v>
      </x:c>
      <x:c r="AF24" s="130" t="str">
        <x:v>N,T</x:v>
      </x:c>
      <x:c r="AG24" s="130" t="str">
        <x:v>Automatic transmission only</x:v>
      </x:c>
      <x:c r="AH24" s="180" t="n">
        <x:v>45756</x:v>
      </x:c>
      <x:c r="AI24" s="130" t="str">
        <x:v>MC-0040812</x:v>
      </x:c>
      <x:c r="AJ24" s="130" t="str">
        <x:v>Dr. Ramon Ortiz</x:v>
      </x:c>
      <x:c r="AK24" s="130" t="str">
        <x:v>ME100004</x:v>
      </x:c>
      <x:c r="AL24" s="130"/>
      <x:c r="AM24" s="130" t="str">
        <x:v>Qualified</x:v>
      </x:c>
      <x:c r="AN24" s="180" t="n">
        <x:v>46422</x:v>
      </x:c>
      <x:c r="AO24" s="130" t="n">
        <x:v>0</x:v>
      </x:c>
      <x:c r="AP24" s="130" t="n">
        <x:v>0</x:v>
      </x:c>
      <x:c r="AQ24" s="130" t="str">
        <x:v>Automatic transmission only</x:v>
      </x:c>
      <x:c r="AR24" s="130" t="str">
        <x:v>Clear</x:v>
      </x:c>
      <x:c r="AS24" s="180" t="n">
        <x:v>45432</x:v>
      </x:c>
      <x:c r="AT24" s="130" t="str">
        <x:v>Authorized to Work</x:v>
      </x:c>
      <x:c r="AU24" s="130" t="str">
        <x:v>U.S. Passport</x:v>
      </x:c>
      <x:c r="AV24" s="130"/>
      <x:c r="AW24" s="130"/>
      <x:c r="AX24" s="180" t="n">
        <x:v>45432</x:v>
      </x:c>
      <x:c r="AY24" s="130" t="str">
        <x:v>BOF Onboarding Team</x:v>
      </x:c>
      <x:c r="AZ24" s="130" t="str">
        <x:v>Complete</x:v>
      </x:c>
      <x:c r="BA24" s="130"/>
      <x:c r="BB24" s="130" t="str">
        <x:v>Individual/Sole Proprietor</x:v>
      </x:c>
      <x:c r="BC24" s="130" t="str">
        <x:v>SSN</x:v>
      </x:c>
      <x:c r="BD24" s="130" t="str">
        <x:v>***-**-0119</x:v>
      </x:c>
      <x:c r="BE24" s="130"/>
      <x:c r="BF24" s="180" t="n">
        <x:v>45432</x:v>
      </x:c>
      <x:c r="BG24" s="130" t="str">
        <x:v>Received</x:v>
      </x:c>
      <x:c r="BH24" s="130" t="str">
        <x:v>Savings</x:v>
      </x:c>
      <x:c r="BI24" s="130" t="str">
        <x:v>Direct Deposit</x:v>
      </x:c>
      <x:c r="BJ24" s="180" t="n">
        <x:v>45432</x:v>
      </x:c>
      <x:c r="BK24" s="130" t="str">
        <x:v>Verified</x:v>
      </x:c>
      <x:c r="BL24" s="180" t="n">
        <x:v>45425</x:v>
      </x:c>
      <x:c r="BM24" s="130" t="str">
        <x:v>S. Howard</x:v>
      </x:c>
      <x:c r="BN24" s="130" t="str">
        <x:v>Day cab tractor</x:v>
      </x:c>
      <x:c r="BO24" s="130" t="str">
        <x:v>53 ft dry van</x:v>
      </x:c>
      <x:c r="BP24" s="130" t="str">
        <x:v>Cleveland, OH</x:v>
      </x:c>
      <x:c r="BQ24" s="130" t="n">
        <x:v>4</x:v>
      </x:c>
      <x:c r="BR24" s="130" t="n">
        <x:v>4</x:v>
      </x:c>
      <x:c r="BS24" s="130" t="n">
        <x:v>4</x:v>
      </x:c>
      <x:c r="BT24" s="130" t="n">
        <x:v>5</x:v>
      </x:c>
      <x:c r="BU24" s="130" t="n">
        <x:v>4</x:v>
      </x:c>
      <x:c r="BV24" s="130" t="n">
        <x:v>4</x:v>
      </x:c>
      <x:c r="BW24" s="130" t="n">
        <x:v>4</x:v>
      </x:c>
      <x:c r="BX24" s="130" t="n">
        <x:v>5</x:v>
      </x:c>
      <x:c r="BY24" s="130" t="n">
        <x:v>4</x:v>
      </x:c>
      <x:c r="BZ24" s="130" t="str">
        <x:v>Pass</x:v>
      </x:c>
      <x:c r="CA24" s="130" t="str">
        <x:v>Automatic transmission assigned</x:v>
      </x:c>
      <x:c r="CB24" s="130" t="str">
        <x:v>Passed</x:v>
      </x:c>
      <x:c r="CC24" s="130" t="str">
        <x:v>Enrolled</x:v>
      </x:c>
      <x:c r="CD24" s="130" t="str">
        <x:v>Query Completed</x:v>
      </x:c>
      <x:c r="CE24" s="180" t="n">
        <x:v>46037</x:v>
      </x:c>
      <x:c r="CF24" s="180" t="n">
        <x:v>46218</x:v>
      </x:c>
      <x:c r="CG24" s="130"/>
      <x:c r="CH24" s="130" t="str">
        <x:v>Compliant</x:v>
      </x:c>
      <x:c r="CI24" s="130"/>
      <x:c r="CJ24" s="130" t="str">
        <x:v>Priya</x:v>
      </x:c>
      <x:c r="CK24" s="130" t="str">
        <x:v>Patel</x:v>
      </x:c>
      <x:c r="CL24" s="130" t="str">
        <x:v>OH0000131</x:v>
      </x:c>
      <x:c r="CM24" s="130" t="str">
        <x:v>OH</x:v>
      </x:c>
      <x:c r="CN24" s="130" t="str">
        <x:v>CDL Holder</x:v>
      </x:c>
      <x:c r="CO24" s="130" t="str">
        <x:v>Priya Patel</x:v>
      </x:c>
      <x:c r="CP24" s="180" t="n">
        <x:v>45756</x:v>
      </x:c>
      <x:c r="CQ24" s="180" t="n">
        <x:v>46486</x:v>
      </x:c>
      <x:c r="CR24" s="130" t="str">
        <x:v>(614) 555-0111</x:v>
      </x:c>
      <x:c r="CS24" s="130" t="str">
        <x:v>Dr. Ramon Ortiz</x:v>
      </x:c>
      <x:c r="CT24" s="180" t="n">
        <x:v>45756</x:v>
      </x:c>
      <x:c r="CU24" s="130" t="str">
        <x:v>OH-ME-293591</x:v>
      </x:c>
      <x:c r="CV24" s="130" t="str">
        <x:v>ME100004</x:v>
      </x:c>
      <x:c r="CW24" s="130" t="str">
        <x:v>MD</x:v>
      </x:c>
      <x:c r="CX24" s="130" t="str">
        <x:v>OH</x:v>
      </x:c>
      <x:c r="CY24" s="130" t="str">
        <x:v>Federal Motor Carrier Safety Regulations</x:v>
      </x:c>
      <x:c r="CZ24" s="130"/>
      <x:c r="DA24" s="130" t="str">
        <x:v>No</x:v>
      </x:c>
      <x:c r="DB24" s="130" t="str">
        <x:v>No</x:v>
      </x:c>
      <x:c r="DC24" s="130" t="str">
        <x:v>No</x:v>
      </x:c>
      <x:c r="DD24" s="130" t="str">
        <x:v>No</x:v>
      </x:c>
      <x:c r="DE24" s="130" t="str">
        <x:v>No</x:v>
      </x:c>
      <x:c r="DF24" s="130" t="str">
        <x:v>No</x:v>
      </x:c>
      <x:c r="DG24" s="130" t="str">
        <x:v>Jane Doe</x:v>
      </x:c>
      <x:c r="DH24" s="130" t="str">
        <x:v>Sister</x:v>
      </x:c>
      <x:c r="DI24" s="130" t="str">
        <x:v>555-555-5555</x:v>
      </x:c>
      <x:c r="DJ24" s="130" t="str">
        <x:v>No</x:v>
      </x:c>
      <x:c r="DK24" s="130" t="str">
        <x:v>No</x:v>
      </x:c>
      <x:c r="DL24" s="130" t="str">
        <x:v>No</x:v>
      </x:c>
      <x:c r="DM24" s="130" t="str">
        <x:v>No</x:v>
      </x:c>
      <x:c r="DN24" s="130" t="str">
        <x:v>Yes - Appendectomy (2005)</x:v>
      </x:c>
      <x:c r="DO24" s="130" t="str">
        <x:v>20/20</x:v>
      </x:c>
      <x:c r="DP24" s="130" t="str">
        <x:v>20/20</x:v>
      </x:c>
      <x:c r="DQ24" s="130" t="str">
        <x:v>Pass</x:v>
      </x:c>
      <x:c r="DR24" s="130" t="str">
        <x:v>118</x:v>
      </x:c>
      <x:c r="DS24" s="130" t="str">
        <x:v>78</x:v>
      </x:c>
      <x:c r="DT24" s="130" t="str">
        <x:v>72</x:v>
      </x:c>
      <x:c r="DU24" s="130" t="str">
        <x:v>Normal</x:v>
      </x:c>
      <x:c r="DV24" s="180" t="n">
        <x:v>45392</x:v>
      </x:c>
      <x:c r="DW24" s="180" t="n">
        <x:v>45394</x:v>
      </x:c>
      <x:c r="DX24" s="130" t="str">
        <x:v>Negative</x:v>
      </x:c>
      <x:c r="DY24" s="180" t="n">
        <x:v>45397</x:v>
      </x:c>
      <x:c r="DZ24" s="130" t="str">
        <x:v>BOF Fleet Safety &amp; Compliance Policy 2024</x:v>
      </x:c>
      <x:c r="EA24" s="130" t="str">
        <x:v>Complete</x:v>
      </x:c>
      <x:c r="EB24" s="180" t="n">
        <x:v>45413</x:v>
      </x:c>
    </x:row>
    <x:row r="25">
      <x:c r="A25" s="130" t="str">
        <x:v>DRV-004</x:v>
      </x:c>
      <x:c r="B25" s="130" t="str">
        <x:v>Priya Patel</x:v>
      </x:c>
      <x:c r="C25" s="130" t="str">
        <x:v>520 Demo Street, Cleveland, OH 44114</x:v>
      </x:c>
      <x:c r="D25" s="130" t="str">
        <x:v>359-555-0100</x:v>
      </x:c>
      <x:c r="E25" s="130" t="str">
        <x:v>***-**-0119</x:v>
      </x:c>
      <x:c r="F25" s="130" t="str">
        <x:v>Chase</x:v>
      </x:c>
      <x:c r="G25" s="130" t="n">
        <x:v>000000101</x:v>
      </x:c>
      <x:c r="H25" s="130" t="n">
        <x:v>999900203</x:v>
      </x:c>
      <x:c r="I25" s="130" t="str">
        <x:v>MVR Background Report</x:v>
      </x:c>
      <x:c r="J25" s="130" t="str">
        <x:v>VALID</x:v>
      </x:c>
      <x:c r="K25" s="130" t="str">
        <x:v>OH0000123</x:v>
      </x:c>
      <x:c r="L25" s="180" t="n">
        <x:v>46739</x:v>
      </x:c>
      <x:c r="M25" s="180" t="n">
        <x:v>46486</x:v>
      </x:c>
      <x:c r="N25" s="180" t="n">
        <x:v>46452</x:v>
      </x:c>
      <x:c r="O25" s="130"/>
      <x:c r="P25" s="130" t="str">
        <x:v>Brown</x:v>
      </x:c>
      <x:c r="Q25" s="130" t="str">
        <x:v>Blue</x:v>
      </x:c>
      <x:c r="R25" s="130" t="str">
        <x:v>5'-7"</x:v>
      </x:c>
      <x:c r="S25" s="130" t="n">
        <x:v>148</x:v>
      </x:c>
      <x:c r="T25" s="130" t="str">
        <x:v>F</x:v>
      </x:c>
      <x:c r="U25" s="130" t="n">
        <x:v>33970</x:v>
      </x:c>
      <x:c r="V25" s="130" t="str">
        <x:v>DRV-004.png</x:v>
      </x:c>
      <x:c r="W25" s="130" t="str">
        <x:v>South Asian</x:v>
      </x:c>
      <x:c r="X25" s="130" t="str">
        <x:v>priyapatel@example.com</x:v>
      </x:c>
      <x:c r="Y25" s="130" t="str">
        <x:v>520 Demo Street</x:v>
      </x:c>
      <x:c r="Z25" s="130" t="str">
        <x:v>Cleveland</x:v>
      </x:c>
      <x:c r="AA25" s="130" t="str">
        <x:v>OH</x:v>
      </x:c>
      <x:c r="AB25" s="130" t="n">
        <x:v>44114</x:v>
      </x:c>
      <x:c r="AC25" s="130" t="str">
        <x:v>OH</x:v>
      </x:c>
      <x:c r="AD25" s="130" t="str">
        <x:v>Class A</x:v>
      </x:c>
      <x:c r="AE25" s="180" t="n">
        <x:v>44917</x:v>
      </x:c>
      <x:c r="AF25" s="130" t="str">
        <x:v>N,T</x:v>
      </x:c>
      <x:c r="AG25" s="130" t="str">
        <x:v>Automatic transmission only</x:v>
      </x:c>
      <x:c r="AH25" s="180" t="n">
        <x:v>45756</x:v>
      </x:c>
      <x:c r="AI25" s="130" t="str">
        <x:v>MC-0040812</x:v>
      </x:c>
      <x:c r="AJ25" s="130" t="str">
        <x:v>Dr. Ramon Ortiz</x:v>
      </x:c>
      <x:c r="AK25" s="130" t="str">
        <x:v>ME100004</x:v>
      </x:c>
      <x:c r="AL25" s="130"/>
      <x:c r="AM25" s="130" t="str">
        <x:v>Qualified</x:v>
      </x:c>
      <x:c r="AN25" s="180" t="n">
        <x:v>46422</x:v>
      </x:c>
      <x:c r="AO25" s="130" t="n">
        <x:v>0</x:v>
      </x:c>
      <x:c r="AP25" s="130" t="n">
        <x:v>0</x:v>
      </x:c>
      <x:c r="AQ25" s="130" t="str">
        <x:v>Automatic transmission only</x:v>
      </x:c>
      <x:c r="AR25" s="130" t="str">
        <x:v>Clear</x:v>
      </x:c>
      <x:c r="AS25" s="180" t="n">
        <x:v>45432</x:v>
      </x:c>
      <x:c r="AT25" s="130" t="str">
        <x:v>Authorized to Work</x:v>
      </x:c>
      <x:c r="AU25" s="130" t="str">
        <x:v>U.S. Passport</x:v>
      </x:c>
      <x:c r="AV25" s="130"/>
      <x:c r="AW25" s="130"/>
      <x:c r="AX25" s="180" t="n">
        <x:v>45432</x:v>
      </x:c>
      <x:c r="AY25" s="130" t="str">
        <x:v>BOF Onboarding Team</x:v>
      </x:c>
      <x:c r="AZ25" s="130" t="str">
        <x:v>Complete</x:v>
      </x:c>
      <x:c r="BA25" s="130"/>
      <x:c r="BB25" s="130" t="str">
        <x:v>Individual/Sole Proprietor</x:v>
      </x:c>
      <x:c r="BC25" s="130" t="str">
        <x:v>SSN</x:v>
      </x:c>
      <x:c r="BD25" s="130" t="str">
        <x:v>***-**-0119</x:v>
      </x:c>
      <x:c r="BE25" s="130"/>
      <x:c r="BF25" s="180" t="n">
        <x:v>45432</x:v>
      </x:c>
      <x:c r="BG25" s="130" t="str">
        <x:v>Received</x:v>
      </x:c>
      <x:c r="BH25" s="130" t="str">
        <x:v>Savings</x:v>
      </x:c>
      <x:c r="BI25" s="130" t="str">
        <x:v>Direct Deposit</x:v>
      </x:c>
      <x:c r="BJ25" s="180" t="n">
        <x:v>45432</x:v>
      </x:c>
      <x:c r="BK25" s="130" t="str">
        <x:v>Verified</x:v>
      </x:c>
      <x:c r="BL25" s="180" t="n">
        <x:v>45425</x:v>
      </x:c>
      <x:c r="BM25" s="130" t="str">
        <x:v>S. Howard</x:v>
      </x:c>
      <x:c r="BN25" s="130" t="str">
        <x:v>Day cab tractor</x:v>
      </x:c>
      <x:c r="BO25" s="130" t="str">
        <x:v>53 ft dry van</x:v>
      </x:c>
      <x:c r="BP25" s="130" t="str">
        <x:v>Cleveland, OH</x:v>
      </x:c>
      <x:c r="BQ25" s="130" t="n">
        <x:v>4</x:v>
      </x:c>
      <x:c r="BR25" s="130" t="n">
        <x:v>4</x:v>
      </x:c>
      <x:c r="BS25" s="130" t="n">
        <x:v>4</x:v>
      </x:c>
      <x:c r="BT25" s="130" t="n">
        <x:v>5</x:v>
      </x:c>
      <x:c r="BU25" s="130" t="n">
        <x:v>4</x:v>
      </x:c>
      <x:c r="BV25" s="130" t="n">
        <x:v>4</x:v>
      </x:c>
      <x:c r="BW25" s="130" t="n">
        <x:v>4</x:v>
      </x:c>
      <x:c r="BX25" s="130" t="n">
        <x:v>5</x:v>
      </x:c>
      <x:c r="BY25" s="130" t="n">
        <x:v>4</x:v>
      </x:c>
      <x:c r="BZ25" s="130" t="str">
        <x:v>Pass</x:v>
      </x:c>
      <x:c r="CA25" s="130" t="str">
        <x:v>Automatic transmission assigned</x:v>
      </x:c>
      <x:c r="CB25" s="130" t="str">
        <x:v>Passed</x:v>
      </x:c>
      <x:c r="CC25" s="130" t="str">
        <x:v>Enrolled</x:v>
      </x:c>
      <x:c r="CD25" s="130" t="str">
        <x:v>Query Completed</x:v>
      </x:c>
      <x:c r="CE25" s="180" t="n">
        <x:v>46037</x:v>
      </x:c>
      <x:c r="CF25" s="180" t="n">
        <x:v>46218</x:v>
      </x:c>
      <x:c r="CG25" s="130"/>
      <x:c r="CH25" s="130" t="str">
        <x:v>Compliant</x:v>
      </x:c>
      <x:c r="CI25" s="130"/>
      <x:c r="CJ25" s="130" t="str">
        <x:v>Priya</x:v>
      </x:c>
      <x:c r="CK25" s="130" t="str">
        <x:v>Patel</x:v>
      </x:c>
      <x:c r="CL25" s="130" t="str">
        <x:v>OH0000132</x:v>
      </x:c>
      <x:c r="CM25" s="130" t="str">
        <x:v>OH</x:v>
      </x:c>
      <x:c r="CN25" s="130" t="str">
        <x:v>CDL Holder</x:v>
      </x:c>
      <x:c r="CO25" s="130" t="str">
        <x:v>Priya Patel</x:v>
      </x:c>
      <x:c r="CP25" s="180" t="n">
        <x:v>45756</x:v>
      </x:c>
      <x:c r="CQ25" s="180" t="n">
        <x:v>46486</x:v>
      </x:c>
      <x:c r="CR25" s="130" t="str">
        <x:v>(614) 555-0111</x:v>
      </x:c>
      <x:c r="CS25" s="130" t="str">
        <x:v>Dr. Ramon Ortiz</x:v>
      </x:c>
      <x:c r="CT25" s="180" t="n">
        <x:v>45756</x:v>
      </x:c>
      <x:c r="CU25" s="130" t="str">
        <x:v>OH-ME-293591</x:v>
      </x:c>
      <x:c r="CV25" s="130" t="str">
        <x:v>ME100004</x:v>
      </x:c>
      <x:c r="CW25" s="130" t="str">
        <x:v>MD</x:v>
      </x:c>
      <x:c r="CX25" s="130" t="str">
        <x:v>OH</x:v>
      </x:c>
      <x:c r="CY25" s="130" t="str">
        <x:v>Federal Motor Carrier Safety Regulations</x:v>
      </x:c>
      <x:c r="CZ25" s="130"/>
      <x:c r="DA25" s="130" t="str">
        <x:v>No</x:v>
      </x:c>
      <x:c r="DB25" s="130" t="str">
        <x:v>No</x:v>
      </x:c>
      <x:c r="DC25" s="130" t="str">
        <x:v>No</x:v>
      </x:c>
      <x:c r="DD25" s="130" t="str">
        <x:v>No</x:v>
      </x:c>
      <x:c r="DE25" s="130" t="str">
        <x:v>No</x:v>
      </x:c>
      <x:c r="DF25" s="130" t="str">
        <x:v>No</x:v>
      </x:c>
      <x:c r="DG25" s="130" t="str">
        <x:v>Jane Doe</x:v>
      </x:c>
      <x:c r="DH25" s="130" t="str">
        <x:v>Sister</x:v>
      </x:c>
      <x:c r="DI25" s="130" t="str">
        <x:v>555-555-5555</x:v>
      </x:c>
      <x:c r="DJ25" s="130" t="str">
        <x:v>No</x:v>
      </x:c>
      <x:c r="DK25" s="130" t="str">
        <x:v>No</x:v>
      </x:c>
      <x:c r="DL25" s="130" t="str">
        <x:v>No</x:v>
      </x:c>
      <x:c r="DM25" s="130" t="str">
        <x:v>No</x:v>
      </x:c>
      <x:c r="DN25" s="130" t="str">
        <x:v>Yes - Appendectomy (2005)</x:v>
      </x:c>
      <x:c r="DO25" s="130" t="str">
        <x:v>20/20</x:v>
      </x:c>
      <x:c r="DP25" s="130" t="str">
        <x:v>20/20</x:v>
      </x:c>
      <x:c r="DQ25" s="130" t="str">
        <x:v>Pass</x:v>
      </x:c>
      <x:c r="DR25" s="130" t="str">
        <x:v>118</x:v>
      </x:c>
      <x:c r="DS25" s="130" t="str">
        <x:v>78</x:v>
      </x:c>
      <x:c r="DT25" s="130" t="str">
        <x:v>72</x:v>
      </x:c>
      <x:c r="DU25" s="130" t="str">
        <x:v>Normal</x:v>
      </x:c>
      <x:c r="DV25" s="180" t="n">
        <x:v>45392</x:v>
      </x:c>
      <x:c r="DW25" s="180" t="n">
        <x:v>45394</x:v>
      </x:c>
      <x:c r="DX25" s="130" t="str">
        <x:v>Negative</x:v>
      </x:c>
      <x:c r="DY25" s="180" t="n">
        <x:v>45397</x:v>
      </x:c>
      <x:c r="DZ25" s="130" t="str">
        <x:v>BOF Fleet Safety &amp; Compliance Policy 2024</x:v>
      </x:c>
      <x:c r="EA25" s="130" t="str">
        <x:v>Complete</x:v>
      </x:c>
      <x:c r="EB25" s="180" t="n">
        <x:v>45413</x:v>
      </x:c>
    </x:row>
    <x:row r="26">
      <x:c r="A26" s="130" t="str">
        <x:v>DRV-004</x:v>
      </x:c>
      <x:c r="B26" s="130" t="str">
        <x:v>Priya Patel</x:v>
      </x:c>
      <x:c r="C26" s="130" t="str">
        <x:v>520 Demo Street, Cleveland, OH 44114</x:v>
      </x:c>
      <x:c r="D26" s="130" t="str">
        <x:v>359-555-0100</x:v>
      </x:c>
      <x:c r="E26" s="130" t="str">
        <x:v>***-**-0119</x:v>
      </x:c>
      <x:c r="F26" s="130" t="str">
        <x:v>Chase</x:v>
      </x:c>
      <x:c r="G26" s="130" t="n">
        <x:v>000000101</x:v>
      </x:c>
      <x:c r="H26" s="130" t="n">
        <x:v>999900203</x:v>
      </x:c>
      <x:c r="I26" s="130" t="str">
        <x:v>summary</x:v>
      </x:c>
      <x:c r="J26" s="130" t="str">
        <x:v>VALID</x:v>
      </x:c>
      <x:c r="K26" s="130" t="str">
        <x:v>OH0000149</x:v>
      </x:c>
      <x:c r="L26" s="180" t="n">
        <x:v>46739</x:v>
      </x:c>
      <x:c r="M26" s="180" t="n">
        <x:v>46486</x:v>
      </x:c>
      <x:c r="N26" s="180" t="n">
        <x:v>46452</x:v>
      </x:c>
      <x:c r="O26" s="130"/>
      <x:c r="P26" s="130" t="str">
        <x:v>Brown</x:v>
      </x:c>
      <x:c r="Q26" s="130" t="str">
        <x:v>Blue</x:v>
      </x:c>
      <x:c r="R26" s="130" t="str">
        <x:v>5'-7"</x:v>
      </x:c>
      <x:c r="S26" s="130" t="n">
        <x:v>148</x:v>
      </x:c>
      <x:c r="T26" s="130" t="str">
        <x:v>F</x:v>
      </x:c>
      <x:c r="U26" s="130" t="n">
        <x:v>33970</x:v>
      </x:c>
      <x:c r="V26" s="130" t="str">
        <x:v>DRV-004.png</x:v>
      </x:c>
      <x:c r="W26" s="130" t="str">
        <x:v>South Asian</x:v>
      </x:c>
      <x:c r="X26" s="130" t="str">
        <x:v>priyapatel@example.com</x:v>
      </x:c>
      <x:c r="Y26" s="130" t="str">
        <x:v>520 Demo Street</x:v>
      </x:c>
      <x:c r="Z26" s="130" t="str">
        <x:v>Cleveland</x:v>
      </x:c>
      <x:c r="AA26" s="130" t="str">
        <x:v>OH</x:v>
      </x:c>
      <x:c r="AB26" s="130" t="n">
        <x:v>44114</x:v>
      </x:c>
      <x:c r="AC26" s="130" t="str">
        <x:v>OH</x:v>
      </x:c>
      <x:c r="AD26" s="130" t="str">
        <x:v>Class A</x:v>
      </x:c>
      <x:c r="AE26" s="180" t="n">
        <x:v>44917</x:v>
      </x:c>
      <x:c r="AF26" s="130" t="str">
        <x:v>N,T</x:v>
      </x:c>
      <x:c r="AG26" s="130" t="str">
        <x:v>Automatic transmission only</x:v>
      </x:c>
      <x:c r="AH26" s="180" t="n">
        <x:v>45756</x:v>
      </x:c>
      <x:c r="AI26" s="130" t="str">
        <x:v>MC-0040812</x:v>
      </x:c>
      <x:c r="AJ26" s="130" t="str">
        <x:v>Dr. Ramon Ortiz</x:v>
      </x:c>
      <x:c r="AK26" s="130" t="str">
        <x:v>ME100004</x:v>
      </x:c>
      <x:c r="AL26" s="130"/>
      <x:c r="AM26" s="130" t="str">
        <x:v>Qualified</x:v>
      </x:c>
      <x:c r="AN26" s="180" t="n">
        <x:v>46422</x:v>
      </x:c>
      <x:c r="AO26" s="130" t="n">
        <x:v>0</x:v>
      </x:c>
      <x:c r="AP26" s="130" t="n">
        <x:v>0</x:v>
      </x:c>
      <x:c r="AQ26" s="130" t="str">
        <x:v>Automatic transmission only</x:v>
      </x:c>
      <x:c r="AR26" s="130" t="str">
        <x:v>Clear</x:v>
      </x:c>
      <x:c r="AS26" s="180" t="n">
        <x:v>45432</x:v>
      </x:c>
      <x:c r="AT26" s="130" t="str">
        <x:v>Authorized to Work</x:v>
      </x:c>
      <x:c r="AU26" s="130" t="str">
        <x:v>U.S. Passport</x:v>
      </x:c>
      <x:c r="AV26" s="130"/>
      <x:c r="AW26" s="130"/>
      <x:c r="AX26" s="180" t="n">
        <x:v>45432</x:v>
      </x:c>
      <x:c r="AY26" s="130" t="str">
        <x:v>BOF Onboarding Team</x:v>
      </x:c>
      <x:c r="AZ26" s="130" t="str">
        <x:v>Complete</x:v>
      </x:c>
      <x:c r="BA26" s="130"/>
      <x:c r="BB26" s="130" t="str">
        <x:v>Individual/Sole Proprietor</x:v>
      </x:c>
      <x:c r="BC26" s="130" t="str">
        <x:v>SSN</x:v>
      </x:c>
      <x:c r="BD26" s="130" t="str">
        <x:v>***-**-0119</x:v>
      </x:c>
      <x:c r="BE26" s="130"/>
      <x:c r="BF26" s="180" t="n">
        <x:v>45432</x:v>
      </x:c>
      <x:c r="BG26" s="130" t="str">
        <x:v>Received</x:v>
      </x:c>
      <x:c r="BH26" s="130" t="str">
        <x:v>Savings</x:v>
      </x:c>
      <x:c r="BI26" s="130" t="str">
        <x:v>Direct Deposit</x:v>
      </x:c>
      <x:c r="BJ26" s="180" t="n">
        <x:v>45432</x:v>
      </x:c>
      <x:c r="BK26" s="130" t="str">
        <x:v>Verified</x:v>
      </x:c>
      <x:c r="BL26" s="180" t="n">
        <x:v>45425</x:v>
      </x:c>
      <x:c r="BM26" s="130" t="str">
        <x:v>S. Howard</x:v>
      </x:c>
      <x:c r="BN26" s="130" t="str">
        <x:v>Day cab tractor</x:v>
      </x:c>
      <x:c r="BO26" s="130" t="str">
        <x:v>53 ft dry van</x:v>
      </x:c>
      <x:c r="BP26" s="130" t="str">
        <x:v>Cleveland, OH</x:v>
      </x:c>
      <x:c r="BQ26" s="130" t="n">
        <x:v>4</x:v>
      </x:c>
      <x:c r="BR26" s="130" t="n">
        <x:v>4</x:v>
      </x:c>
      <x:c r="BS26" s="130" t="n">
        <x:v>4</x:v>
      </x:c>
      <x:c r="BT26" s="130" t="n">
        <x:v>5</x:v>
      </x:c>
      <x:c r="BU26" s="130" t="n">
        <x:v>4</x:v>
      </x:c>
      <x:c r="BV26" s="130" t="n">
        <x:v>4</x:v>
      </x:c>
      <x:c r="BW26" s="130" t="n">
        <x:v>4</x:v>
      </x:c>
      <x:c r="BX26" s="130" t="n">
        <x:v>5</x:v>
      </x:c>
      <x:c r="BY26" s="130" t="n">
        <x:v>4</x:v>
      </x:c>
      <x:c r="BZ26" s="130" t="str">
        <x:v>Pass</x:v>
      </x:c>
      <x:c r="CA26" s="130" t="str">
        <x:v>Automatic transmission assigned</x:v>
      </x:c>
      <x:c r="CB26" s="130" t="str">
        <x:v>Passed</x:v>
      </x:c>
      <x:c r="CC26" s="130" t="str">
        <x:v>Enrolled</x:v>
      </x:c>
      <x:c r="CD26" s="130" t="str">
        <x:v>Query Completed</x:v>
      </x:c>
      <x:c r="CE26" s="180" t="n">
        <x:v>46037</x:v>
      </x:c>
      <x:c r="CF26" s="180" t="n">
        <x:v>46218</x:v>
      </x:c>
      <x:c r="CG26" s="130"/>
      <x:c r="CH26" s="130" t="str">
        <x:v>Compliant</x:v>
      </x:c>
      <x:c r="CI26" s="130"/>
      <x:c r="CJ26" s="130" t="str">
        <x:v>Priya</x:v>
      </x:c>
      <x:c r="CK26" s="130" t="str">
        <x:v>Patel</x:v>
      </x:c>
      <x:c r="CL26" s="130" t="str">
        <x:v>OH0000133</x:v>
      </x:c>
      <x:c r="CM26" s="130" t="str">
        <x:v>OH</x:v>
      </x:c>
      <x:c r="CN26" s="130" t="str">
        <x:v>CDL Holder</x:v>
      </x:c>
      <x:c r="CO26" s="130" t="str">
        <x:v>Priya Patel</x:v>
      </x:c>
      <x:c r="CP26" s="180" t="n">
        <x:v>45756</x:v>
      </x:c>
      <x:c r="CQ26" s="180" t="n">
        <x:v>46486</x:v>
      </x:c>
      <x:c r="CR26" s="130" t="str">
        <x:v>(614) 555-0111</x:v>
      </x:c>
      <x:c r="CS26" s="130" t="str">
        <x:v>Dr. Ramon Ortiz</x:v>
      </x:c>
      <x:c r="CT26" s="180" t="n">
        <x:v>45756</x:v>
      </x:c>
      <x:c r="CU26" s="130" t="str">
        <x:v>OH-ME-293591</x:v>
      </x:c>
      <x:c r="CV26" s="130" t="str">
        <x:v>ME100004</x:v>
      </x:c>
      <x:c r="CW26" s="130" t="str">
        <x:v>MD</x:v>
      </x:c>
      <x:c r="CX26" s="130" t="str">
        <x:v>OH</x:v>
      </x:c>
      <x:c r="CY26" s="130" t="str">
        <x:v>Federal Motor Carrier Safety Regulations</x:v>
      </x:c>
      <x:c r="CZ26" s="130"/>
      <x:c r="DA26" s="130" t="str">
        <x:v>No</x:v>
      </x:c>
      <x:c r="DB26" s="130" t="str">
        <x:v>No</x:v>
      </x:c>
      <x:c r="DC26" s="130" t="str">
        <x:v>No</x:v>
      </x:c>
      <x:c r="DD26" s="130" t="str">
        <x:v>No</x:v>
      </x:c>
      <x:c r="DE26" s="130" t="str">
        <x:v>No</x:v>
      </x:c>
      <x:c r="DF26" s="130" t="str">
        <x:v>No</x:v>
      </x:c>
      <x:c r="DG26" s="130" t="str">
        <x:v>Jane Doe</x:v>
      </x:c>
      <x:c r="DH26" s="130" t="str">
        <x:v>Sister</x:v>
      </x:c>
      <x:c r="DI26" s="130" t="str">
        <x:v>555-555-5555</x:v>
      </x:c>
      <x:c r="DJ26" s="130" t="str">
        <x:v>No</x:v>
      </x:c>
      <x:c r="DK26" s="130" t="str">
        <x:v>No</x:v>
      </x:c>
      <x:c r="DL26" s="130" t="str">
        <x:v>No</x:v>
      </x:c>
      <x:c r="DM26" s="130" t="str">
        <x:v>No</x:v>
      </x:c>
      <x:c r="DN26" s="130" t="str">
        <x:v>Yes - Appendectomy (2005)</x:v>
      </x:c>
      <x:c r="DO26" s="130" t="str">
        <x:v>20/20</x:v>
      </x:c>
      <x:c r="DP26" s="130" t="str">
        <x:v>20/20</x:v>
      </x:c>
      <x:c r="DQ26" s="130" t="str">
        <x:v>Pass</x:v>
      </x:c>
      <x:c r="DR26" s="130" t="str">
        <x:v>118</x:v>
      </x:c>
      <x:c r="DS26" s="130" t="str">
        <x:v>78</x:v>
      </x:c>
      <x:c r="DT26" s="130" t="str">
        <x:v>72</x:v>
      </x:c>
      <x:c r="DU26" s="130" t="str">
        <x:v>Normal</x:v>
      </x:c>
      <x:c r="DV26" s="180" t="n">
        <x:v>45392</x:v>
      </x:c>
      <x:c r="DW26" s="180" t="n">
        <x:v>45394</x:v>
      </x:c>
      <x:c r="DX26" s="130" t="str">
        <x:v>Negative</x:v>
      </x:c>
      <x:c r="DY26" s="180" t="n">
        <x:v>45397</x:v>
      </x:c>
      <x:c r="DZ26" s="130" t="str">
        <x:v>BOF Fleet Safety &amp; Compliance Policy 2024</x:v>
      </x:c>
      <x:c r="EA26" s="130" t="str">
        <x:v>Complete</x:v>
      </x:c>
      <x:c r="EB26" s="180" t="n">
        <x:v>45413</x:v>
      </x:c>
    </x:row>
    <x:row r="27">
      <x:c r="A27" s="130" t="str">
        <x:v>DRV-004</x:v>
      </x:c>
      <x:c r="B27" s="130" t="str">
        <x:v>Priya Patel</x:v>
      </x:c>
      <x:c r="C27" s="130" t="str">
        <x:v>520 Demo Street, Cleveland, OH 44114</x:v>
      </x:c>
      <x:c r="D27" s="130" t="str">
        <x:v>359-555-0100</x:v>
      </x:c>
      <x:c r="E27" s="130" t="str">
        <x:v>***-**-0119</x:v>
      </x:c>
      <x:c r="F27" s="130" t="str">
        <x:v>Chase</x:v>
      </x:c>
      <x:c r="G27" s="130" t="n">
        <x:v>000000101</x:v>
      </x:c>
      <x:c r="H27" s="130" t="n">
        <x:v>999900203</x:v>
      </x:c>
      <x:c r="I27" s="130" t="str">
        <x:v>Road Test Certificate</x:v>
      </x:c>
      <x:c r="J27" s="130" t="str">
        <x:v>VALID</x:v>
      </x:c>
      <x:c r="K27" s="130" t="str">
        <x:v>OH0000072</x:v>
      </x:c>
      <x:c r="L27" s="180" t="n">
        <x:v>46739</x:v>
      </x:c>
      <x:c r="M27" s="180" t="n">
        <x:v>46486</x:v>
      </x:c>
      <x:c r="N27" s="180" t="n">
        <x:v>46452</x:v>
      </x:c>
      <x:c r="O27" s="130"/>
      <x:c r="P27" s="130" t="str">
        <x:v>Brown</x:v>
      </x:c>
      <x:c r="Q27" s="130" t="str">
        <x:v>Blue</x:v>
      </x:c>
      <x:c r="R27" s="130" t="str">
        <x:v>5'-7"</x:v>
      </x:c>
      <x:c r="S27" s="130" t="n">
        <x:v>148</x:v>
      </x:c>
      <x:c r="T27" s="130" t="str">
        <x:v>F</x:v>
      </x:c>
      <x:c r="U27" s="130" t="n">
        <x:v>33970</x:v>
      </x:c>
      <x:c r="V27" s="130" t="str">
        <x:v>DRV-004.png</x:v>
      </x:c>
      <x:c r="W27" s="130" t="str">
        <x:v>South Asian</x:v>
      </x:c>
      <x:c r="X27" s="130" t="str">
        <x:v>priyapatel@example.com</x:v>
      </x:c>
      <x:c r="Y27" s="130" t="str">
        <x:v>520 Demo Street</x:v>
      </x:c>
      <x:c r="Z27" s="130" t="str">
        <x:v>Cleveland</x:v>
      </x:c>
      <x:c r="AA27" s="130" t="str">
        <x:v>OH</x:v>
      </x:c>
      <x:c r="AB27" s="130" t="n">
        <x:v>44114</x:v>
      </x:c>
      <x:c r="AC27" s="130" t="str">
        <x:v>OH</x:v>
      </x:c>
      <x:c r="AD27" s="130" t="str">
        <x:v>Class A</x:v>
      </x:c>
      <x:c r="AE27" s="180" t="n">
        <x:v>44917</x:v>
      </x:c>
      <x:c r="AF27" s="130" t="str">
        <x:v>N,T</x:v>
      </x:c>
      <x:c r="AG27" s="130" t="str">
        <x:v>Automatic transmission only</x:v>
      </x:c>
      <x:c r="AH27" s="180" t="n">
        <x:v>45756</x:v>
      </x:c>
      <x:c r="AI27" s="130" t="str">
        <x:v>MC-0040812</x:v>
      </x:c>
      <x:c r="AJ27" s="130" t="str">
        <x:v>Dr. Ramon Ortiz</x:v>
      </x:c>
      <x:c r="AK27" s="130" t="str">
        <x:v>ME100004</x:v>
      </x:c>
      <x:c r="AL27" s="130"/>
      <x:c r="AM27" s="130" t="str">
        <x:v>Qualified</x:v>
      </x:c>
      <x:c r="AN27" s="180" t="n">
        <x:v>46422</x:v>
      </x:c>
      <x:c r="AO27" s="130" t="n">
        <x:v>0</x:v>
      </x:c>
      <x:c r="AP27" s="130" t="n">
        <x:v>0</x:v>
      </x:c>
      <x:c r="AQ27" s="130" t="str">
        <x:v>Automatic transmission only</x:v>
      </x:c>
      <x:c r="AR27" s="130" t="str">
        <x:v>Clear</x:v>
      </x:c>
      <x:c r="AS27" s="180" t="n">
        <x:v>45432</x:v>
      </x:c>
      <x:c r="AT27" s="130" t="str">
        <x:v>Authorized to Work</x:v>
      </x:c>
      <x:c r="AU27" s="130" t="str">
        <x:v>U.S. Passport</x:v>
      </x:c>
      <x:c r="AV27" s="130"/>
      <x:c r="AW27" s="130"/>
      <x:c r="AX27" s="180" t="n">
        <x:v>45432</x:v>
      </x:c>
      <x:c r="AY27" s="130" t="str">
        <x:v>BOF Onboarding Team</x:v>
      </x:c>
      <x:c r="AZ27" s="130" t="str">
        <x:v>Complete</x:v>
      </x:c>
      <x:c r="BA27" s="130"/>
      <x:c r="BB27" s="130" t="str">
        <x:v>Individual/Sole Proprietor</x:v>
      </x:c>
      <x:c r="BC27" s="130" t="str">
        <x:v>SSN</x:v>
      </x:c>
      <x:c r="BD27" s="130" t="str">
        <x:v>***-**-0119</x:v>
      </x:c>
      <x:c r="BE27" s="130"/>
      <x:c r="BF27" s="180" t="n">
        <x:v>45432</x:v>
      </x:c>
      <x:c r="BG27" s="130" t="str">
        <x:v>Received</x:v>
      </x:c>
      <x:c r="BH27" s="130" t="str">
        <x:v>Savings</x:v>
      </x:c>
      <x:c r="BI27" s="130" t="str">
        <x:v>Direct Deposit</x:v>
      </x:c>
      <x:c r="BJ27" s="180" t="n">
        <x:v>45432</x:v>
      </x:c>
      <x:c r="BK27" s="130" t="str">
        <x:v>Verified</x:v>
      </x:c>
      <x:c r="BL27" s="180" t="n">
        <x:v>45425</x:v>
      </x:c>
      <x:c r="BM27" s="130" t="str">
        <x:v>S. Howard</x:v>
      </x:c>
      <x:c r="BN27" s="130" t="str">
        <x:v>Day cab tractor</x:v>
      </x:c>
      <x:c r="BO27" s="130" t="str">
        <x:v>53 ft dry van</x:v>
      </x:c>
      <x:c r="BP27" s="130" t="str">
        <x:v>Cleveland, OH</x:v>
      </x:c>
      <x:c r="BQ27" s="130" t="n">
        <x:v>4</x:v>
      </x:c>
      <x:c r="BR27" s="130" t="n">
        <x:v>4</x:v>
      </x:c>
      <x:c r="BS27" s="130" t="n">
        <x:v>4</x:v>
      </x:c>
      <x:c r="BT27" s="130" t="n">
        <x:v>5</x:v>
      </x:c>
      <x:c r="BU27" s="130" t="n">
        <x:v>4</x:v>
      </x:c>
      <x:c r="BV27" s="130" t="n">
        <x:v>4</x:v>
      </x:c>
      <x:c r="BW27" s="130" t="n">
        <x:v>4</x:v>
      </x:c>
      <x:c r="BX27" s="130" t="n">
        <x:v>5</x:v>
      </x:c>
      <x:c r="BY27" s="130" t="n">
        <x:v>4</x:v>
      </x:c>
      <x:c r="BZ27" s="130" t="str">
        <x:v>Pass</x:v>
      </x:c>
      <x:c r="CA27" s="130" t="str">
        <x:v>Automatic transmission assigned</x:v>
      </x:c>
      <x:c r="CB27" s="130" t="str">
        <x:v>Passed</x:v>
      </x:c>
      <x:c r="CC27" s="130" t="str">
        <x:v>Enrolled</x:v>
      </x:c>
      <x:c r="CD27" s="130" t="str">
        <x:v>Query Completed</x:v>
      </x:c>
      <x:c r="CE27" s="180" t="n">
        <x:v>46037</x:v>
      </x:c>
      <x:c r="CF27" s="180" t="n">
        <x:v>46218</x:v>
      </x:c>
      <x:c r="CG27" s="130"/>
      <x:c r="CH27" s="130" t="str">
        <x:v>Compliant</x:v>
      </x:c>
      <x:c r="CI27" s="130"/>
      <x:c r="CJ27" s="130" t="str">
        <x:v>Priya</x:v>
      </x:c>
      <x:c r="CK27" s="130" t="str">
        <x:v>Patel</x:v>
      </x:c>
      <x:c r="CL27" s="130" t="str">
        <x:v>OH0000134</x:v>
      </x:c>
      <x:c r="CM27" s="130" t="str">
        <x:v>OH</x:v>
      </x:c>
      <x:c r="CN27" s="130" t="str">
        <x:v>CDL Holder</x:v>
      </x:c>
      <x:c r="CO27" s="130" t="str">
        <x:v>Priya Patel</x:v>
      </x:c>
      <x:c r="CP27" s="180" t="n">
        <x:v>45756</x:v>
      </x:c>
      <x:c r="CQ27" s="180" t="n">
        <x:v>46486</x:v>
      </x:c>
      <x:c r="CR27" s="130" t="str">
        <x:v>(614) 555-0111</x:v>
      </x:c>
      <x:c r="CS27" s="130" t="str">
        <x:v>Dr. Ramon Ortiz</x:v>
      </x:c>
      <x:c r="CT27" s="180" t="n">
        <x:v>45756</x:v>
      </x:c>
      <x:c r="CU27" s="130" t="str">
        <x:v>OH-ME-293591</x:v>
      </x:c>
      <x:c r="CV27" s="130" t="str">
        <x:v>ME100004</x:v>
      </x:c>
      <x:c r="CW27" s="130" t="str">
        <x:v>MD</x:v>
      </x:c>
      <x:c r="CX27" s="130" t="str">
        <x:v>OH</x:v>
      </x:c>
      <x:c r="CY27" s="130" t="str">
        <x:v>Federal Motor Carrier Safety Regulations</x:v>
      </x:c>
      <x:c r="CZ27" s="130"/>
      <x:c r="DA27" s="130" t="str">
        <x:v>No</x:v>
      </x:c>
      <x:c r="DB27" s="130" t="str">
        <x:v>No</x:v>
      </x:c>
      <x:c r="DC27" s="130" t="str">
        <x:v>No</x:v>
      </x:c>
      <x:c r="DD27" s="130" t="str">
        <x:v>No</x:v>
      </x:c>
      <x:c r="DE27" s="130" t="str">
        <x:v>No</x:v>
      </x:c>
      <x:c r="DF27" s="130" t="str">
        <x:v>No</x:v>
      </x:c>
      <x:c r="DG27" s="130" t="str">
        <x:v>Jane Doe</x:v>
      </x:c>
      <x:c r="DH27" s="130" t="str">
        <x:v>Sister</x:v>
      </x:c>
      <x:c r="DI27" s="130" t="str">
        <x:v>555-555-5555</x:v>
      </x:c>
      <x:c r="DJ27" s="130" t="str">
        <x:v>No</x:v>
      </x:c>
      <x:c r="DK27" s="130" t="str">
        <x:v>No</x:v>
      </x:c>
      <x:c r="DL27" s="130" t="str">
        <x:v>No</x:v>
      </x:c>
      <x:c r="DM27" s="130" t="str">
        <x:v>No</x:v>
      </x:c>
      <x:c r="DN27" s="130" t="str">
        <x:v>Yes - Appendectomy (2005)</x:v>
      </x:c>
      <x:c r="DO27" s="130" t="str">
        <x:v>20/20</x:v>
      </x:c>
      <x:c r="DP27" s="130" t="str">
        <x:v>20/20</x:v>
      </x:c>
      <x:c r="DQ27" s="130" t="str">
        <x:v>Pass</x:v>
      </x:c>
      <x:c r="DR27" s="130" t="str">
        <x:v>118</x:v>
      </x:c>
      <x:c r="DS27" s="130" t="str">
        <x:v>78</x:v>
      </x:c>
      <x:c r="DT27" s="130" t="str">
        <x:v>72</x:v>
      </x:c>
      <x:c r="DU27" s="130" t="str">
        <x:v>Normal</x:v>
      </x:c>
      <x:c r="DV27" s="180" t="n">
        <x:v>45392</x:v>
      </x:c>
      <x:c r="DW27" s="180" t="n">
        <x:v>45394</x:v>
      </x:c>
      <x:c r="DX27" s="130" t="str">
        <x:v>Negative</x:v>
      </x:c>
      <x:c r="DY27" s="180" t="n">
        <x:v>45397</x:v>
      </x:c>
      <x:c r="DZ27" s="130" t="str">
        <x:v>BOF Fleet Safety &amp; Compliance Policy 2024</x:v>
      </x:c>
      <x:c r="EA27" s="130" t="str">
        <x:v>Complete</x:v>
      </x:c>
      <x:c r="EB27" s="180" t="n">
        <x:v>45413</x:v>
      </x:c>
    </x:row>
    <x:row r="28">
      <x:c r="A28" s="130" t="str">
        <x:v>DRV-004</x:v>
      </x:c>
      <x:c r="B28" s="130" t="str">
        <x:v>Priya Patel</x:v>
      </x:c>
      <x:c r="C28" s="130" t="str">
        <x:v>520 Demo Street, Cleveland, OH 44114</x:v>
      </x:c>
      <x:c r="D28" s="130" t="str">
        <x:v>359-555-0100</x:v>
      </x:c>
      <x:c r="E28" s="130" t="str">
        <x:v>***-**-0119</x:v>
      </x:c>
      <x:c r="F28" s="130" t="str">
        <x:v>Chase</x:v>
      </x:c>
      <x:c r="G28" s="130" t="n">
        <x:v>000000101</x:v>
      </x:c>
      <x:c r="H28" s="130" t="n">
        <x:v>999900203</x:v>
      </x:c>
      <x:c r="I28" s="130" t="str">
        <x:v>Incident/Accident Report</x:v>
      </x:c>
      <x:c r="J28" s="130" t="str">
        <x:v>VALID</x:v>
      </x:c>
      <x:c r="K28" s="130" t="str">
        <x:v>OH0000074</x:v>
      </x:c>
      <x:c r="L28" s="180" t="n">
        <x:v>46739</x:v>
      </x:c>
      <x:c r="M28" s="180" t="n">
        <x:v>46486</x:v>
      </x:c>
      <x:c r="N28" s="180" t="n">
        <x:v>46452</x:v>
      </x:c>
      <x:c r="O28" s="130" t="str">
        <x:v>Load L-504: Seal mismatch detected. Pickup: SEAL-61044 Delivery: SEAL-61043.</x:v>
      </x:c>
      <x:c r="P28" s="130" t="str">
        <x:v>Brown</x:v>
      </x:c>
      <x:c r="Q28" s="130" t="str">
        <x:v>Blue</x:v>
      </x:c>
      <x:c r="R28" s="130" t="str">
        <x:v>5'-7"</x:v>
      </x:c>
      <x:c r="S28" s="130" t="n">
        <x:v>148</x:v>
      </x:c>
      <x:c r="T28" s="130" t="str">
        <x:v>F</x:v>
      </x:c>
      <x:c r="U28" s="130" t="n">
        <x:v>33970</x:v>
      </x:c>
      <x:c r="V28" s="130" t="str">
        <x:v>DRV-004.png</x:v>
      </x:c>
      <x:c r="W28" s="130" t="str">
        <x:v>South Asian</x:v>
      </x:c>
      <x:c r="X28" s="130" t="str">
        <x:v>priyapatel@example.com</x:v>
      </x:c>
      <x:c r="Y28" s="130" t="str">
        <x:v>520 Demo Street</x:v>
      </x:c>
      <x:c r="Z28" s="130" t="str">
        <x:v>Cleveland</x:v>
      </x:c>
      <x:c r="AA28" s="130" t="str">
        <x:v>OH</x:v>
      </x:c>
      <x:c r="AB28" s="130" t="n">
        <x:v>44114</x:v>
      </x:c>
      <x:c r="AC28" s="130" t="str">
        <x:v>OH</x:v>
      </x:c>
      <x:c r="AD28" s="130" t="str">
        <x:v>Class A</x:v>
      </x:c>
      <x:c r="AE28" s="180" t="n">
        <x:v>44917</x:v>
      </x:c>
      <x:c r="AF28" s="130" t="str">
        <x:v>N,T</x:v>
      </x:c>
      <x:c r="AG28" s="130" t="str">
        <x:v>Automatic transmission only</x:v>
      </x:c>
      <x:c r="AH28" s="180" t="n">
        <x:v>45756</x:v>
      </x:c>
      <x:c r="AI28" s="130" t="str">
        <x:v>MC-0040812</x:v>
      </x:c>
      <x:c r="AJ28" s="130" t="str">
        <x:v>Dr. Ramon Ortiz</x:v>
      </x:c>
      <x:c r="AK28" s="130" t="str">
        <x:v>ME100004</x:v>
      </x:c>
      <x:c r="AL28" s="130"/>
      <x:c r="AM28" s="130" t="str">
        <x:v>Qualified</x:v>
      </x:c>
      <x:c r="AN28" s="180" t="n">
        <x:v>46422</x:v>
      </x:c>
      <x:c r="AO28" s="130" t="n">
        <x:v>0</x:v>
      </x:c>
      <x:c r="AP28" s="130" t="n">
        <x:v>0</x:v>
      </x:c>
      <x:c r="AQ28" s="130" t="str">
        <x:v>Automatic transmission only</x:v>
      </x:c>
      <x:c r="AR28" s="130" t="str">
        <x:v>Clear</x:v>
      </x:c>
      <x:c r="AS28" s="180" t="n">
        <x:v>45432</x:v>
      </x:c>
      <x:c r="AT28" s="130" t="str">
        <x:v>Authorized to Work</x:v>
      </x:c>
      <x:c r="AU28" s="130" t="str">
        <x:v>U.S. Passport</x:v>
      </x:c>
      <x:c r="AV28" s="130"/>
      <x:c r="AW28" s="130"/>
      <x:c r="AX28" s="180" t="n">
        <x:v>45432</x:v>
      </x:c>
      <x:c r="AY28" s="130" t="str">
        <x:v>BOF Onboarding Team</x:v>
      </x:c>
      <x:c r="AZ28" s="130" t="str">
        <x:v>Complete</x:v>
      </x:c>
      <x:c r="BA28" s="130"/>
      <x:c r="BB28" s="130" t="str">
        <x:v>Individual/Sole Proprietor</x:v>
      </x:c>
      <x:c r="BC28" s="130" t="str">
        <x:v>SSN</x:v>
      </x:c>
      <x:c r="BD28" s="130" t="str">
        <x:v>***-**-0119</x:v>
      </x:c>
      <x:c r="BE28" s="130"/>
      <x:c r="BF28" s="180" t="n">
        <x:v>45432</x:v>
      </x:c>
      <x:c r="BG28" s="130" t="str">
        <x:v>Received</x:v>
      </x:c>
      <x:c r="BH28" s="130" t="str">
        <x:v>Savings</x:v>
      </x:c>
      <x:c r="BI28" s="130" t="str">
        <x:v>Direct Deposit</x:v>
      </x:c>
      <x:c r="BJ28" s="180" t="n">
        <x:v>45432</x:v>
      </x:c>
      <x:c r="BK28" s="130" t="str">
        <x:v>Verified</x:v>
      </x:c>
      <x:c r="BL28" s="180" t="n">
        <x:v>45425</x:v>
      </x:c>
      <x:c r="BM28" s="130" t="str">
        <x:v>S. Howard</x:v>
      </x:c>
      <x:c r="BN28" s="130" t="str">
        <x:v>Day cab tractor</x:v>
      </x:c>
      <x:c r="BO28" s="130" t="str">
        <x:v>53 ft dry van</x:v>
      </x:c>
      <x:c r="BP28" s="130" t="str">
        <x:v>Cleveland, OH</x:v>
      </x:c>
      <x:c r="BQ28" s="130" t="n">
        <x:v>4</x:v>
      </x:c>
      <x:c r="BR28" s="130" t="n">
        <x:v>4</x:v>
      </x:c>
      <x:c r="BS28" s="130" t="n">
        <x:v>4</x:v>
      </x:c>
      <x:c r="BT28" s="130" t="n">
        <x:v>5</x:v>
      </x:c>
      <x:c r="BU28" s="130" t="n">
        <x:v>4</x:v>
      </x:c>
      <x:c r="BV28" s="130" t="n">
        <x:v>4</x:v>
      </x:c>
      <x:c r="BW28" s="130" t="n">
        <x:v>4</x:v>
      </x:c>
      <x:c r="BX28" s="130" t="n">
        <x:v>5</x:v>
      </x:c>
      <x:c r="BY28" s="130" t="n">
        <x:v>4</x:v>
      </x:c>
      <x:c r="BZ28" s="130" t="str">
        <x:v>Pass</x:v>
      </x:c>
      <x:c r="CA28" s="130" t="str">
        <x:v>Automatic transmission assigned</x:v>
      </x:c>
      <x:c r="CB28" s="130" t="str">
        <x:v>Passed</x:v>
      </x:c>
      <x:c r="CC28" s="130" t="str">
        <x:v>Enrolled</x:v>
      </x:c>
      <x:c r="CD28" s="130" t="str">
        <x:v>Query Completed</x:v>
      </x:c>
      <x:c r="CE28" s="180" t="n">
        <x:v>46037</x:v>
      </x:c>
      <x:c r="CF28" s="180" t="n">
        <x:v>46218</x:v>
      </x:c>
      <x:c r="CG28" s="130"/>
      <x:c r="CH28" s="130" t="str">
        <x:v>Compliant</x:v>
      </x:c>
      <x:c r="CI28" s="130"/>
      <x:c r="CJ28" s="130" t="str">
        <x:v>Priya</x:v>
      </x:c>
      <x:c r="CK28" s="130" t="str">
        <x:v>Patel</x:v>
      </x:c>
      <x:c r="CL28" s="130" t="str">
        <x:v>OH0000135</x:v>
      </x:c>
      <x:c r="CM28" s="130" t="str">
        <x:v>OH</x:v>
      </x:c>
      <x:c r="CN28" s="130" t="str">
        <x:v>CDL Holder</x:v>
      </x:c>
      <x:c r="CO28" s="130" t="str">
        <x:v>Priya Patel</x:v>
      </x:c>
      <x:c r="CP28" s="180" t="n">
        <x:v>45756</x:v>
      </x:c>
      <x:c r="CQ28" s="180" t="n">
        <x:v>46486</x:v>
      </x:c>
      <x:c r="CR28" s="130" t="str">
        <x:v>(614) 555-0111</x:v>
      </x:c>
      <x:c r="CS28" s="130" t="str">
        <x:v>Dr. Ramon Ortiz</x:v>
      </x:c>
      <x:c r="CT28" s="180" t="n">
        <x:v>45756</x:v>
      </x:c>
      <x:c r="CU28" s="130" t="str">
        <x:v>OH-ME-293591</x:v>
      </x:c>
      <x:c r="CV28" s="130" t="str">
        <x:v>ME100004</x:v>
      </x:c>
      <x:c r="CW28" s="130" t="str">
        <x:v>MD</x:v>
      </x:c>
      <x:c r="CX28" s="130" t="str">
        <x:v>OH</x:v>
      </x:c>
      <x:c r="CY28" s="130" t="str">
        <x:v>Federal Motor Carrier Safety Regulations</x:v>
      </x:c>
      <x:c r="CZ28" s="130"/>
      <x:c r="DA28" s="130" t="str">
        <x:v>No</x:v>
      </x:c>
      <x:c r="DB28" s="130" t="str">
        <x:v>No</x:v>
      </x:c>
      <x:c r="DC28" s="130" t="str">
        <x:v>No</x:v>
      </x:c>
      <x:c r="DD28" s="130" t="str">
        <x:v>No</x:v>
      </x:c>
      <x:c r="DE28" s="130" t="str">
        <x:v>No</x:v>
      </x:c>
      <x:c r="DF28" s="130" t="str">
        <x:v>No</x:v>
      </x:c>
      <x:c r="DG28" s="130" t="str">
        <x:v>Jane Doe</x:v>
      </x:c>
      <x:c r="DH28" s="130" t="str">
        <x:v>Sister</x:v>
      </x:c>
      <x:c r="DI28" s="130" t="str">
        <x:v>555-555-5555</x:v>
      </x:c>
      <x:c r="DJ28" s="130" t="str">
        <x:v>No</x:v>
      </x:c>
      <x:c r="DK28" s="130" t="str">
        <x:v>No</x:v>
      </x:c>
      <x:c r="DL28" s="130" t="str">
        <x:v>No</x:v>
      </x:c>
      <x:c r="DM28" s="130" t="str">
        <x:v>No</x:v>
      </x:c>
      <x:c r="DN28" s="130" t="str">
        <x:v>Yes - Appendectomy (2005)</x:v>
      </x:c>
      <x:c r="DO28" s="130" t="str">
        <x:v>20/20</x:v>
      </x:c>
      <x:c r="DP28" s="130" t="str">
        <x:v>20/20</x:v>
      </x:c>
      <x:c r="DQ28" s="130" t="str">
        <x:v>Pass</x:v>
      </x:c>
      <x:c r="DR28" s="130" t="str">
        <x:v>118</x:v>
      </x:c>
      <x:c r="DS28" s="130" t="str">
        <x:v>78</x:v>
      </x:c>
      <x:c r="DT28" s="130" t="str">
        <x:v>72</x:v>
      </x:c>
      <x:c r="DU28" s="130" t="str">
        <x:v>Normal</x:v>
      </x:c>
      <x:c r="DV28" s="180" t="n">
        <x:v>45392</x:v>
      </x:c>
      <x:c r="DW28" s="180" t="n">
        <x:v>45394</x:v>
      </x:c>
      <x:c r="DX28" s="130" t="str">
        <x:v>Negative</x:v>
      </x:c>
      <x:c r="DY28" s="180" t="n">
        <x:v>45397</x:v>
      </x:c>
      <x:c r="DZ28" s="130" t="str">
        <x:v>BOF Fleet Safety &amp; Compliance Policy 2024</x:v>
      </x:c>
      <x:c r="EA28" s="130" t="str">
        <x:v>Complete</x:v>
      </x:c>
      <x:c r="EB28" s="180" t="n">
        <x:v>45413</x:v>
      </x:c>
    </x:row>
    <x:row r="29">
      <x:c r="A29" s="130" t="str">
        <x:v>DRV-004</x:v>
      </x:c>
      <x:c r="B29" s="130" t="str">
        <x:v>Priya Patel</x:v>
      </x:c>
      <x:c r="C29" s="130" t="str">
        <x:v>520 Demo Street, Cleveland, OH 44114</x:v>
      </x:c>
      <x:c r="D29" s="130" t="str">
        <x:v>359-555-0100</x:v>
      </x:c>
      <x:c r="E29" s="130" t="str">
        <x:v>***-**-0119</x:v>
      </x:c>
      <x:c r="F29" s="130" t="str">
        <x:v>Chase</x:v>
      </x:c>
      <x:c r="G29" s="130" t="n">
        <x:v>000000101</x:v>
      </x:c>
      <x:c r="H29" s="130" t="n">
        <x:v>999900203</x:v>
      </x:c>
      <x:c r="I29" s="130" t="str">
        <x:v>Direct Deposit Form</x:v>
      </x:c>
      <x:c r="J29" s="130" t="str">
        <x:v>VALID</x:v>
      </x:c>
      <x:c r="K29" s="130" t="str">
        <x:v>OH0000095</x:v>
      </x:c>
      <x:c r="L29" s="180" t="n">
        <x:v>46739</x:v>
      </x:c>
      <x:c r="M29" s="180" t="n">
        <x:v>46486</x:v>
      </x:c>
      <x:c r="N29" s="180" t="n">
        <x:v>46452</x:v>
      </x:c>
      <x:c r="O29" s="130"/>
      <x:c r="P29" s="130" t="str">
        <x:v>Brown</x:v>
      </x:c>
      <x:c r="Q29" s="130" t="str">
        <x:v>Blue</x:v>
      </x:c>
      <x:c r="R29" s="130" t="str">
        <x:v>5'-7"</x:v>
      </x:c>
      <x:c r="S29" s="130" t="n">
        <x:v>148</x:v>
      </x:c>
      <x:c r="T29" s="130" t="str">
        <x:v>F</x:v>
      </x:c>
      <x:c r="U29" s="130" t="n">
        <x:v>33970</x:v>
      </x:c>
      <x:c r="V29" s="130" t="str">
        <x:v>DRV-004.png</x:v>
      </x:c>
      <x:c r="W29" s="130" t="str">
        <x:v>South Asian</x:v>
      </x:c>
      <x:c r="X29" s="130" t="str">
        <x:v>priyapatel@example.com</x:v>
      </x:c>
      <x:c r="Y29" s="130" t="str">
        <x:v>520 Demo Street</x:v>
      </x:c>
      <x:c r="Z29" s="130" t="str">
        <x:v>Cleveland</x:v>
      </x:c>
      <x:c r="AA29" s="130" t="str">
        <x:v>OH</x:v>
      </x:c>
      <x:c r="AB29" s="130" t="n">
        <x:v>44114</x:v>
      </x:c>
      <x:c r="AC29" s="130" t="str">
        <x:v>OH</x:v>
      </x:c>
      <x:c r="AD29" s="130" t="str">
        <x:v>Class A</x:v>
      </x:c>
      <x:c r="AE29" s="180" t="n">
        <x:v>44917</x:v>
      </x:c>
      <x:c r="AF29" s="130" t="str">
        <x:v>N,T</x:v>
      </x:c>
      <x:c r="AG29" s="130" t="str">
        <x:v>Automatic transmission only</x:v>
      </x:c>
      <x:c r="AH29" s="180" t="n">
        <x:v>45756</x:v>
      </x:c>
      <x:c r="AI29" s="130" t="str">
        <x:v>MC-0040812</x:v>
      </x:c>
      <x:c r="AJ29" s="130" t="str">
        <x:v>Dr. Ramon Ortiz</x:v>
      </x:c>
      <x:c r="AK29" s="130" t="str">
        <x:v>ME100004</x:v>
      </x:c>
      <x:c r="AL29" s="130"/>
      <x:c r="AM29" s="130" t="str">
        <x:v>Qualified</x:v>
      </x:c>
      <x:c r="AN29" s="180" t="n">
        <x:v>46422</x:v>
      </x:c>
      <x:c r="AO29" s="130" t="n">
        <x:v>0</x:v>
      </x:c>
      <x:c r="AP29" s="130" t="n">
        <x:v>0</x:v>
      </x:c>
      <x:c r="AQ29" s="130" t="str">
        <x:v>Automatic transmission only</x:v>
      </x:c>
      <x:c r="AR29" s="130" t="str">
        <x:v>Clear</x:v>
      </x:c>
      <x:c r="AS29" s="180" t="n">
        <x:v>45432</x:v>
      </x:c>
      <x:c r="AT29" s="130" t="str">
        <x:v>Authorized to Work</x:v>
      </x:c>
      <x:c r="AU29" s="130" t="str">
        <x:v>U.S. Passport</x:v>
      </x:c>
      <x:c r="AV29" s="130"/>
      <x:c r="AW29" s="130"/>
      <x:c r="AX29" s="180" t="n">
        <x:v>45432</x:v>
      </x:c>
      <x:c r="AY29" s="130" t="str">
        <x:v>BOF Onboarding Team</x:v>
      </x:c>
      <x:c r="AZ29" s="130" t="str">
        <x:v>Complete</x:v>
      </x:c>
      <x:c r="BA29" s="130"/>
      <x:c r="BB29" s="130" t="str">
        <x:v>Individual/Sole Proprietor</x:v>
      </x:c>
      <x:c r="BC29" s="130" t="str">
        <x:v>SSN</x:v>
      </x:c>
      <x:c r="BD29" s="130" t="str">
        <x:v>***-**-0119</x:v>
      </x:c>
      <x:c r="BE29" s="130"/>
      <x:c r="BF29" s="180" t="n">
        <x:v>45432</x:v>
      </x:c>
      <x:c r="BG29" s="130" t="str">
        <x:v>Received</x:v>
      </x:c>
      <x:c r="BH29" s="130" t="str">
        <x:v>Savings</x:v>
      </x:c>
      <x:c r="BI29" s="130" t="str">
        <x:v>Direct Deposit</x:v>
      </x:c>
      <x:c r="BJ29" s="180" t="n">
        <x:v>45432</x:v>
      </x:c>
      <x:c r="BK29" s="130" t="str">
        <x:v>Verified</x:v>
      </x:c>
      <x:c r="BL29" s="180" t="n">
        <x:v>45425</x:v>
      </x:c>
      <x:c r="BM29" s="130" t="str">
        <x:v>S. Howard</x:v>
      </x:c>
      <x:c r="BN29" s="130" t="str">
        <x:v>Day cab tractor</x:v>
      </x:c>
      <x:c r="BO29" s="130" t="str">
        <x:v>53 ft dry van</x:v>
      </x:c>
      <x:c r="BP29" s="130" t="str">
        <x:v>Cleveland, OH</x:v>
      </x:c>
      <x:c r="BQ29" s="130" t="n">
        <x:v>4</x:v>
      </x:c>
      <x:c r="BR29" s="130" t="n">
        <x:v>4</x:v>
      </x:c>
      <x:c r="BS29" s="130" t="n">
        <x:v>4</x:v>
      </x:c>
      <x:c r="BT29" s="130" t="n">
        <x:v>5</x:v>
      </x:c>
      <x:c r="BU29" s="130" t="n">
        <x:v>4</x:v>
      </x:c>
      <x:c r="BV29" s="130" t="n">
        <x:v>4</x:v>
      </x:c>
      <x:c r="BW29" s="130" t="n">
        <x:v>4</x:v>
      </x:c>
      <x:c r="BX29" s="130" t="n">
        <x:v>5</x:v>
      </x:c>
      <x:c r="BY29" s="130" t="n">
        <x:v>4</x:v>
      </x:c>
      <x:c r="BZ29" s="130" t="str">
        <x:v>Pass</x:v>
      </x:c>
      <x:c r="CA29" s="130" t="str">
        <x:v>Automatic transmission assigned</x:v>
      </x:c>
      <x:c r="CB29" s="130" t="str">
        <x:v>Passed</x:v>
      </x:c>
      <x:c r="CC29" s="130" t="str">
        <x:v>Enrolled</x:v>
      </x:c>
      <x:c r="CD29" s="130" t="str">
        <x:v>Query Completed</x:v>
      </x:c>
      <x:c r="CE29" s="180" t="n">
        <x:v>46037</x:v>
      </x:c>
      <x:c r="CF29" s="180" t="n">
        <x:v>46218</x:v>
      </x:c>
      <x:c r="CG29" s="130"/>
      <x:c r="CH29" s="130" t="str">
        <x:v>Compliant</x:v>
      </x:c>
      <x:c r="CI29" s="130"/>
      <x:c r="CJ29" s="130" t="str">
        <x:v>Priya</x:v>
      </x:c>
      <x:c r="CK29" s="130" t="str">
        <x:v>Patel</x:v>
      </x:c>
      <x:c r="CL29" s="130" t="str">
        <x:v>OH0000136</x:v>
      </x:c>
      <x:c r="CM29" s="130" t="str">
        <x:v>OH</x:v>
      </x:c>
      <x:c r="CN29" s="130" t="str">
        <x:v>CDL Holder</x:v>
      </x:c>
      <x:c r="CO29" s="130" t="str">
        <x:v>Priya Patel</x:v>
      </x:c>
      <x:c r="CP29" s="180" t="n">
        <x:v>45756</x:v>
      </x:c>
      <x:c r="CQ29" s="180" t="n">
        <x:v>46486</x:v>
      </x:c>
      <x:c r="CR29" s="130" t="str">
        <x:v>(614) 555-0111</x:v>
      </x:c>
      <x:c r="CS29" s="130" t="str">
        <x:v>Dr. Ramon Ortiz</x:v>
      </x:c>
      <x:c r="CT29" s="180" t="n">
        <x:v>45756</x:v>
      </x:c>
      <x:c r="CU29" s="130" t="str">
        <x:v>OH-ME-293591</x:v>
      </x:c>
      <x:c r="CV29" s="130" t="str">
        <x:v>ME100004</x:v>
      </x:c>
      <x:c r="CW29" s="130" t="str">
        <x:v>MD</x:v>
      </x:c>
      <x:c r="CX29" s="130" t="str">
        <x:v>OH</x:v>
      </x:c>
      <x:c r="CY29" s="130" t="str">
        <x:v>Federal Motor Carrier Safety Regulations</x:v>
      </x:c>
      <x:c r="CZ29" s="130"/>
      <x:c r="DA29" s="130" t="str">
        <x:v>No</x:v>
      </x:c>
      <x:c r="DB29" s="130" t="str">
        <x:v>No</x:v>
      </x:c>
      <x:c r="DC29" s="130" t="str">
        <x:v>No</x:v>
      </x:c>
      <x:c r="DD29" s="130" t="str">
        <x:v>No</x:v>
      </x:c>
      <x:c r="DE29" s="130" t="str">
        <x:v>No</x:v>
      </x:c>
      <x:c r="DF29" s="130" t="str">
        <x:v>No</x:v>
      </x:c>
      <x:c r="DG29" s="130" t="str">
        <x:v>Jane Doe</x:v>
      </x:c>
      <x:c r="DH29" s="130" t="str">
        <x:v>Sister</x:v>
      </x:c>
      <x:c r="DI29" s="130" t="str">
        <x:v>555-555-5555</x:v>
      </x:c>
      <x:c r="DJ29" s="130" t="str">
        <x:v>No</x:v>
      </x:c>
      <x:c r="DK29" s="130" t="str">
        <x:v>No</x:v>
      </x:c>
      <x:c r="DL29" s="130" t="str">
        <x:v>No</x:v>
      </x:c>
      <x:c r="DM29" s="130" t="str">
        <x:v>No</x:v>
      </x:c>
      <x:c r="DN29" s="130" t="str">
        <x:v>Yes - Appendectomy (2005)</x:v>
      </x:c>
      <x:c r="DO29" s="130" t="str">
        <x:v>20/20</x:v>
      </x:c>
      <x:c r="DP29" s="130" t="str">
        <x:v>20/20</x:v>
      </x:c>
      <x:c r="DQ29" s="130" t="str">
        <x:v>Pass</x:v>
      </x:c>
      <x:c r="DR29" s="130" t="str">
        <x:v>118</x:v>
      </x:c>
      <x:c r="DS29" s="130" t="str">
        <x:v>78</x:v>
      </x:c>
      <x:c r="DT29" s="130" t="str">
        <x:v>72</x:v>
      </x:c>
      <x:c r="DU29" s="130" t="str">
        <x:v>Normal</x:v>
      </x:c>
      <x:c r="DV29" s="180" t="n">
        <x:v>45392</x:v>
      </x:c>
      <x:c r="DW29" s="180" t="n">
        <x:v>45394</x:v>
      </x:c>
      <x:c r="DX29" s="130" t="str">
        <x:v>Negative</x:v>
      </x:c>
      <x:c r="DY29" s="180" t="n">
        <x:v>45397</x:v>
      </x:c>
      <x:c r="DZ29" s="130" t="str">
        <x:v>BOF Fleet Safety &amp; Compliance Policy 2024</x:v>
      </x:c>
      <x:c r="EA29" s="130" t="str">
        <x:v>Complete</x:v>
      </x:c>
      <x:c r="EB29" s="180" t="n">
        <x:v>45413</x:v>
      </x:c>
    </x:row>
    <x:row r="30">
      <x:c r="A30" s="130" t="str">
        <x:v>DRV-005</x:v>
      </x:c>
      <x:c r="B30" s="130" t="str">
        <x:v>Kenji Tanaka</x:v>
      </x:c>
      <x:c r="C30" s="130" t="str">
        <x:v>150 Demo Street, Columbus, OH 43215</x:v>
      </x:c>
      <x:c r="D30" s="130" t="str">
        <x:v>871-555-0100</x:v>
      </x:c>
      <x:c r="E30" s="130" t="str">
        <x:v>***-**-0102</x:v>
      </x:c>
      <x:c r="F30" s="130" t="str">
        <x:v>Chase</x:v>
      </x:c>
      <x:c r="G30" s="130" t="n">
        <x:v>000000105</x:v>
      </x:c>
      <x:c r="H30" s="130" t="n">
        <x:v>999900206</x:v>
      </x:c>
      <x:c r="I30" s="130" t="str">
        <x:v>CDL Summary</x:v>
      </x:c>
      <x:c r="J30" s="130" t="str">
        <x:v>VALID</x:v>
      </x:c>
      <x:c r="K30" s="130" t="str">
        <x:v>OH0000084</x:v>
      </x:c>
      <x:c r="L30" s="180" t="n">
        <x:v>46577</x:v>
      </x:c>
      <x:c r="M30" s="180" t="n">
        <x:v>46496</x:v>
      </x:c>
      <x:c r="N30" s="180" t="n">
        <x:v>46478</x:v>
      </x:c>
      <x:c r="O30" s="130"/>
      <x:c r="P30" s="130" t="str">
        <x:v>Black</x:v>
      </x:c>
      <x:c r="Q30" s="130" t="str">
        <x:v>Green</x:v>
      </x:c>
      <x:c r="R30" s="130" t="str">
        <x:v>5'-10"</x:v>
      </x:c>
      <x:c r="S30" s="130" t="n">
        <x:v>193</x:v>
      </x:c>
      <x:c r="T30" s="130" t="str">
        <x:v>M</x:v>
      </x:c>
      <x:c r="U30" s="130" t="n">
        <x:v>24108</x:v>
      </x:c>
      <x:c r="V30" s="130" t="str">
        <x:v>DRV-005.png</x:v>
      </x:c>
      <x:c r="W30" s="130" t="str">
        <x:v>Asian</x:v>
      </x:c>
      <x:c r="X30" s="130" t="str">
        <x:v>ktanaka@example.com</x:v>
      </x:c>
      <x:c r="Y30" s="130" t="str">
        <x:v>150 Demo Street</x:v>
      </x:c>
      <x:c r="Z30" s="130" t="str">
        <x:v>Columbus</x:v>
      </x:c>
      <x:c r="AA30" s="130" t="str">
        <x:v>OH</x:v>
      </x:c>
      <x:c r="AB30" s="130" t="n">
        <x:v>43215</x:v>
      </x:c>
      <x:c r="AC30" s="130" t="str">
        <x:v>OH</x:v>
      </x:c>
      <x:c r="AD30" s="130" t="str">
        <x:v>Class A</x:v>
      </x:c>
      <x:c r="AE30" s="180" t="n">
        <x:v>44755</x:v>
      </x:c>
      <x:c r="AF30" s="130" t="str">
        <x:v>T</x:v>
      </x:c>
      <x:c r="AG30" s="130" t="str">
        <x:v>Corrective lenses</x:v>
      </x:c>
      <x:c r="AH30" s="180" t="n">
        <x:v>45766</x:v>
      </x:c>
      <x:c r="AI30" s="130" t="str">
        <x:v>MC-0051018</x:v>
      </x:c>
      <x:c r="AJ30" s="130" t="str">
        <x:v>Dr. Helen Price</x:v>
      </x:c>
      <x:c r="AK30" s="130" t="str">
        <x:v>ME100005</x:v>
      </x:c>
      <x:c r="AL30" s="130" t="str">
        <x:v>Corrective lenses</x:v>
      </x:c>
      <x:c r="AM30" s="130" t="str">
        <x:v>Qualified</x:v>
      </x:c>
      <x:c r="AN30" s="180" t="n">
        <x:v>46448</x:v>
      </x:c>
      <x:c r="AO30" s="130" t="n">
        <x:v>1</x:v>
      </x:c>
      <x:c r="AP30" s="130" t="n">
        <x:v>0</x:v>
      </x:c>
      <x:c r="AQ30" s="130" t="str">
        <x:v>Corrective lenses</x:v>
      </x:c>
      <x:c r="AR30" s="130" t="str">
        <x:v>Clear</x:v>
      </x:c>
      <x:c r="AS30" s="180" t="n">
        <x:v>45509</x:v>
      </x:c>
      <x:c r="AT30" s="130" t="str">
        <x:v>Authorized to Work</x:v>
      </x:c>
      <x:c r="AU30" s="130" t="str">
        <x:v>U.S. Passport</x:v>
      </x:c>
      <x:c r="AV30" s="130"/>
      <x:c r="AW30" s="130"/>
      <x:c r="AX30" s="180" t="n">
        <x:v>45509</x:v>
      </x:c>
      <x:c r="AY30" s="130" t="str">
        <x:v>BOF Onboarding Team</x:v>
      </x:c>
      <x:c r="AZ30" s="130" t="str">
        <x:v>Complete</x:v>
      </x:c>
      <x:c r="BA30" s="130"/>
      <x:c r="BB30" s="130" t="str">
        <x:v>Individual/Sole Proprietor</x:v>
      </x:c>
      <x:c r="BC30" s="130" t="str">
        <x:v>SSN</x:v>
      </x:c>
      <x:c r="BD30" s="130" t="str">
        <x:v>***-**-0102</x:v>
      </x:c>
      <x:c r="BE30" s="130"/>
      <x:c r="BF30" s="180" t="n">
        <x:v>45509</x:v>
      </x:c>
      <x:c r="BG30" s="130" t="str">
        <x:v>Received</x:v>
      </x:c>
      <x:c r="BH30" s="130" t="str">
        <x:v>Checking</x:v>
      </x:c>
      <x:c r="BI30" s="130" t="str">
        <x:v>Direct Deposit</x:v>
      </x:c>
      <x:c r="BJ30" s="180" t="n">
        <x:v>45509</x:v>
      </x:c>
      <x:c r="BK30" s="130" t="str">
        <x:v>Verified</x:v>
      </x:c>
      <x:c r="BL30" s="180" t="n">
        <x:v>45502</x:v>
      </x:c>
      <x:c r="BM30" s="130" t="str">
        <x:v>T. Warren</x:v>
      </x:c>
      <x:c r="BN30" s="130" t="str">
        <x:v>Day cab tractor</x:v>
      </x:c>
      <x:c r="BO30" s="130" t="str">
        <x:v>53 ft dry van</x:v>
      </x:c>
      <x:c r="BP30" s="130" t="str">
        <x:v>Columbus, OH</x:v>
      </x:c>
      <x:c r="BQ30" s="130" t="n">
        <x:v>5</x:v>
      </x:c>
      <x:c r="BR30" s="130" t="n">
        <x:v>4</x:v>
      </x:c>
      <x:c r="BS30" s="130" t="n">
        <x:v>4</x:v>
      </x:c>
      <x:c r="BT30" s="130" t="n">
        <x:v>4</x:v>
      </x:c>
      <x:c r="BU30" s="130" t="n">
        <x:v>4</x:v>
      </x:c>
      <x:c r="BV30" s="130" t="n">
        <x:v>5</x:v>
      </x:c>
      <x:c r="BW30" s="130" t="n">
        <x:v>4</x:v>
      </x:c>
      <x:c r="BX30" s="130" t="n">
        <x:v>4</x:v>
      </x:c>
      <x:c r="BY30" s="130" t="n">
        <x:v>4</x:v>
      </x:c>
      <x:c r="BZ30" s="130" t="str">
        <x:v>Pass</x:v>
      </x:c>
      <x:c r="CA30" s="130" t="str">
        <x:v>Corrective lenses</x:v>
      </x:c>
      <x:c r="CB30" s="130" t="str">
        <x:v>Passed</x:v>
      </x:c>
      <x:c r="CC30" s="130" t="str">
        <x:v>Enrolled</x:v>
      </x:c>
      <x:c r="CD30" s="130" t="str">
        <x:v>Query Completed</x:v>
      </x:c>
      <x:c r="CE30" s="180" t="n">
        <x:v>46037</x:v>
      </x:c>
      <x:c r="CF30" s="180" t="n">
        <x:v>46218</x:v>
      </x:c>
      <x:c r="CG30" s="130"/>
      <x:c r="CH30" s="130" t="str">
        <x:v>Compliant</x:v>
      </x:c>
      <x:c r="CI30" s="130"/>
      <x:c r="CJ30" s="130" t="str">
        <x:v>Kenji</x:v>
      </x:c>
      <x:c r="CK30" s="130" t="str">
        <x:v>Tanaka</x:v>
      </x:c>
      <x:c r="CL30" s="130" t="str">
        <x:v>OH0000084</x:v>
      </x:c>
      <x:c r="CM30" s="130" t="str">
        <x:v>OH</x:v>
      </x:c>
      <x:c r="CN30" s="130" t="str">
        <x:v>CDL Holder</x:v>
      </x:c>
      <x:c r="CO30" s="130" t="str">
        <x:v>Kenji Tanaka</x:v>
      </x:c>
      <x:c r="CP30" s="180" t="n">
        <x:v>45766</x:v>
      </x:c>
      <x:c r="CQ30" s="180" t="n">
        <x:v>46496</x:v>
      </x:c>
      <x:c r="CR30" s="130" t="str">
        <x:v>(614) 555-0106</x:v>
      </x:c>
      <x:c r="CS30" s="130" t="str">
        <x:v>Dr. Helen Price</x:v>
      </x:c>
      <x:c r="CT30" s="180" t="n">
        <x:v>45766</x:v>
      </x:c>
      <x:c r="CU30" s="130" t="str">
        <x:v>OH-ME-401933</x:v>
      </x:c>
      <x:c r="CV30" s="130" t="str">
        <x:v>ME100005</x:v>
      </x:c>
      <x:c r="CW30" s="130" t="str">
        <x:v>Advanced Practice Nurse</x:v>
      </x:c>
      <x:c r="CX30" s="130" t="str">
        <x:v>OH</x:v>
      </x:c>
      <x:c r="CY30" s="130" t="str">
        <x:v>Federal Motor Carrier Safety Regulations</x:v>
      </x:c>
      <x:c r="CZ30" s="130"/>
      <x:c r="DA30" s="130" t="str">
        <x:v>Yes</x:v>
      </x:c>
      <x:c r="DB30" s="130" t="str">
        <x:v>No</x:v>
      </x:c>
      <x:c r="DC30" s="130" t="str">
        <x:v>No</x:v>
      </x:c>
      <x:c r="DD30" s="130" t="str">
        <x:v>No</x:v>
      </x:c>
      <x:c r="DE30" s="130" t="str">
        <x:v>Yes</x:v>
      </x:c>
      <x:c r="DF30" s="130" t="str">
        <x:v>No</x:v>
      </x:c>
      <x:c r="DG30" s="130" t="str">
        <x:v>Jane Doe</x:v>
      </x:c>
      <x:c r="DH30" s="130" t="str">
        <x:v>Sister</x:v>
      </x:c>
      <x:c r="DI30" s="130" t="str">
        <x:v>555-555-5555</x:v>
      </x:c>
      <x:c r="DJ30" s="130" t="str">
        <x:v>No</x:v>
      </x:c>
      <x:c r="DK30" s="130" t="str">
        <x:v>No</x:v>
      </x:c>
      <x:c r="DL30" s="130" t="str">
        <x:v>No</x:v>
      </x:c>
      <x:c r="DM30" s="130" t="str">
        <x:v>No</x:v>
      </x:c>
      <x:c r="DN30" s="130" t="str">
        <x:v>Yes - Appendectomy (2005)</x:v>
      </x:c>
      <x:c r="DO30" s="130" t="str">
        <x:v>20/20</x:v>
      </x:c>
      <x:c r="DP30" s="130" t="str">
        <x:v>20/20</x:v>
      </x:c>
      <x:c r="DQ30" s="130" t="str">
        <x:v>Pass</x:v>
      </x:c>
      <x:c r="DR30" s="130" t="str">
        <x:v>118</x:v>
      </x:c>
      <x:c r="DS30" s="130" t="str">
        <x:v>78</x:v>
      </x:c>
      <x:c r="DT30" s="130" t="str">
        <x:v>72</x:v>
      </x:c>
      <x:c r="DU30" s="130" t="str">
        <x:v>Normal</x:v>
      </x:c>
      <x:c r="DV30" s="180" t="n">
        <x:v>45392</x:v>
      </x:c>
      <x:c r="DW30" s="180" t="n">
        <x:v>45394</x:v>
      </x:c>
      <x:c r="DX30" s="130" t="str">
        <x:v>Negative</x:v>
      </x:c>
      <x:c r="DY30" s="180" t="n">
        <x:v>45397</x:v>
      </x:c>
      <x:c r="DZ30" s="130" t="str">
        <x:v>BOF Fleet Safety &amp; Compliance Policy 2024</x:v>
      </x:c>
      <x:c r="EA30" s="130" t="str">
        <x:v>Complete</x:v>
      </x:c>
      <x:c r="EB30" s="180" t="n">
        <x:v>45413</x:v>
      </x:c>
    </x:row>
    <x:row r="31">
      <x:c r="A31" s="130" t="str">
        <x:v>DRV-005</x:v>
      </x:c>
      <x:c r="B31" s="130" t="str">
        <x:v>Kenji Tanaka</x:v>
      </x:c>
      <x:c r="C31" s="130" t="str">
        <x:v>150 Demo Street, Columbus, OH 43215</x:v>
      </x:c>
      <x:c r="D31" s="130" t="str">
        <x:v>871-555-0100</x:v>
      </x:c>
      <x:c r="E31" s="130" t="str">
        <x:v>***-**-0102</x:v>
      </x:c>
      <x:c r="F31" s="130" t="str">
        <x:v>Chase</x:v>
      </x:c>
      <x:c r="G31" s="130" t="n">
        <x:v>000000105</x:v>
      </x:c>
      <x:c r="H31" s="130" t="n">
        <x:v>999900206</x:v>
      </x:c>
      <x:c r="I31" s="130" t="str">
        <x:v>Medical Certification</x:v>
      </x:c>
      <x:c r="J31" s="130" t="str">
        <x:v>VALID</x:v>
      </x:c>
      <x:c r="K31" s="130" t="str">
        <x:v>OH0000093</x:v>
      </x:c>
      <x:c r="L31" s="180" t="n">
        <x:v>46577</x:v>
      </x:c>
      <x:c r="M31" s="180" t="n">
        <x:v>46496</x:v>
      </x:c>
      <x:c r="N31" s="180" t="n">
        <x:v>46478</x:v>
      </x:c>
      <x:c r="O31" s="130"/>
      <x:c r="P31" s="130" t="str">
        <x:v>Black</x:v>
      </x:c>
      <x:c r="Q31" s="130" t="str">
        <x:v>Green</x:v>
      </x:c>
      <x:c r="R31" s="130" t="str">
        <x:v>5'-10"</x:v>
      </x:c>
      <x:c r="S31" s="130" t="n">
        <x:v>193</x:v>
      </x:c>
      <x:c r="T31" s="130" t="str">
        <x:v>M</x:v>
      </x:c>
      <x:c r="U31" s="130" t="n">
        <x:v>24108</x:v>
      </x:c>
      <x:c r="V31" s="130" t="str">
        <x:v>DRV-005.png</x:v>
      </x:c>
      <x:c r="W31" s="130" t="str">
        <x:v>Asian</x:v>
      </x:c>
      <x:c r="X31" s="130" t="str">
        <x:v>ktanaka@example.com</x:v>
      </x:c>
      <x:c r="Y31" s="130" t="str">
        <x:v>150 Demo Street</x:v>
      </x:c>
      <x:c r="Z31" s="130" t="str">
        <x:v>Columbus</x:v>
      </x:c>
      <x:c r="AA31" s="130" t="str">
        <x:v>OH</x:v>
      </x:c>
      <x:c r="AB31" s="130" t="n">
        <x:v>43215</x:v>
      </x:c>
      <x:c r="AC31" s="130" t="str">
        <x:v>OH</x:v>
      </x:c>
      <x:c r="AD31" s="130" t="str">
        <x:v>Class A</x:v>
      </x:c>
      <x:c r="AE31" s="180" t="n">
        <x:v>44755</x:v>
      </x:c>
      <x:c r="AF31" s="130" t="str">
        <x:v>T</x:v>
      </x:c>
      <x:c r="AG31" s="130" t="str">
        <x:v>Corrective lenses</x:v>
      </x:c>
      <x:c r="AH31" s="180" t="n">
        <x:v>45766</x:v>
      </x:c>
      <x:c r="AI31" s="130" t="str">
        <x:v>MC-0051018</x:v>
      </x:c>
      <x:c r="AJ31" s="130" t="str">
        <x:v>Dr. Helen Price</x:v>
      </x:c>
      <x:c r="AK31" s="130" t="str">
        <x:v>ME100005</x:v>
      </x:c>
      <x:c r="AL31" s="130" t="str">
        <x:v>Corrective lenses</x:v>
      </x:c>
      <x:c r="AM31" s="130" t="str">
        <x:v>Qualified</x:v>
      </x:c>
      <x:c r="AN31" s="180" t="n">
        <x:v>46448</x:v>
      </x:c>
      <x:c r="AO31" s="130" t="n">
        <x:v>1</x:v>
      </x:c>
      <x:c r="AP31" s="130" t="n">
        <x:v>0</x:v>
      </x:c>
      <x:c r="AQ31" s="130" t="str">
        <x:v>Corrective lenses</x:v>
      </x:c>
      <x:c r="AR31" s="130" t="str">
        <x:v>Clear</x:v>
      </x:c>
      <x:c r="AS31" s="180" t="n">
        <x:v>45509</x:v>
      </x:c>
      <x:c r="AT31" s="130" t="str">
        <x:v>Authorized to Work</x:v>
      </x:c>
      <x:c r="AU31" s="130" t="str">
        <x:v>U.S. Passport</x:v>
      </x:c>
      <x:c r="AV31" s="130"/>
      <x:c r="AW31" s="130"/>
      <x:c r="AX31" s="180" t="n">
        <x:v>45509</x:v>
      </x:c>
      <x:c r="AY31" s="130" t="str">
        <x:v>BOF Onboarding Team</x:v>
      </x:c>
      <x:c r="AZ31" s="130" t="str">
        <x:v>Complete</x:v>
      </x:c>
      <x:c r="BA31" s="130"/>
      <x:c r="BB31" s="130" t="str">
        <x:v>Individual/Sole Proprietor</x:v>
      </x:c>
      <x:c r="BC31" s="130" t="str">
        <x:v>SSN</x:v>
      </x:c>
      <x:c r="BD31" s="130" t="str">
        <x:v>***-**-0102</x:v>
      </x:c>
      <x:c r="BE31" s="130"/>
      <x:c r="BF31" s="180" t="n">
        <x:v>45509</x:v>
      </x:c>
      <x:c r="BG31" s="130" t="str">
        <x:v>Received</x:v>
      </x:c>
      <x:c r="BH31" s="130" t="str">
        <x:v>Checking</x:v>
      </x:c>
      <x:c r="BI31" s="130" t="str">
        <x:v>Direct Deposit</x:v>
      </x:c>
      <x:c r="BJ31" s="180" t="n">
        <x:v>45509</x:v>
      </x:c>
      <x:c r="BK31" s="130" t="str">
        <x:v>Verified</x:v>
      </x:c>
      <x:c r="BL31" s="180" t="n">
        <x:v>45502</x:v>
      </x:c>
      <x:c r="BM31" s="130" t="str">
        <x:v>T. Warren</x:v>
      </x:c>
      <x:c r="BN31" s="130" t="str">
        <x:v>Day cab tractor</x:v>
      </x:c>
      <x:c r="BO31" s="130" t="str">
        <x:v>53 ft dry van</x:v>
      </x:c>
      <x:c r="BP31" s="130" t="str">
        <x:v>Columbus, OH</x:v>
      </x:c>
      <x:c r="BQ31" s="130" t="n">
        <x:v>5</x:v>
      </x:c>
      <x:c r="BR31" s="130" t="n">
        <x:v>4</x:v>
      </x:c>
      <x:c r="BS31" s="130" t="n">
        <x:v>4</x:v>
      </x:c>
      <x:c r="BT31" s="130" t="n">
        <x:v>4</x:v>
      </x:c>
      <x:c r="BU31" s="130" t="n">
        <x:v>4</x:v>
      </x:c>
      <x:c r="BV31" s="130" t="n">
        <x:v>5</x:v>
      </x:c>
      <x:c r="BW31" s="130" t="n">
        <x:v>4</x:v>
      </x:c>
      <x:c r="BX31" s="130" t="n">
        <x:v>4</x:v>
      </x:c>
      <x:c r="BY31" s="130" t="n">
        <x:v>4</x:v>
      </x:c>
      <x:c r="BZ31" s="130" t="str">
        <x:v>Pass</x:v>
      </x:c>
      <x:c r="CA31" s="130" t="str">
        <x:v>Corrective lenses</x:v>
      </x:c>
      <x:c r="CB31" s="130" t="str">
        <x:v>Passed</x:v>
      </x:c>
      <x:c r="CC31" s="130" t="str">
        <x:v>Enrolled</x:v>
      </x:c>
      <x:c r="CD31" s="130" t="str">
        <x:v>Query Completed</x:v>
      </x:c>
      <x:c r="CE31" s="180" t="n">
        <x:v>46037</x:v>
      </x:c>
      <x:c r="CF31" s="180" t="n">
        <x:v>46218</x:v>
      </x:c>
      <x:c r="CG31" s="130"/>
      <x:c r="CH31" s="130" t="str">
        <x:v>Compliant</x:v>
      </x:c>
      <x:c r="CI31" s="130"/>
      <x:c r="CJ31" s="130" t="str">
        <x:v>Kenji</x:v>
      </x:c>
      <x:c r="CK31" s="130" t="str">
        <x:v>Tanaka</x:v>
      </x:c>
      <x:c r="CL31" s="130" t="str">
        <x:v>OH0000085</x:v>
      </x:c>
      <x:c r="CM31" s="130" t="str">
        <x:v>OH</x:v>
      </x:c>
      <x:c r="CN31" s="130" t="str">
        <x:v>CDL Holder</x:v>
      </x:c>
      <x:c r="CO31" s="130" t="str">
        <x:v>Kenji Tanaka</x:v>
      </x:c>
      <x:c r="CP31" s="180" t="n">
        <x:v>45766</x:v>
      </x:c>
      <x:c r="CQ31" s="180" t="n">
        <x:v>46496</x:v>
      </x:c>
      <x:c r="CR31" s="130" t="str">
        <x:v>(614) 555-0106</x:v>
      </x:c>
      <x:c r="CS31" s="130" t="str">
        <x:v>Dr. Helen Price</x:v>
      </x:c>
      <x:c r="CT31" s="180" t="n">
        <x:v>45766</x:v>
      </x:c>
      <x:c r="CU31" s="130" t="str">
        <x:v>OH-ME-401933</x:v>
      </x:c>
      <x:c r="CV31" s="130" t="str">
        <x:v>ME100005</x:v>
      </x:c>
      <x:c r="CW31" s="130" t="str">
        <x:v>Advanced Practice Nurse</x:v>
      </x:c>
      <x:c r="CX31" s="130" t="str">
        <x:v>OH</x:v>
      </x:c>
      <x:c r="CY31" s="130" t="str">
        <x:v>Federal Motor Carrier Safety Regulations</x:v>
      </x:c>
      <x:c r="CZ31" s="130"/>
      <x:c r="DA31" s="130" t="str">
        <x:v>Yes</x:v>
      </x:c>
      <x:c r="DB31" s="130" t="str">
        <x:v>No</x:v>
      </x:c>
      <x:c r="DC31" s="130" t="str">
        <x:v>No</x:v>
      </x:c>
      <x:c r="DD31" s="130" t="str">
        <x:v>No</x:v>
      </x:c>
      <x:c r="DE31" s="130" t="str">
        <x:v>Yes</x:v>
      </x:c>
      <x:c r="DF31" s="130" t="str">
        <x:v>No</x:v>
      </x:c>
      <x:c r="DG31" s="130" t="str">
        <x:v>Jane Doe</x:v>
      </x:c>
      <x:c r="DH31" s="130" t="str">
        <x:v>Sister</x:v>
      </x:c>
      <x:c r="DI31" s="130" t="str">
        <x:v>555-555-5555</x:v>
      </x:c>
      <x:c r="DJ31" s="130" t="str">
        <x:v>No</x:v>
      </x:c>
      <x:c r="DK31" s="130" t="str">
        <x:v>No</x:v>
      </x:c>
      <x:c r="DL31" s="130" t="str">
        <x:v>No</x:v>
      </x:c>
      <x:c r="DM31" s="130" t="str">
        <x:v>No</x:v>
      </x:c>
      <x:c r="DN31" s="130" t="str">
        <x:v>Yes - Appendectomy (2005)</x:v>
      </x:c>
      <x:c r="DO31" s="130" t="str">
        <x:v>20/20</x:v>
      </x:c>
      <x:c r="DP31" s="130" t="str">
        <x:v>20/20</x:v>
      </x:c>
      <x:c r="DQ31" s="130" t="str">
        <x:v>Pass</x:v>
      </x:c>
      <x:c r="DR31" s="130" t="str">
        <x:v>118</x:v>
      </x:c>
      <x:c r="DS31" s="130" t="str">
        <x:v>78</x:v>
      </x:c>
      <x:c r="DT31" s="130" t="str">
        <x:v>72</x:v>
      </x:c>
      <x:c r="DU31" s="130" t="str">
        <x:v>Normal</x:v>
      </x:c>
      <x:c r="DV31" s="180" t="n">
        <x:v>45392</x:v>
      </x:c>
      <x:c r="DW31" s="180" t="n">
        <x:v>45394</x:v>
      </x:c>
      <x:c r="DX31" s="130" t="str">
        <x:v>Negative</x:v>
      </x:c>
      <x:c r="DY31" s="180" t="n">
        <x:v>45397</x:v>
      </x:c>
      <x:c r="DZ31" s="130" t="str">
        <x:v>BOF Fleet Safety &amp; Compliance Policy 2024</x:v>
      </x:c>
      <x:c r="EA31" s="130" t="str">
        <x:v>Complete</x:v>
      </x:c>
      <x:c r="EB31" s="180" t="n">
        <x:v>45413</x:v>
      </x:c>
    </x:row>
    <x:row r="32">
      <x:c r="A32" s="130" t="str">
        <x:v>DRV-005</x:v>
      </x:c>
      <x:c r="B32" s="130" t="str">
        <x:v>Kenji Tanaka</x:v>
      </x:c>
      <x:c r="C32" s="130" t="str">
        <x:v>150 Demo Street, Columbus, OH 43215</x:v>
      </x:c>
      <x:c r="D32" s="130" t="str">
        <x:v>871-555-0100</x:v>
      </x:c>
      <x:c r="E32" s="130" t="str">
        <x:v>***-**-0102</x:v>
      </x:c>
      <x:c r="F32" s="130" t="str">
        <x:v>Chase</x:v>
      </x:c>
      <x:c r="G32" s="130" t="n">
        <x:v>000000105</x:v>
      </x:c>
      <x:c r="H32" s="130" t="n">
        <x:v>999900206</x:v>
      </x:c>
      <x:c r="I32" s="130" t="str">
        <x:v>MVR Background Report</x:v>
      </x:c>
      <x:c r="J32" s="130" t="str">
        <x:v>VALID</x:v>
      </x:c>
      <x:c r="K32" s="130" t="str">
        <x:v>OH0000119</x:v>
      </x:c>
      <x:c r="L32" s="180" t="n">
        <x:v>46577</x:v>
      </x:c>
      <x:c r="M32" s="180" t="n">
        <x:v>46496</x:v>
      </x:c>
      <x:c r="N32" s="180" t="n">
        <x:v>46478</x:v>
      </x:c>
      <x:c r="O32" s="130"/>
      <x:c r="P32" s="130" t="str">
        <x:v>Black</x:v>
      </x:c>
      <x:c r="Q32" s="130" t="str">
        <x:v>Green</x:v>
      </x:c>
      <x:c r="R32" s="130" t="str">
        <x:v>5'-10"</x:v>
      </x:c>
      <x:c r="S32" s="130" t="n">
        <x:v>193</x:v>
      </x:c>
      <x:c r="T32" s="130" t="str">
        <x:v>M</x:v>
      </x:c>
      <x:c r="U32" s="130" t="n">
        <x:v>24108</x:v>
      </x:c>
      <x:c r="V32" s="130" t="str">
        <x:v>DRV-005.png</x:v>
      </x:c>
      <x:c r="W32" s="130" t="str">
        <x:v>Asian</x:v>
      </x:c>
      <x:c r="X32" s="130" t="str">
        <x:v>ktanaka@example.com</x:v>
      </x:c>
      <x:c r="Y32" s="130" t="str">
        <x:v>150 Demo Street</x:v>
      </x:c>
      <x:c r="Z32" s="130" t="str">
        <x:v>Columbus</x:v>
      </x:c>
      <x:c r="AA32" s="130" t="str">
        <x:v>OH</x:v>
      </x:c>
      <x:c r="AB32" s="130" t="n">
        <x:v>43215</x:v>
      </x:c>
      <x:c r="AC32" s="130" t="str">
        <x:v>OH</x:v>
      </x:c>
      <x:c r="AD32" s="130" t="str">
        <x:v>Class A</x:v>
      </x:c>
      <x:c r="AE32" s="180" t="n">
        <x:v>44755</x:v>
      </x:c>
      <x:c r="AF32" s="130" t="str">
        <x:v>T</x:v>
      </x:c>
      <x:c r="AG32" s="130" t="str">
        <x:v>Corrective lenses</x:v>
      </x:c>
      <x:c r="AH32" s="180" t="n">
        <x:v>45766</x:v>
      </x:c>
      <x:c r="AI32" s="130" t="str">
        <x:v>MC-0051018</x:v>
      </x:c>
      <x:c r="AJ32" s="130" t="str">
        <x:v>Dr. Helen Price</x:v>
      </x:c>
      <x:c r="AK32" s="130" t="str">
        <x:v>ME100005</x:v>
      </x:c>
      <x:c r="AL32" s="130" t="str">
        <x:v>Corrective lenses</x:v>
      </x:c>
      <x:c r="AM32" s="130" t="str">
        <x:v>Qualified</x:v>
      </x:c>
      <x:c r="AN32" s="180" t="n">
        <x:v>46448</x:v>
      </x:c>
      <x:c r="AO32" s="130" t="n">
        <x:v>1</x:v>
      </x:c>
      <x:c r="AP32" s="130" t="n">
        <x:v>0</x:v>
      </x:c>
      <x:c r="AQ32" s="130" t="str">
        <x:v>Corrective lenses</x:v>
      </x:c>
      <x:c r="AR32" s="130" t="str">
        <x:v>Clear</x:v>
      </x:c>
      <x:c r="AS32" s="180" t="n">
        <x:v>45509</x:v>
      </x:c>
      <x:c r="AT32" s="130" t="str">
        <x:v>Authorized to Work</x:v>
      </x:c>
      <x:c r="AU32" s="130" t="str">
        <x:v>U.S. Passport</x:v>
      </x:c>
      <x:c r="AV32" s="130"/>
      <x:c r="AW32" s="130"/>
      <x:c r="AX32" s="180" t="n">
        <x:v>45509</x:v>
      </x:c>
      <x:c r="AY32" s="130" t="str">
        <x:v>BOF Onboarding Team</x:v>
      </x:c>
      <x:c r="AZ32" s="130" t="str">
        <x:v>Complete</x:v>
      </x:c>
      <x:c r="BA32" s="130"/>
      <x:c r="BB32" s="130" t="str">
        <x:v>Individual/Sole Proprietor</x:v>
      </x:c>
      <x:c r="BC32" s="130" t="str">
        <x:v>SSN</x:v>
      </x:c>
      <x:c r="BD32" s="130" t="str">
        <x:v>***-**-0102</x:v>
      </x:c>
      <x:c r="BE32" s="130"/>
      <x:c r="BF32" s="180" t="n">
        <x:v>45509</x:v>
      </x:c>
      <x:c r="BG32" s="130" t="str">
        <x:v>Received</x:v>
      </x:c>
      <x:c r="BH32" s="130" t="str">
        <x:v>Checking</x:v>
      </x:c>
      <x:c r="BI32" s="130" t="str">
        <x:v>Direct Deposit</x:v>
      </x:c>
      <x:c r="BJ32" s="180" t="n">
        <x:v>45509</x:v>
      </x:c>
      <x:c r="BK32" s="130" t="str">
        <x:v>Verified</x:v>
      </x:c>
      <x:c r="BL32" s="180" t="n">
        <x:v>45502</x:v>
      </x:c>
      <x:c r="BM32" s="130" t="str">
        <x:v>T. Warren</x:v>
      </x:c>
      <x:c r="BN32" s="130" t="str">
        <x:v>Day cab tractor</x:v>
      </x:c>
      <x:c r="BO32" s="130" t="str">
        <x:v>53 ft dry van</x:v>
      </x:c>
      <x:c r="BP32" s="130" t="str">
        <x:v>Columbus, OH</x:v>
      </x:c>
      <x:c r="BQ32" s="130" t="n">
        <x:v>5</x:v>
      </x:c>
      <x:c r="BR32" s="130" t="n">
        <x:v>4</x:v>
      </x:c>
      <x:c r="BS32" s="130" t="n">
        <x:v>4</x:v>
      </x:c>
      <x:c r="BT32" s="130" t="n">
        <x:v>4</x:v>
      </x:c>
      <x:c r="BU32" s="130" t="n">
        <x:v>4</x:v>
      </x:c>
      <x:c r="BV32" s="130" t="n">
        <x:v>5</x:v>
      </x:c>
      <x:c r="BW32" s="130" t="n">
        <x:v>4</x:v>
      </x:c>
      <x:c r="BX32" s="130" t="n">
        <x:v>4</x:v>
      </x:c>
      <x:c r="BY32" s="130" t="n">
        <x:v>4</x:v>
      </x:c>
      <x:c r="BZ32" s="130" t="str">
        <x:v>Pass</x:v>
      </x:c>
      <x:c r="CA32" s="130" t="str">
        <x:v>Corrective lenses</x:v>
      </x:c>
      <x:c r="CB32" s="130" t="str">
        <x:v>Passed</x:v>
      </x:c>
      <x:c r="CC32" s="130" t="str">
        <x:v>Enrolled</x:v>
      </x:c>
      <x:c r="CD32" s="130" t="str">
        <x:v>Query Completed</x:v>
      </x:c>
      <x:c r="CE32" s="180" t="n">
        <x:v>46037</x:v>
      </x:c>
      <x:c r="CF32" s="180" t="n">
        <x:v>46218</x:v>
      </x:c>
      <x:c r="CG32" s="130"/>
      <x:c r="CH32" s="130" t="str">
        <x:v>Compliant</x:v>
      </x:c>
      <x:c r="CI32" s="130"/>
      <x:c r="CJ32" s="130" t="str">
        <x:v>Kenji</x:v>
      </x:c>
      <x:c r="CK32" s="130" t="str">
        <x:v>Tanaka</x:v>
      </x:c>
      <x:c r="CL32" s="130" t="str">
        <x:v>OH0000086</x:v>
      </x:c>
      <x:c r="CM32" s="130" t="str">
        <x:v>OH</x:v>
      </x:c>
      <x:c r="CN32" s="130" t="str">
        <x:v>CDL Holder</x:v>
      </x:c>
      <x:c r="CO32" s="130" t="str">
        <x:v>Kenji Tanaka</x:v>
      </x:c>
      <x:c r="CP32" s="180" t="n">
        <x:v>45766</x:v>
      </x:c>
      <x:c r="CQ32" s="180" t="n">
        <x:v>46496</x:v>
      </x:c>
      <x:c r="CR32" s="130" t="str">
        <x:v>(614) 555-0106</x:v>
      </x:c>
      <x:c r="CS32" s="130" t="str">
        <x:v>Dr. Helen Price</x:v>
      </x:c>
      <x:c r="CT32" s="180" t="n">
        <x:v>45766</x:v>
      </x:c>
      <x:c r="CU32" s="130" t="str">
        <x:v>OH-ME-401933</x:v>
      </x:c>
      <x:c r="CV32" s="130" t="str">
        <x:v>ME100005</x:v>
      </x:c>
      <x:c r="CW32" s="130" t="str">
        <x:v>Advanced Practice Nurse</x:v>
      </x:c>
      <x:c r="CX32" s="130" t="str">
        <x:v>OH</x:v>
      </x:c>
      <x:c r="CY32" s="130" t="str">
        <x:v>Federal Motor Carrier Safety Regulations</x:v>
      </x:c>
      <x:c r="CZ32" s="130"/>
      <x:c r="DA32" s="130" t="str">
        <x:v>Yes</x:v>
      </x:c>
      <x:c r="DB32" s="130" t="str">
        <x:v>No</x:v>
      </x:c>
      <x:c r="DC32" s="130" t="str">
        <x:v>No</x:v>
      </x:c>
      <x:c r="DD32" s="130" t="str">
        <x:v>No</x:v>
      </x:c>
      <x:c r="DE32" s="130" t="str">
        <x:v>Yes</x:v>
      </x:c>
      <x:c r="DF32" s="130" t="str">
        <x:v>No</x:v>
      </x:c>
      <x:c r="DG32" s="130" t="str">
        <x:v>Jane Doe</x:v>
      </x:c>
      <x:c r="DH32" s="130" t="str">
        <x:v>Sister</x:v>
      </x:c>
      <x:c r="DI32" s="130" t="str">
        <x:v>555-555-5555</x:v>
      </x:c>
      <x:c r="DJ32" s="130" t="str">
        <x:v>No</x:v>
      </x:c>
      <x:c r="DK32" s="130" t="str">
        <x:v>No</x:v>
      </x:c>
      <x:c r="DL32" s="130" t="str">
        <x:v>No</x:v>
      </x:c>
      <x:c r="DM32" s="130" t="str">
        <x:v>No</x:v>
      </x:c>
      <x:c r="DN32" s="130" t="str">
        <x:v>Yes - Appendectomy (2005)</x:v>
      </x:c>
      <x:c r="DO32" s="130" t="str">
        <x:v>20/20</x:v>
      </x:c>
      <x:c r="DP32" s="130" t="str">
        <x:v>20/20</x:v>
      </x:c>
      <x:c r="DQ32" s="130" t="str">
        <x:v>Pass</x:v>
      </x:c>
      <x:c r="DR32" s="130" t="str">
        <x:v>118</x:v>
      </x:c>
      <x:c r="DS32" s="130" t="str">
        <x:v>78</x:v>
      </x:c>
      <x:c r="DT32" s="130" t="str">
        <x:v>72</x:v>
      </x:c>
      <x:c r="DU32" s="130" t="str">
        <x:v>Normal</x:v>
      </x:c>
      <x:c r="DV32" s="180" t="n">
        <x:v>45392</x:v>
      </x:c>
      <x:c r="DW32" s="180" t="n">
        <x:v>45394</x:v>
      </x:c>
      <x:c r="DX32" s="130" t="str">
        <x:v>Negative</x:v>
      </x:c>
      <x:c r="DY32" s="180" t="n">
        <x:v>45397</x:v>
      </x:c>
      <x:c r="DZ32" s="130" t="str">
        <x:v>BOF Fleet Safety &amp; Compliance Policy 2024</x:v>
      </x:c>
      <x:c r="EA32" s="130" t="str">
        <x:v>Complete</x:v>
      </x:c>
      <x:c r="EB32" s="180" t="n">
        <x:v>45413</x:v>
      </x:c>
    </x:row>
    <x:row r="33">
      <x:c r="A33" s="130" t="str">
        <x:v>DRV-005</x:v>
      </x:c>
      <x:c r="B33" s="130" t="str">
        <x:v>Kenji Tanaka</x:v>
      </x:c>
      <x:c r="C33" s="130" t="str">
        <x:v>150 Demo Street, Columbus, OH 43215</x:v>
      </x:c>
      <x:c r="D33" s="130" t="str">
        <x:v>871-555-0100</x:v>
      </x:c>
      <x:c r="E33" s="130" t="str">
        <x:v>***-**-0102</x:v>
      </x:c>
      <x:c r="F33" s="130" t="str">
        <x:v>Chase</x:v>
      </x:c>
      <x:c r="G33" s="130" t="n">
        <x:v>000000105</x:v>
      </x:c>
      <x:c r="H33" s="130" t="n">
        <x:v>999900206</x:v>
      </x:c>
      <x:c r="I33" s="130" t="str">
        <x:v>Driver Application</x:v>
      </x:c>
      <x:c r="J33" s="130" t="str">
        <x:v>VALID</x:v>
      </x:c>
      <x:c r="K33" s="130" t="str">
        <x:v>OH0000102</x:v>
      </x:c>
      <x:c r="L33" s="180" t="n">
        <x:v>46577</x:v>
      </x:c>
      <x:c r="M33" s="180" t="n">
        <x:v>46496</x:v>
      </x:c>
      <x:c r="N33" s="180" t="n">
        <x:v>46478</x:v>
      </x:c>
      <x:c r="O33" s="130"/>
      <x:c r="P33" s="130" t="str">
        <x:v>Black</x:v>
      </x:c>
      <x:c r="Q33" s="130" t="str">
        <x:v>Green</x:v>
      </x:c>
      <x:c r="R33" s="130" t="str">
        <x:v>5'-10"</x:v>
      </x:c>
      <x:c r="S33" s="130" t="n">
        <x:v>193</x:v>
      </x:c>
      <x:c r="T33" s="130" t="str">
        <x:v>M</x:v>
      </x:c>
      <x:c r="U33" s="130" t="n">
        <x:v>24108</x:v>
      </x:c>
      <x:c r="V33" s="130" t="str">
        <x:v>DRV-005.png</x:v>
      </x:c>
      <x:c r="W33" s="130" t="str">
        <x:v>Asian</x:v>
      </x:c>
      <x:c r="X33" s="130" t="str">
        <x:v>ktanaka@example.com</x:v>
      </x:c>
      <x:c r="Y33" s="130" t="str">
        <x:v>150 Demo Street</x:v>
      </x:c>
      <x:c r="Z33" s="130" t="str">
        <x:v>Columbus</x:v>
      </x:c>
      <x:c r="AA33" s="130" t="str">
        <x:v>OH</x:v>
      </x:c>
      <x:c r="AB33" s="130" t="n">
        <x:v>43215</x:v>
      </x:c>
      <x:c r="AC33" s="130" t="str">
        <x:v>OH</x:v>
      </x:c>
      <x:c r="AD33" s="130" t="str">
        <x:v>Class A</x:v>
      </x:c>
      <x:c r="AE33" s="180" t="n">
        <x:v>44755</x:v>
      </x:c>
      <x:c r="AF33" s="130" t="str">
        <x:v>T</x:v>
      </x:c>
      <x:c r="AG33" s="130" t="str">
        <x:v>Corrective lenses</x:v>
      </x:c>
      <x:c r="AH33" s="180" t="n">
        <x:v>45766</x:v>
      </x:c>
      <x:c r="AI33" s="130" t="str">
        <x:v>MC-0051018</x:v>
      </x:c>
      <x:c r="AJ33" s="130" t="str">
        <x:v>Dr. Helen Price</x:v>
      </x:c>
      <x:c r="AK33" s="130" t="str">
        <x:v>ME100005</x:v>
      </x:c>
      <x:c r="AL33" s="130" t="str">
        <x:v>Corrective lenses</x:v>
      </x:c>
      <x:c r="AM33" s="130" t="str">
        <x:v>Qualified</x:v>
      </x:c>
      <x:c r="AN33" s="180" t="n">
        <x:v>46448</x:v>
      </x:c>
      <x:c r="AO33" s="130" t="n">
        <x:v>1</x:v>
      </x:c>
      <x:c r="AP33" s="130" t="n">
        <x:v>0</x:v>
      </x:c>
      <x:c r="AQ33" s="130" t="str">
        <x:v>Corrective lenses</x:v>
      </x:c>
      <x:c r="AR33" s="130" t="str">
        <x:v>Clear</x:v>
      </x:c>
      <x:c r="AS33" s="180" t="n">
        <x:v>45509</x:v>
      </x:c>
      <x:c r="AT33" s="130" t="str">
        <x:v>Authorized to Work</x:v>
      </x:c>
      <x:c r="AU33" s="130" t="str">
        <x:v>U.S. Passport</x:v>
      </x:c>
      <x:c r="AV33" s="130"/>
      <x:c r="AW33" s="130"/>
      <x:c r="AX33" s="180" t="n">
        <x:v>45509</x:v>
      </x:c>
      <x:c r="AY33" s="130" t="str">
        <x:v>BOF Onboarding Team</x:v>
      </x:c>
      <x:c r="AZ33" s="130" t="str">
        <x:v>Complete</x:v>
      </x:c>
      <x:c r="BA33" s="130"/>
      <x:c r="BB33" s="130" t="str">
        <x:v>Individual/Sole Proprietor</x:v>
      </x:c>
      <x:c r="BC33" s="130" t="str">
        <x:v>SSN</x:v>
      </x:c>
      <x:c r="BD33" s="130" t="str">
        <x:v>***-**-0102</x:v>
      </x:c>
      <x:c r="BE33" s="130"/>
      <x:c r="BF33" s="180" t="n">
        <x:v>45509</x:v>
      </x:c>
      <x:c r="BG33" s="130" t="str">
        <x:v>Received</x:v>
      </x:c>
      <x:c r="BH33" s="130" t="str">
        <x:v>Checking</x:v>
      </x:c>
      <x:c r="BI33" s="130" t="str">
        <x:v>Direct Deposit</x:v>
      </x:c>
      <x:c r="BJ33" s="180" t="n">
        <x:v>45509</x:v>
      </x:c>
      <x:c r="BK33" s="130" t="str">
        <x:v>Verified</x:v>
      </x:c>
      <x:c r="BL33" s="180" t="n">
        <x:v>45502</x:v>
      </x:c>
      <x:c r="BM33" s="130" t="str">
        <x:v>T. Warren</x:v>
      </x:c>
      <x:c r="BN33" s="130" t="str">
        <x:v>Day cab tractor</x:v>
      </x:c>
      <x:c r="BO33" s="130" t="str">
        <x:v>53 ft dry van</x:v>
      </x:c>
      <x:c r="BP33" s="130" t="str">
        <x:v>Columbus, OH</x:v>
      </x:c>
      <x:c r="BQ33" s="130" t="n">
        <x:v>5</x:v>
      </x:c>
      <x:c r="BR33" s="130" t="n">
        <x:v>4</x:v>
      </x:c>
      <x:c r="BS33" s="130" t="n">
        <x:v>4</x:v>
      </x:c>
      <x:c r="BT33" s="130" t="n">
        <x:v>4</x:v>
      </x:c>
      <x:c r="BU33" s="130" t="n">
        <x:v>4</x:v>
      </x:c>
      <x:c r="BV33" s="130" t="n">
        <x:v>5</x:v>
      </x:c>
      <x:c r="BW33" s="130" t="n">
        <x:v>4</x:v>
      </x:c>
      <x:c r="BX33" s="130" t="n">
        <x:v>4</x:v>
      </x:c>
      <x:c r="BY33" s="130" t="n">
        <x:v>4</x:v>
      </x:c>
      <x:c r="BZ33" s="130" t="str">
        <x:v>Pass</x:v>
      </x:c>
      <x:c r="CA33" s="130" t="str">
        <x:v>Corrective lenses</x:v>
      </x:c>
      <x:c r="CB33" s="130" t="str">
        <x:v>Passed</x:v>
      </x:c>
      <x:c r="CC33" s="130" t="str">
        <x:v>Enrolled</x:v>
      </x:c>
      <x:c r="CD33" s="130" t="str">
        <x:v>Query Completed</x:v>
      </x:c>
      <x:c r="CE33" s="180" t="n">
        <x:v>46037</x:v>
      </x:c>
      <x:c r="CF33" s="180" t="n">
        <x:v>46218</x:v>
      </x:c>
      <x:c r="CG33" s="130"/>
      <x:c r="CH33" s="130" t="str">
        <x:v>Compliant</x:v>
      </x:c>
      <x:c r="CI33" s="130"/>
      <x:c r="CJ33" s="130" t="str">
        <x:v>Kenji</x:v>
      </x:c>
      <x:c r="CK33" s="130" t="str">
        <x:v>Tanaka</x:v>
      </x:c>
      <x:c r="CL33" s="130" t="str">
        <x:v>OH0000087</x:v>
      </x:c>
      <x:c r="CM33" s="130" t="str">
        <x:v>OH</x:v>
      </x:c>
      <x:c r="CN33" s="130" t="str">
        <x:v>CDL Holder</x:v>
      </x:c>
      <x:c r="CO33" s="130" t="str">
        <x:v>Kenji Tanaka</x:v>
      </x:c>
      <x:c r="CP33" s="180" t="n">
        <x:v>45766</x:v>
      </x:c>
      <x:c r="CQ33" s="180" t="n">
        <x:v>46496</x:v>
      </x:c>
      <x:c r="CR33" s="130" t="str">
        <x:v>(614) 555-0106</x:v>
      </x:c>
      <x:c r="CS33" s="130" t="str">
        <x:v>Dr. Helen Price</x:v>
      </x:c>
      <x:c r="CT33" s="180" t="n">
        <x:v>45766</x:v>
      </x:c>
      <x:c r="CU33" s="130" t="str">
        <x:v>OH-ME-401933</x:v>
      </x:c>
      <x:c r="CV33" s="130" t="str">
        <x:v>ME100005</x:v>
      </x:c>
      <x:c r="CW33" s="130" t="str">
        <x:v>Advanced Practice Nurse</x:v>
      </x:c>
      <x:c r="CX33" s="130" t="str">
        <x:v>OH</x:v>
      </x:c>
      <x:c r="CY33" s="130" t="str">
        <x:v>Federal Motor Carrier Safety Regulations</x:v>
      </x:c>
      <x:c r="CZ33" s="130"/>
      <x:c r="DA33" s="130" t="str">
        <x:v>Yes</x:v>
      </x:c>
      <x:c r="DB33" s="130" t="str">
        <x:v>No</x:v>
      </x:c>
      <x:c r="DC33" s="130" t="str">
        <x:v>No</x:v>
      </x:c>
      <x:c r="DD33" s="130" t="str">
        <x:v>No</x:v>
      </x:c>
      <x:c r="DE33" s="130" t="str">
        <x:v>Yes</x:v>
      </x:c>
      <x:c r="DF33" s="130" t="str">
        <x:v>No</x:v>
      </x:c>
      <x:c r="DG33" s="130" t="str">
        <x:v>Jane Doe</x:v>
      </x:c>
      <x:c r="DH33" s="130" t="str">
        <x:v>Sister</x:v>
      </x:c>
      <x:c r="DI33" s="130" t="str">
        <x:v>555-555-5555</x:v>
      </x:c>
      <x:c r="DJ33" s="130" t="str">
        <x:v>No</x:v>
      </x:c>
      <x:c r="DK33" s="130" t="str">
        <x:v>No</x:v>
      </x:c>
      <x:c r="DL33" s="130" t="str">
        <x:v>No</x:v>
      </x:c>
      <x:c r="DM33" s="130" t="str">
        <x:v>No</x:v>
      </x:c>
      <x:c r="DN33" s="130" t="str">
        <x:v>Yes - Appendectomy (2005)</x:v>
      </x:c>
      <x:c r="DO33" s="130" t="str">
        <x:v>20/20</x:v>
      </x:c>
      <x:c r="DP33" s="130" t="str">
        <x:v>20/20</x:v>
      </x:c>
      <x:c r="DQ33" s="130" t="str">
        <x:v>Pass</x:v>
      </x:c>
      <x:c r="DR33" s="130" t="str">
        <x:v>118</x:v>
      </x:c>
      <x:c r="DS33" s="130" t="str">
        <x:v>78</x:v>
      </x:c>
      <x:c r="DT33" s="130" t="str">
        <x:v>72</x:v>
      </x:c>
      <x:c r="DU33" s="130" t="str">
        <x:v>Normal</x:v>
      </x:c>
      <x:c r="DV33" s="180" t="n">
        <x:v>45392</x:v>
      </x:c>
      <x:c r="DW33" s="180" t="n">
        <x:v>45394</x:v>
      </x:c>
      <x:c r="DX33" s="130" t="str">
        <x:v>Negative</x:v>
      </x:c>
      <x:c r="DY33" s="180" t="n">
        <x:v>45397</x:v>
      </x:c>
      <x:c r="DZ33" s="130" t="str">
        <x:v>BOF Fleet Safety &amp; Compliance Policy 2024</x:v>
      </x:c>
      <x:c r="EA33" s="130" t="str">
        <x:v>Complete</x:v>
      </x:c>
      <x:c r="EB33" s="180" t="n">
        <x:v>45413</x:v>
      </x:c>
    </x:row>
    <x:row r="34">
      <x:c r="A34" s="130" t="str">
        <x:v>DRV-005</x:v>
      </x:c>
      <x:c r="B34" s="130" t="str">
        <x:v>Kenji Tanaka</x:v>
      </x:c>
      <x:c r="C34" s="130" t="str">
        <x:v>150 Demo Street, Columbus, OH 43215</x:v>
      </x:c>
      <x:c r="D34" s="130" t="str">
        <x:v>871-555-0100</x:v>
      </x:c>
      <x:c r="E34" s="130" t="str">
        <x:v>***-**-0102</x:v>
      </x:c>
      <x:c r="F34" s="130" t="str">
        <x:v>Chase</x:v>
      </x:c>
      <x:c r="G34" s="130" t="n">
        <x:v>000000105</x:v>
      </x:c>
      <x:c r="H34" s="130" t="n">
        <x:v>999900206</x:v>
      </x:c>
      <x:c r="I34" s="130" t="str">
        <x:v>Road Test Certificate</x:v>
      </x:c>
      <x:c r="J34" s="130" t="str">
        <x:v>VALID</x:v>
      </x:c>
      <x:c r="K34" s="130" t="str">
        <x:v>OH0000125</x:v>
      </x:c>
      <x:c r="L34" s="180" t="n">
        <x:v>46577</x:v>
      </x:c>
      <x:c r="M34" s="180" t="n">
        <x:v>46496</x:v>
      </x:c>
      <x:c r="N34" s="180" t="n">
        <x:v>46478</x:v>
      </x:c>
      <x:c r="O34" s="130"/>
      <x:c r="P34" s="130" t="str">
        <x:v>Black</x:v>
      </x:c>
      <x:c r="Q34" s="130" t="str">
        <x:v>Green</x:v>
      </x:c>
      <x:c r="R34" s="130" t="str">
        <x:v>5'-10"</x:v>
      </x:c>
      <x:c r="S34" s="130" t="n">
        <x:v>193</x:v>
      </x:c>
      <x:c r="T34" s="130" t="str">
        <x:v>M</x:v>
      </x:c>
      <x:c r="U34" s="130" t="n">
        <x:v>24108</x:v>
      </x:c>
      <x:c r="V34" s="130" t="str">
        <x:v>DRV-005.png</x:v>
      </x:c>
      <x:c r="W34" s="130" t="str">
        <x:v>Asian</x:v>
      </x:c>
      <x:c r="X34" s="130" t="str">
        <x:v>ktanaka@example.com</x:v>
      </x:c>
      <x:c r="Y34" s="130" t="str">
        <x:v>150 Demo Street</x:v>
      </x:c>
      <x:c r="Z34" s="130" t="str">
        <x:v>Columbus</x:v>
      </x:c>
      <x:c r="AA34" s="130" t="str">
        <x:v>OH</x:v>
      </x:c>
      <x:c r="AB34" s="130" t="n">
        <x:v>43215</x:v>
      </x:c>
      <x:c r="AC34" s="130" t="str">
        <x:v>OH</x:v>
      </x:c>
      <x:c r="AD34" s="130" t="str">
        <x:v>Class A</x:v>
      </x:c>
      <x:c r="AE34" s="180" t="n">
        <x:v>44755</x:v>
      </x:c>
      <x:c r="AF34" s="130" t="str">
        <x:v>T</x:v>
      </x:c>
      <x:c r="AG34" s="130" t="str">
        <x:v>Corrective lenses</x:v>
      </x:c>
      <x:c r="AH34" s="180" t="n">
        <x:v>45766</x:v>
      </x:c>
      <x:c r="AI34" s="130" t="str">
        <x:v>MC-0051018</x:v>
      </x:c>
      <x:c r="AJ34" s="130" t="str">
        <x:v>Dr. Helen Price</x:v>
      </x:c>
      <x:c r="AK34" s="130" t="str">
        <x:v>ME100005</x:v>
      </x:c>
      <x:c r="AL34" s="130" t="str">
        <x:v>Corrective lenses</x:v>
      </x:c>
      <x:c r="AM34" s="130" t="str">
        <x:v>Qualified</x:v>
      </x:c>
      <x:c r="AN34" s="180" t="n">
        <x:v>46448</x:v>
      </x:c>
      <x:c r="AO34" s="130" t="n">
        <x:v>1</x:v>
      </x:c>
      <x:c r="AP34" s="130" t="n">
        <x:v>0</x:v>
      </x:c>
      <x:c r="AQ34" s="130" t="str">
        <x:v>Corrective lenses</x:v>
      </x:c>
      <x:c r="AR34" s="130" t="str">
        <x:v>Clear</x:v>
      </x:c>
      <x:c r="AS34" s="180" t="n">
        <x:v>45509</x:v>
      </x:c>
      <x:c r="AT34" s="130" t="str">
        <x:v>Authorized to Work</x:v>
      </x:c>
      <x:c r="AU34" s="130" t="str">
        <x:v>U.S. Passport</x:v>
      </x:c>
      <x:c r="AV34" s="130"/>
      <x:c r="AW34" s="130"/>
      <x:c r="AX34" s="180" t="n">
        <x:v>45509</x:v>
      </x:c>
      <x:c r="AY34" s="130" t="str">
        <x:v>BOF Onboarding Team</x:v>
      </x:c>
      <x:c r="AZ34" s="130" t="str">
        <x:v>Complete</x:v>
      </x:c>
      <x:c r="BA34" s="130"/>
      <x:c r="BB34" s="130" t="str">
        <x:v>Individual/Sole Proprietor</x:v>
      </x:c>
      <x:c r="BC34" s="130" t="str">
        <x:v>SSN</x:v>
      </x:c>
      <x:c r="BD34" s="130" t="str">
        <x:v>***-**-0102</x:v>
      </x:c>
      <x:c r="BE34" s="130"/>
      <x:c r="BF34" s="180" t="n">
        <x:v>45509</x:v>
      </x:c>
      <x:c r="BG34" s="130" t="str">
        <x:v>Received</x:v>
      </x:c>
      <x:c r="BH34" s="130" t="str">
        <x:v>Checking</x:v>
      </x:c>
      <x:c r="BI34" s="130" t="str">
        <x:v>Direct Deposit</x:v>
      </x:c>
      <x:c r="BJ34" s="180" t="n">
        <x:v>45509</x:v>
      </x:c>
      <x:c r="BK34" s="130" t="str">
        <x:v>Verified</x:v>
      </x:c>
      <x:c r="BL34" s="180" t="n">
        <x:v>45502</x:v>
      </x:c>
      <x:c r="BM34" s="130" t="str">
        <x:v>T. Warren</x:v>
      </x:c>
      <x:c r="BN34" s="130" t="str">
        <x:v>Day cab tractor</x:v>
      </x:c>
      <x:c r="BO34" s="130" t="str">
        <x:v>53 ft dry van</x:v>
      </x:c>
      <x:c r="BP34" s="130" t="str">
        <x:v>Columbus, OH</x:v>
      </x:c>
      <x:c r="BQ34" s="130" t="n">
        <x:v>5</x:v>
      </x:c>
      <x:c r="BR34" s="130" t="n">
        <x:v>4</x:v>
      </x:c>
      <x:c r="BS34" s="130" t="n">
        <x:v>4</x:v>
      </x:c>
      <x:c r="BT34" s="130" t="n">
        <x:v>4</x:v>
      </x:c>
      <x:c r="BU34" s="130" t="n">
        <x:v>4</x:v>
      </x:c>
      <x:c r="BV34" s="130" t="n">
        <x:v>5</x:v>
      </x:c>
      <x:c r="BW34" s="130" t="n">
        <x:v>4</x:v>
      </x:c>
      <x:c r="BX34" s="130" t="n">
        <x:v>4</x:v>
      </x:c>
      <x:c r="BY34" s="130" t="n">
        <x:v>4</x:v>
      </x:c>
      <x:c r="BZ34" s="130" t="str">
        <x:v>Pass</x:v>
      </x:c>
      <x:c r="CA34" s="130" t="str">
        <x:v>Corrective lenses</x:v>
      </x:c>
      <x:c r="CB34" s="130" t="str">
        <x:v>Passed</x:v>
      </x:c>
      <x:c r="CC34" s="130" t="str">
        <x:v>Enrolled</x:v>
      </x:c>
      <x:c r="CD34" s="130" t="str">
        <x:v>Query Completed</x:v>
      </x:c>
      <x:c r="CE34" s="180" t="n">
        <x:v>46037</x:v>
      </x:c>
      <x:c r="CF34" s="180" t="n">
        <x:v>46218</x:v>
      </x:c>
      <x:c r="CG34" s="130"/>
      <x:c r="CH34" s="130" t="str">
        <x:v>Compliant</x:v>
      </x:c>
      <x:c r="CI34" s="130"/>
      <x:c r="CJ34" s="130" t="str">
        <x:v>Kenji</x:v>
      </x:c>
      <x:c r="CK34" s="130" t="str">
        <x:v>Tanaka</x:v>
      </x:c>
      <x:c r="CL34" s="130" t="str">
        <x:v>OH0000088</x:v>
      </x:c>
      <x:c r="CM34" s="130" t="str">
        <x:v>OH</x:v>
      </x:c>
      <x:c r="CN34" s="130" t="str">
        <x:v>CDL Holder</x:v>
      </x:c>
      <x:c r="CO34" s="130" t="str">
        <x:v>Kenji Tanaka</x:v>
      </x:c>
      <x:c r="CP34" s="180" t="n">
        <x:v>45766</x:v>
      </x:c>
      <x:c r="CQ34" s="180" t="n">
        <x:v>46496</x:v>
      </x:c>
      <x:c r="CR34" s="130" t="str">
        <x:v>(614) 555-0106</x:v>
      </x:c>
      <x:c r="CS34" s="130" t="str">
        <x:v>Dr. Helen Price</x:v>
      </x:c>
      <x:c r="CT34" s="180" t="n">
        <x:v>45766</x:v>
      </x:c>
      <x:c r="CU34" s="130" t="str">
        <x:v>OH-ME-401933</x:v>
      </x:c>
      <x:c r="CV34" s="130" t="str">
        <x:v>ME100005</x:v>
      </x:c>
      <x:c r="CW34" s="130" t="str">
        <x:v>Advanced Practice Nurse</x:v>
      </x:c>
      <x:c r="CX34" s="130" t="str">
        <x:v>OH</x:v>
      </x:c>
      <x:c r="CY34" s="130" t="str">
        <x:v>Federal Motor Carrier Safety Regulations</x:v>
      </x:c>
      <x:c r="CZ34" s="130"/>
      <x:c r="DA34" s="130" t="str">
        <x:v>Yes</x:v>
      </x:c>
      <x:c r="DB34" s="130" t="str">
        <x:v>No</x:v>
      </x:c>
      <x:c r="DC34" s="130" t="str">
        <x:v>No</x:v>
      </x:c>
      <x:c r="DD34" s="130" t="str">
        <x:v>No</x:v>
      </x:c>
      <x:c r="DE34" s="130" t="str">
        <x:v>Yes</x:v>
      </x:c>
      <x:c r="DF34" s="130" t="str">
        <x:v>No</x:v>
      </x:c>
      <x:c r="DG34" s="130" t="str">
        <x:v>Jane Doe</x:v>
      </x:c>
      <x:c r="DH34" s="130" t="str">
        <x:v>Sister</x:v>
      </x:c>
      <x:c r="DI34" s="130" t="str">
        <x:v>555-555-5555</x:v>
      </x:c>
      <x:c r="DJ34" s="130" t="str">
        <x:v>No</x:v>
      </x:c>
      <x:c r="DK34" s="130" t="str">
        <x:v>No</x:v>
      </x:c>
      <x:c r="DL34" s="130" t="str">
        <x:v>No</x:v>
      </x:c>
      <x:c r="DM34" s="130" t="str">
        <x:v>No</x:v>
      </x:c>
      <x:c r="DN34" s="130" t="str">
        <x:v>Yes - Appendectomy (2005)</x:v>
      </x:c>
      <x:c r="DO34" s="130" t="str">
        <x:v>20/20</x:v>
      </x:c>
      <x:c r="DP34" s="130" t="str">
        <x:v>20/20</x:v>
      </x:c>
      <x:c r="DQ34" s="130" t="str">
        <x:v>Pass</x:v>
      </x:c>
      <x:c r="DR34" s="130" t="str">
        <x:v>118</x:v>
      </x:c>
      <x:c r="DS34" s="130" t="str">
        <x:v>78</x:v>
      </x:c>
      <x:c r="DT34" s="130" t="str">
        <x:v>72</x:v>
      </x:c>
      <x:c r="DU34" s="130" t="str">
        <x:v>Normal</x:v>
      </x:c>
      <x:c r="DV34" s="180" t="n">
        <x:v>45392</x:v>
      </x:c>
      <x:c r="DW34" s="180" t="n">
        <x:v>45394</x:v>
      </x:c>
      <x:c r="DX34" s="130" t="str">
        <x:v>Negative</x:v>
      </x:c>
      <x:c r="DY34" s="180" t="n">
        <x:v>45397</x:v>
      </x:c>
      <x:c r="DZ34" s="130" t="str">
        <x:v>BOF Fleet Safety &amp; Compliance Policy 2024</x:v>
      </x:c>
      <x:c r="EA34" s="130" t="str">
        <x:v>Complete</x:v>
      </x:c>
      <x:c r="EB34" s="180" t="n">
        <x:v>45413</x:v>
      </x:c>
    </x:row>
    <x:row r="35">
      <x:c r="A35" s="130" t="str">
        <x:v>DRV-005</x:v>
      </x:c>
      <x:c r="B35" s="130" t="str">
        <x:v>Kenji Tanaka</x:v>
      </x:c>
      <x:c r="C35" s="130" t="str">
        <x:v>150 Demo Street, Columbus, OH 43215</x:v>
      </x:c>
      <x:c r="D35" s="130" t="str">
        <x:v>871-555-0100</x:v>
      </x:c>
      <x:c r="E35" s="130" t="str">
        <x:v>***-**-0102</x:v>
      </x:c>
      <x:c r="F35" s="130" t="str">
        <x:v>Chase</x:v>
      </x:c>
      <x:c r="G35" s="130" t="n">
        <x:v>000000105</x:v>
      </x:c>
      <x:c r="H35" s="130" t="n">
        <x:v>999900206</x:v>
      </x:c>
      <x:c r="I35" s="130" t="str">
        <x:v>Incident/Accident Report</x:v>
      </x:c>
      <x:c r="J35" s="130" t="str">
        <x:v>VALID</x:v>
      </x:c>
      <x:c r="K35" s="130" t="str">
        <x:v>OH0000082</x:v>
      </x:c>
      <x:c r="L35" s="180" t="n">
        <x:v>46577</x:v>
      </x:c>
      <x:c r="M35" s="180" t="n">
        <x:v>46496</x:v>
      </x:c>
      <x:c r="N35" s="180" t="n">
        <x:v>46478</x:v>
      </x:c>
      <x:c r="O35" s="130" t="str">
        <x:v>No major incidents recorded in last 90 days.</x:v>
      </x:c>
      <x:c r="P35" s="130" t="str">
        <x:v>Black</x:v>
      </x:c>
      <x:c r="Q35" s="130" t="str">
        <x:v>Green</x:v>
      </x:c>
      <x:c r="R35" s="130" t="str">
        <x:v>5'-10"</x:v>
      </x:c>
      <x:c r="S35" s="130" t="n">
        <x:v>193</x:v>
      </x:c>
      <x:c r="T35" s="130" t="str">
        <x:v>M</x:v>
      </x:c>
      <x:c r="U35" s="130" t="n">
        <x:v>24108</x:v>
      </x:c>
      <x:c r="V35" s="130" t="str">
        <x:v>DRV-005.png</x:v>
      </x:c>
      <x:c r="W35" s="130" t="str">
        <x:v>Asian</x:v>
      </x:c>
      <x:c r="X35" s="130" t="str">
        <x:v>ktanaka@example.com</x:v>
      </x:c>
      <x:c r="Y35" s="130" t="str">
        <x:v>150 Demo Street</x:v>
      </x:c>
      <x:c r="Z35" s="130" t="str">
        <x:v>Columbus</x:v>
      </x:c>
      <x:c r="AA35" s="130" t="str">
        <x:v>OH</x:v>
      </x:c>
      <x:c r="AB35" s="130" t="n">
        <x:v>43215</x:v>
      </x:c>
      <x:c r="AC35" s="130" t="str">
        <x:v>OH</x:v>
      </x:c>
      <x:c r="AD35" s="130" t="str">
        <x:v>Class A</x:v>
      </x:c>
      <x:c r="AE35" s="180" t="n">
        <x:v>44755</x:v>
      </x:c>
      <x:c r="AF35" s="130" t="str">
        <x:v>T</x:v>
      </x:c>
      <x:c r="AG35" s="130" t="str">
        <x:v>Corrective lenses</x:v>
      </x:c>
      <x:c r="AH35" s="180" t="n">
        <x:v>45766</x:v>
      </x:c>
      <x:c r="AI35" s="130" t="str">
        <x:v>MC-0051018</x:v>
      </x:c>
      <x:c r="AJ35" s="130" t="str">
        <x:v>Dr. Helen Price</x:v>
      </x:c>
      <x:c r="AK35" s="130" t="str">
        <x:v>ME100005</x:v>
      </x:c>
      <x:c r="AL35" s="130" t="str">
        <x:v>Corrective lenses</x:v>
      </x:c>
      <x:c r="AM35" s="130" t="str">
        <x:v>Qualified</x:v>
      </x:c>
      <x:c r="AN35" s="180" t="n">
        <x:v>46448</x:v>
      </x:c>
      <x:c r="AO35" s="130" t="n">
        <x:v>1</x:v>
      </x:c>
      <x:c r="AP35" s="130" t="n">
        <x:v>0</x:v>
      </x:c>
      <x:c r="AQ35" s="130" t="str">
        <x:v>Corrective lenses</x:v>
      </x:c>
      <x:c r="AR35" s="130" t="str">
        <x:v>Clear</x:v>
      </x:c>
      <x:c r="AS35" s="180" t="n">
        <x:v>45509</x:v>
      </x:c>
      <x:c r="AT35" s="130" t="str">
        <x:v>Authorized to Work</x:v>
      </x:c>
      <x:c r="AU35" s="130" t="str">
        <x:v>U.S. Passport</x:v>
      </x:c>
      <x:c r="AV35" s="130"/>
      <x:c r="AW35" s="130"/>
      <x:c r="AX35" s="180" t="n">
        <x:v>45509</x:v>
      </x:c>
      <x:c r="AY35" s="130" t="str">
        <x:v>BOF Onboarding Team</x:v>
      </x:c>
      <x:c r="AZ35" s="130" t="str">
        <x:v>Complete</x:v>
      </x:c>
      <x:c r="BA35" s="130"/>
      <x:c r="BB35" s="130" t="str">
        <x:v>Individual/Sole Proprietor</x:v>
      </x:c>
      <x:c r="BC35" s="130" t="str">
        <x:v>SSN</x:v>
      </x:c>
      <x:c r="BD35" s="130" t="str">
        <x:v>***-**-0102</x:v>
      </x:c>
      <x:c r="BE35" s="130"/>
      <x:c r="BF35" s="180" t="n">
        <x:v>45509</x:v>
      </x:c>
      <x:c r="BG35" s="130" t="str">
        <x:v>Received</x:v>
      </x:c>
      <x:c r="BH35" s="130" t="str">
        <x:v>Checking</x:v>
      </x:c>
      <x:c r="BI35" s="130" t="str">
        <x:v>Direct Deposit</x:v>
      </x:c>
      <x:c r="BJ35" s="180" t="n">
        <x:v>45509</x:v>
      </x:c>
      <x:c r="BK35" s="130" t="str">
        <x:v>Verified</x:v>
      </x:c>
      <x:c r="BL35" s="180" t="n">
        <x:v>45502</x:v>
      </x:c>
      <x:c r="BM35" s="130" t="str">
        <x:v>T. Warren</x:v>
      </x:c>
      <x:c r="BN35" s="130" t="str">
        <x:v>Day cab tractor</x:v>
      </x:c>
      <x:c r="BO35" s="130" t="str">
        <x:v>53 ft dry van</x:v>
      </x:c>
      <x:c r="BP35" s="130" t="str">
        <x:v>Columbus, OH</x:v>
      </x:c>
      <x:c r="BQ35" s="130" t="n">
        <x:v>5</x:v>
      </x:c>
      <x:c r="BR35" s="130" t="n">
        <x:v>4</x:v>
      </x:c>
      <x:c r="BS35" s="130" t="n">
        <x:v>4</x:v>
      </x:c>
      <x:c r="BT35" s="130" t="n">
        <x:v>4</x:v>
      </x:c>
      <x:c r="BU35" s="130" t="n">
        <x:v>4</x:v>
      </x:c>
      <x:c r="BV35" s="130" t="n">
        <x:v>5</x:v>
      </x:c>
      <x:c r="BW35" s="130" t="n">
        <x:v>4</x:v>
      </x:c>
      <x:c r="BX35" s="130" t="n">
        <x:v>4</x:v>
      </x:c>
      <x:c r="BY35" s="130" t="n">
        <x:v>4</x:v>
      </x:c>
      <x:c r="BZ35" s="130" t="str">
        <x:v>Pass</x:v>
      </x:c>
      <x:c r="CA35" s="130" t="str">
        <x:v>Corrective lenses</x:v>
      </x:c>
      <x:c r="CB35" s="130" t="str">
        <x:v>Passed</x:v>
      </x:c>
      <x:c r="CC35" s="130" t="str">
        <x:v>Enrolled</x:v>
      </x:c>
      <x:c r="CD35" s="130" t="str">
        <x:v>Query Completed</x:v>
      </x:c>
      <x:c r="CE35" s="180" t="n">
        <x:v>46037</x:v>
      </x:c>
      <x:c r="CF35" s="180" t="n">
        <x:v>46218</x:v>
      </x:c>
      <x:c r="CG35" s="130"/>
      <x:c r="CH35" s="130" t="str">
        <x:v>Compliant</x:v>
      </x:c>
      <x:c r="CI35" s="130"/>
      <x:c r="CJ35" s="130" t="str">
        <x:v>Kenji</x:v>
      </x:c>
      <x:c r="CK35" s="130" t="str">
        <x:v>Tanaka</x:v>
      </x:c>
      <x:c r="CL35" s="130" t="str">
        <x:v>OH0000089</x:v>
      </x:c>
      <x:c r="CM35" s="130" t="str">
        <x:v>OH</x:v>
      </x:c>
      <x:c r="CN35" s="130" t="str">
        <x:v>CDL Holder</x:v>
      </x:c>
      <x:c r="CO35" s="130" t="str">
        <x:v>Kenji Tanaka</x:v>
      </x:c>
      <x:c r="CP35" s="180" t="n">
        <x:v>45766</x:v>
      </x:c>
      <x:c r="CQ35" s="180" t="n">
        <x:v>46496</x:v>
      </x:c>
      <x:c r="CR35" s="130" t="str">
        <x:v>(614) 555-0106</x:v>
      </x:c>
      <x:c r="CS35" s="130" t="str">
        <x:v>Dr. Helen Price</x:v>
      </x:c>
      <x:c r="CT35" s="180" t="n">
        <x:v>45766</x:v>
      </x:c>
      <x:c r="CU35" s="130" t="str">
        <x:v>OH-ME-401933</x:v>
      </x:c>
      <x:c r="CV35" s="130" t="str">
        <x:v>ME100005</x:v>
      </x:c>
      <x:c r="CW35" s="130" t="str">
        <x:v>Advanced Practice Nurse</x:v>
      </x:c>
      <x:c r="CX35" s="130" t="str">
        <x:v>OH</x:v>
      </x:c>
      <x:c r="CY35" s="130" t="str">
        <x:v>Federal Motor Carrier Safety Regulations</x:v>
      </x:c>
      <x:c r="CZ35" s="130"/>
      <x:c r="DA35" s="130" t="str">
        <x:v>Yes</x:v>
      </x:c>
      <x:c r="DB35" s="130" t="str">
        <x:v>No</x:v>
      </x:c>
      <x:c r="DC35" s="130" t="str">
        <x:v>No</x:v>
      </x:c>
      <x:c r="DD35" s="130" t="str">
        <x:v>No</x:v>
      </x:c>
      <x:c r="DE35" s="130" t="str">
        <x:v>Yes</x:v>
      </x:c>
      <x:c r="DF35" s="130" t="str">
        <x:v>No</x:v>
      </x:c>
      <x:c r="DG35" s="130" t="str">
        <x:v>Jane Doe</x:v>
      </x:c>
      <x:c r="DH35" s="130" t="str">
        <x:v>Sister</x:v>
      </x:c>
      <x:c r="DI35" s="130" t="str">
        <x:v>555-555-5555</x:v>
      </x:c>
      <x:c r="DJ35" s="130" t="str">
        <x:v>No</x:v>
      </x:c>
      <x:c r="DK35" s="130" t="str">
        <x:v>No</x:v>
      </x:c>
      <x:c r="DL35" s="130" t="str">
        <x:v>No</x:v>
      </x:c>
      <x:c r="DM35" s="130" t="str">
        <x:v>No</x:v>
      </x:c>
      <x:c r="DN35" s="130" t="str">
        <x:v>Yes - Appendectomy (2005)</x:v>
      </x:c>
      <x:c r="DO35" s="130" t="str">
        <x:v>20/20</x:v>
      </x:c>
      <x:c r="DP35" s="130" t="str">
        <x:v>20/20</x:v>
      </x:c>
      <x:c r="DQ35" s="130" t="str">
        <x:v>Pass</x:v>
      </x:c>
      <x:c r="DR35" s="130" t="str">
        <x:v>118</x:v>
      </x:c>
      <x:c r="DS35" s="130" t="str">
        <x:v>78</x:v>
      </x:c>
      <x:c r="DT35" s="130" t="str">
        <x:v>72</x:v>
      </x:c>
      <x:c r="DU35" s="130" t="str">
        <x:v>Normal</x:v>
      </x:c>
      <x:c r="DV35" s="180" t="n">
        <x:v>45392</x:v>
      </x:c>
      <x:c r="DW35" s="180" t="n">
        <x:v>45394</x:v>
      </x:c>
      <x:c r="DX35" s="130" t="str">
        <x:v>Negative</x:v>
      </x:c>
      <x:c r="DY35" s="180" t="n">
        <x:v>45397</x:v>
      </x:c>
      <x:c r="DZ35" s="130" t="str">
        <x:v>BOF Fleet Safety &amp; Compliance Policy 2024</x:v>
      </x:c>
      <x:c r="EA35" s="130" t="str">
        <x:v>Complete</x:v>
      </x:c>
      <x:c r="EB35" s="180" t="n">
        <x:v>45413</x:v>
      </x:c>
    </x:row>
    <x:row r="36">
      <x:c r="A36" s="130" t="str">
        <x:v>DRV-005</x:v>
      </x:c>
      <x:c r="B36" s="130" t="str">
        <x:v>Kenji Tanaka</x:v>
      </x:c>
      <x:c r="C36" s="130" t="str">
        <x:v>150 Demo Street, Columbus, OH 43215</x:v>
      </x:c>
      <x:c r="D36" s="130" t="str">
        <x:v>871-555-0100</x:v>
      </x:c>
      <x:c r="E36" s="130" t="str">
        <x:v>***-**-0102</x:v>
      </x:c>
      <x:c r="F36" s="130" t="str">
        <x:v>Chase</x:v>
      </x:c>
      <x:c r="G36" s="130" t="n">
        <x:v>000000105</x:v>
      </x:c>
      <x:c r="H36" s="130" t="n">
        <x:v>999900206</x:v>
      </x:c>
      <x:c r="I36" s="130" t="str">
        <x:v>Direct Deposit Form</x:v>
      </x:c>
      <x:c r="J36" s="130" t="str">
        <x:v>VALID</x:v>
      </x:c>
      <x:c r="K36" s="130" t="str">
        <x:v>OH0000126</x:v>
      </x:c>
      <x:c r="L36" s="180" t="n">
        <x:v>46577</x:v>
      </x:c>
      <x:c r="M36" s="180" t="n">
        <x:v>46496</x:v>
      </x:c>
      <x:c r="N36" s="180" t="n">
        <x:v>46478</x:v>
      </x:c>
      <x:c r="O36" s="130"/>
      <x:c r="P36" s="130" t="str">
        <x:v>Black</x:v>
      </x:c>
      <x:c r="Q36" s="130" t="str">
        <x:v>Green</x:v>
      </x:c>
      <x:c r="R36" s="130" t="str">
        <x:v>5'-10"</x:v>
      </x:c>
      <x:c r="S36" s="130" t="n">
        <x:v>193</x:v>
      </x:c>
      <x:c r="T36" s="130" t="str">
        <x:v>M</x:v>
      </x:c>
      <x:c r="U36" s="130" t="n">
        <x:v>24108</x:v>
      </x:c>
      <x:c r="V36" s="130" t="str">
        <x:v>DRV-005.png</x:v>
      </x:c>
      <x:c r="W36" s="130" t="str">
        <x:v>Asian</x:v>
      </x:c>
      <x:c r="X36" s="130" t="str">
        <x:v>ktanaka@example.com</x:v>
      </x:c>
      <x:c r="Y36" s="130" t="str">
        <x:v>150 Demo Street</x:v>
      </x:c>
      <x:c r="Z36" s="130" t="str">
        <x:v>Columbus</x:v>
      </x:c>
      <x:c r="AA36" s="130" t="str">
        <x:v>OH</x:v>
      </x:c>
      <x:c r="AB36" s="130" t="n">
        <x:v>43215</x:v>
      </x:c>
      <x:c r="AC36" s="130" t="str">
        <x:v>OH</x:v>
      </x:c>
      <x:c r="AD36" s="130" t="str">
        <x:v>Class A</x:v>
      </x:c>
      <x:c r="AE36" s="180" t="n">
        <x:v>44755</x:v>
      </x:c>
      <x:c r="AF36" s="130" t="str">
        <x:v>T</x:v>
      </x:c>
      <x:c r="AG36" s="130" t="str">
        <x:v>Corrective lenses</x:v>
      </x:c>
      <x:c r="AH36" s="180" t="n">
        <x:v>45766</x:v>
      </x:c>
      <x:c r="AI36" s="130" t="str">
        <x:v>MC-0051018</x:v>
      </x:c>
      <x:c r="AJ36" s="130" t="str">
        <x:v>Dr. Helen Price</x:v>
      </x:c>
      <x:c r="AK36" s="130" t="str">
        <x:v>ME100005</x:v>
      </x:c>
      <x:c r="AL36" s="130" t="str">
        <x:v>Corrective lenses</x:v>
      </x:c>
      <x:c r="AM36" s="130" t="str">
        <x:v>Qualified</x:v>
      </x:c>
      <x:c r="AN36" s="180" t="n">
        <x:v>46448</x:v>
      </x:c>
      <x:c r="AO36" s="130" t="n">
        <x:v>1</x:v>
      </x:c>
      <x:c r="AP36" s="130" t="n">
        <x:v>0</x:v>
      </x:c>
      <x:c r="AQ36" s="130" t="str">
        <x:v>Corrective lenses</x:v>
      </x:c>
      <x:c r="AR36" s="130" t="str">
        <x:v>Clear</x:v>
      </x:c>
      <x:c r="AS36" s="180" t="n">
        <x:v>45509</x:v>
      </x:c>
      <x:c r="AT36" s="130" t="str">
        <x:v>Authorized to Work</x:v>
      </x:c>
      <x:c r="AU36" s="130" t="str">
        <x:v>U.S. Passport</x:v>
      </x:c>
      <x:c r="AV36" s="130"/>
      <x:c r="AW36" s="130"/>
      <x:c r="AX36" s="180" t="n">
        <x:v>45509</x:v>
      </x:c>
      <x:c r="AY36" s="130" t="str">
        <x:v>BOF Onboarding Team</x:v>
      </x:c>
      <x:c r="AZ36" s="130" t="str">
        <x:v>Complete</x:v>
      </x:c>
      <x:c r="BA36" s="130"/>
      <x:c r="BB36" s="130" t="str">
        <x:v>Individual/Sole Proprietor</x:v>
      </x:c>
      <x:c r="BC36" s="130" t="str">
        <x:v>SSN</x:v>
      </x:c>
      <x:c r="BD36" s="130" t="str">
        <x:v>***-**-0102</x:v>
      </x:c>
      <x:c r="BE36" s="130"/>
      <x:c r="BF36" s="180" t="n">
        <x:v>45509</x:v>
      </x:c>
      <x:c r="BG36" s="130" t="str">
        <x:v>Received</x:v>
      </x:c>
      <x:c r="BH36" s="130" t="str">
        <x:v>Checking</x:v>
      </x:c>
      <x:c r="BI36" s="130" t="str">
        <x:v>Direct Deposit</x:v>
      </x:c>
      <x:c r="BJ36" s="180" t="n">
        <x:v>45509</x:v>
      </x:c>
      <x:c r="BK36" s="130" t="str">
        <x:v>Verified</x:v>
      </x:c>
      <x:c r="BL36" s="180" t="n">
        <x:v>45502</x:v>
      </x:c>
      <x:c r="BM36" s="130" t="str">
        <x:v>T. Warren</x:v>
      </x:c>
      <x:c r="BN36" s="130" t="str">
        <x:v>Day cab tractor</x:v>
      </x:c>
      <x:c r="BO36" s="130" t="str">
        <x:v>53 ft dry van</x:v>
      </x:c>
      <x:c r="BP36" s="130" t="str">
        <x:v>Columbus, OH</x:v>
      </x:c>
      <x:c r="BQ36" s="130" t="n">
        <x:v>5</x:v>
      </x:c>
      <x:c r="BR36" s="130" t="n">
        <x:v>4</x:v>
      </x:c>
      <x:c r="BS36" s="130" t="n">
        <x:v>4</x:v>
      </x:c>
      <x:c r="BT36" s="130" t="n">
        <x:v>4</x:v>
      </x:c>
      <x:c r="BU36" s="130" t="n">
        <x:v>4</x:v>
      </x:c>
      <x:c r="BV36" s="130" t="n">
        <x:v>5</x:v>
      </x:c>
      <x:c r="BW36" s="130" t="n">
        <x:v>4</x:v>
      </x:c>
      <x:c r="BX36" s="130" t="n">
        <x:v>4</x:v>
      </x:c>
      <x:c r="BY36" s="130" t="n">
        <x:v>4</x:v>
      </x:c>
      <x:c r="BZ36" s="130" t="str">
        <x:v>Pass</x:v>
      </x:c>
      <x:c r="CA36" s="130" t="str">
        <x:v>Corrective lenses</x:v>
      </x:c>
      <x:c r="CB36" s="130" t="str">
        <x:v>Passed</x:v>
      </x:c>
      <x:c r="CC36" s="130" t="str">
        <x:v>Enrolled</x:v>
      </x:c>
      <x:c r="CD36" s="130" t="str">
        <x:v>Query Completed</x:v>
      </x:c>
      <x:c r="CE36" s="180" t="n">
        <x:v>46037</x:v>
      </x:c>
      <x:c r="CF36" s="180" t="n">
        <x:v>46218</x:v>
      </x:c>
      <x:c r="CG36" s="130"/>
      <x:c r="CH36" s="130" t="str">
        <x:v>Compliant</x:v>
      </x:c>
      <x:c r="CI36" s="130"/>
      <x:c r="CJ36" s="130" t="str">
        <x:v>Kenji</x:v>
      </x:c>
      <x:c r="CK36" s="130" t="str">
        <x:v>Tanaka</x:v>
      </x:c>
      <x:c r="CL36" s="130" t="str">
        <x:v>OH0000090</x:v>
      </x:c>
      <x:c r="CM36" s="130" t="str">
        <x:v>OH</x:v>
      </x:c>
      <x:c r="CN36" s="130" t="str">
        <x:v>CDL Holder</x:v>
      </x:c>
      <x:c r="CO36" s="130" t="str">
        <x:v>Kenji Tanaka</x:v>
      </x:c>
      <x:c r="CP36" s="180" t="n">
        <x:v>45766</x:v>
      </x:c>
      <x:c r="CQ36" s="180" t="n">
        <x:v>46496</x:v>
      </x:c>
      <x:c r="CR36" s="130" t="str">
        <x:v>(614) 555-0106</x:v>
      </x:c>
      <x:c r="CS36" s="130" t="str">
        <x:v>Dr. Helen Price</x:v>
      </x:c>
      <x:c r="CT36" s="180" t="n">
        <x:v>45766</x:v>
      </x:c>
      <x:c r="CU36" s="130" t="str">
        <x:v>OH-ME-401933</x:v>
      </x:c>
      <x:c r="CV36" s="130" t="str">
        <x:v>ME100005</x:v>
      </x:c>
      <x:c r="CW36" s="130" t="str">
        <x:v>Advanced Practice Nurse</x:v>
      </x:c>
      <x:c r="CX36" s="130" t="str">
        <x:v>OH</x:v>
      </x:c>
      <x:c r="CY36" s="130" t="str">
        <x:v>Federal Motor Carrier Safety Regulations</x:v>
      </x:c>
      <x:c r="CZ36" s="130"/>
      <x:c r="DA36" s="130" t="str">
        <x:v>Yes</x:v>
      </x:c>
      <x:c r="DB36" s="130" t="str">
        <x:v>No</x:v>
      </x:c>
      <x:c r="DC36" s="130" t="str">
        <x:v>No</x:v>
      </x:c>
      <x:c r="DD36" s="130" t="str">
        <x:v>No</x:v>
      </x:c>
      <x:c r="DE36" s="130" t="str">
        <x:v>Yes</x:v>
      </x:c>
      <x:c r="DF36" s="130" t="str">
        <x:v>No</x:v>
      </x:c>
      <x:c r="DG36" s="130" t="str">
        <x:v>Jane Doe</x:v>
      </x:c>
      <x:c r="DH36" s="130" t="str">
        <x:v>Sister</x:v>
      </x:c>
      <x:c r="DI36" s="130" t="str">
        <x:v>555-555-5555</x:v>
      </x:c>
      <x:c r="DJ36" s="130" t="str">
        <x:v>No</x:v>
      </x:c>
      <x:c r="DK36" s="130" t="str">
        <x:v>No</x:v>
      </x:c>
      <x:c r="DL36" s="130" t="str">
        <x:v>No</x:v>
      </x:c>
      <x:c r="DM36" s="130" t="str">
        <x:v>No</x:v>
      </x:c>
      <x:c r="DN36" s="130" t="str">
        <x:v>Yes - Appendectomy (2005)</x:v>
      </x:c>
      <x:c r="DO36" s="130" t="str">
        <x:v>20/20</x:v>
      </x:c>
      <x:c r="DP36" s="130" t="str">
        <x:v>20/20</x:v>
      </x:c>
      <x:c r="DQ36" s="130" t="str">
        <x:v>Pass</x:v>
      </x:c>
      <x:c r="DR36" s="130" t="str">
        <x:v>118</x:v>
      </x:c>
      <x:c r="DS36" s="130" t="str">
        <x:v>78</x:v>
      </x:c>
      <x:c r="DT36" s="130" t="str">
        <x:v>72</x:v>
      </x:c>
      <x:c r="DU36" s="130" t="str">
        <x:v>Normal</x:v>
      </x:c>
      <x:c r="DV36" s="180" t="n">
        <x:v>45392</x:v>
      </x:c>
      <x:c r="DW36" s="180" t="n">
        <x:v>45394</x:v>
      </x:c>
      <x:c r="DX36" s="130" t="str">
        <x:v>Negative</x:v>
      </x:c>
      <x:c r="DY36" s="180" t="n">
        <x:v>45397</x:v>
      </x:c>
      <x:c r="DZ36" s="130" t="str">
        <x:v>BOF Fleet Safety &amp; Compliance Policy 2024</x:v>
      </x:c>
      <x:c r="EA36" s="130" t="str">
        <x:v>Complete</x:v>
      </x:c>
      <x:c r="EB36" s="180" t="n">
        <x:v>45413</x:v>
      </x:c>
    </x:row>
    <x:row r="37">
      <x:c r="A37" s="130" t="str">
        <x:v>DRV-006</x:v>
      </x:c>
      <x:c r="B37" s="130" t="str">
        <x:v>Marcus Chen</x:v>
      </x:c>
      <x:c r="C37" s="130" t="str">
        <x:v>810 Demo Street, Dallas, TX 75202</x:v>
      </x:c>
      <x:c r="D37" s="130" t="str">
        <x:v>283-555-0100</x:v>
      </x:c>
      <x:c r="E37" s="130" t="str">
        <x:v>***-**-0101</x:v>
      </x:c>
      <x:c r="F37" s="130" t="str">
        <x:v>Chase</x:v>
      </x:c>
      <x:c r="G37" s="130" t="n">
        <x:v>000000112</x:v>
      </x:c>
      <x:c r="H37" s="130" t="n">
        <x:v>999900207</x:v>
      </x:c>
      <x:c r="I37" s="130" t="str">
        <x:v>CDL Summary</x:v>
      </x:c>
      <x:c r="J37" s="130" t="str">
        <x:v>VALID</x:v>
      </x:c>
      <x:c r="K37" s="130" t="str">
        <x:v>TX0000158</x:v>
      </x:c>
      <x:c r="L37" s="180" t="n">
        <x:v>45826</x:v>
      </x:c>
      <x:c r="M37" s="180" t="n">
        <x:v>46394</x:v>
      </x:c>
      <x:c r="N37" s="180" t="n">
        <x:v>46455</x:v>
      </x:c>
      <x:c r="O37" s="130"/>
      <x:c r="P37" s="130" t="str">
        <x:v>Bald</x:v>
      </x:c>
      <x:c r="Q37" s="130" t="str">
        <x:v>Brown</x:v>
      </x:c>
      <x:c r="R37" s="130" t="str">
        <x:v>6'-1"</x:v>
      </x:c>
      <x:c r="S37" s="130" t="n">
        <x:v>238</x:v>
      </x:c>
      <x:c r="T37" s="130" t="str">
        <x:v>M</x:v>
      </x:c>
      <x:c r="U37" s="130" t="n">
        <x:v>25569</x:v>
      </x:c>
      <x:c r="V37" s="130" t="str">
        <x:v>DRV-006.png</x:v>
      </x:c>
      <x:c r="W37" s="130" t="str">
        <x:v>Asian</x:v>
      </x:c>
      <x:c r="X37" s="130" t="str">
        <x:v>mchen@example.com</x:v>
      </x:c>
      <x:c r="Y37" s="130" t="str">
        <x:v>810 Demo Street</x:v>
      </x:c>
      <x:c r="Z37" s="130" t="str">
        <x:v>Dallas</x:v>
      </x:c>
      <x:c r="AA37" s="130" t="str">
        <x:v>TX</x:v>
      </x:c>
      <x:c r="AB37" s="130" t="n">
        <x:v>75202</x:v>
      </x:c>
      <x:c r="AC37" s="130" t="str">
        <x:v>TX</x:v>
      </x:c>
      <x:c r="AD37" s="130" t="str">
        <x:v>Class A</x:v>
      </x:c>
      <x:c r="AE37" s="180" t="n">
        <x:v>44004</x:v>
      </x:c>
      <x:c r="AF37" s="130" t="str">
        <x:v>H,N,T</x:v>
      </x:c>
      <x:c r="AG37" s="130"/>
      <x:c r="AH37" s="180" t="n">
        <x:v>45664</x:v>
      </x:c>
      <x:c r="AI37" s="130" t="str">
        <x:v>MC-0060208</x:v>
      </x:c>
      <x:c r="AJ37" s="130" t="str">
        <x:v>Dr. Monica Steele</x:v>
      </x:c>
      <x:c r="AK37" s="130" t="str">
        <x:v>ME100006</x:v>
      </x:c>
      <x:c r="AL37" s="130"/>
      <x:c r="AM37" s="130" t="str">
        <x:v>Qualified</x:v>
      </x:c>
      <x:c r="AN37" s="180" t="n">
        <x:v>46425</x:v>
      </x:c>
      <x:c r="AO37" s="130" t="n">
        <x:v>2</x:v>
      </x:c>
      <x:c r="AP37" s="130" t="n">
        <x:v>1</x:v>
      </x:c>
      <x:c r="AQ37" s="130"/>
      <x:c r="AR37" s="130" t="str">
        <x:v>Reviewed - Clear to Drive</x:v>
      </x:c>
      <x:c r="AS37" s="180" t="n">
        <x:v>45544</x:v>
      </x:c>
      <x:c r="AT37" s="130" t="str">
        <x:v>Authorized to Work</x:v>
      </x:c>
      <x:c r="AU37" s="130" t="str">
        <x:v>U.S. Passport</x:v>
      </x:c>
      <x:c r="AV37" s="130"/>
      <x:c r="AW37" s="130"/>
      <x:c r="AX37" s="180" t="n">
        <x:v>45544</x:v>
      </x:c>
      <x:c r="AY37" s="130" t="str">
        <x:v>BOF Onboarding Team</x:v>
      </x:c>
      <x:c r="AZ37" s="130" t="str">
        <x:v>Complete</x:v>
      </x:c>
      <x:c r="BA37" s="130"/>
      <x:c r="BB37" s="130" t="str">
        <x:v>Individual/Sole Proprietor</x:v>
      </x:c>
      <x:c r="BC37" s="130" t="str">
        <x:v>SSN</x:v>
      </x:c>
      <x:c r="BD37" s="130" t="str">
        <x:v>***-**-0101</x:v>
      </x:c>
      <x:c r="BE37" s="130"/>
      <x:c r="BF37" s="180" t="n">
        <x:v>45544</x:v>
      </x:c>
      <x:c r="BG37" s="130" t="str">
        <x:v>Received</x:v>
      </x:c>
      <x:c r="BH37" s="130" t="str">
        <x:v>Checking</x:v>
      </x:c>
      <x:c r="BI37" s="130" t="str">
        <x:v>Direct Deposit</x:v>
      </x:c>
      <x:c r="BJ37" s="180" t="n">
        <x:v>45544</x:v>
      </x:c>
      <x:c r="BK37" s="130" t="str">
        <x:v>Verified</x:v>
      </x:c>
      <x:c r="BL37" s="180" t="n">
        <x:v>45537</x:v>
      </x:c>
      <x:c r="BM37" s="130" t="str">
        <x:v>R. Delgado</x:v>
      </x:c>
      <x:c r="BN37" s="130" t="str">
        <x:v>Sleeper tractor</x:v>
      </x:c>
      <x:c r="BO37" s="130" t="str">
        <x:v>53 ft reefer</x:v>
      </x:c>
      <x:c r="BP37" s="130" t="str">
        <x:v>Dallas, TX</x:v>
      </x:c>
      <x:c r="BQ37" s="130" t="n">
        <x:v>4</x:v>
      </x:c>
      <x:c r="BR37" s="130" t="n">
        <x:v>4</x:v>
      </x:c>
      <x:c r="BS37" s="130" t="n">
        <x:v>3</x:v>
      </x:c>
      <x:c r="BT37" s="130" t="n">
        <x:v>4</x:v>
      </x:c>
      <x:c r="BU37" s="130" t="n">
        <x:v>4</x:v>
      </x:c>
      <x:c r="BV37" s="130" t="n">
        <x:v>4</x:v>
      </x:c>
      <x:c r="BW37" s="130" t="n">
        <x:v>4</x:v>
      </x:c>
      <x:c r="BX37" s="130" t="n">
        <x:v>4</x:v>
      </x:c>
      <x:c r="BY37" s="130" t="n">
        <x:v>4</x:v>
      </x:c>
      <x:c r="BZ37" s="130" t="str">
        <x:v>Pass</x:v>
      </x:c>
      <x:c r="CA37" s="130" t="str">
        <x:v>Maintain following distance</x:v>
      </x:c>
      <x:c r="CB37" s="130" t="str">
        <x:v>Passed</x:v>
      </x:c>
      <x:c r="CC37" s="130" t="str">
        <x:v>Enrolled</x:v>
      </x:c>
      <x:c r="CD37" s="130" t="str">
        <x:v>Query Completed</x:v>
      </x:c>
      <x:c r="CE37" s="180" t="n">
        <x:v>46037</x:v>
      </x:c>
      <x:c r="CF37" s="180" t="n">
        <x:v>46218</x:v>
      </x:c>
      <x:c r="CG37" s="130"/>
      <x:c r="CH37" s="130" t="str">
        <x:v>Compliant</x:v>
      </x:c>
      <x:c r="CI37" s="130"/>
      <x:c r="CJ37" s="130" t="str">
        <x:v>Marcus</x:v>
      </x:c>
      <x:c r="CK37" s="130" t="str">
        <x:v>Chen</x:v>
      </x:c>
      <x:c r="CL37" s="130" t="str">
        <x:v>TX0000158</x:v>
      </x:c>
      <x:c r="CM37" s="130" t="str">
        <x:v>TX</x:v>
      </x:c>
      <x:c r="CN37" s="130" t="str">
        <x:v>CDL Holder</x:v>
      </x:c>
      <x:c r="CO37" s="130" t="str">
        <x:v>Marcus Chen</x:v>
      </x:c>
      <x:c r="CP37" s="180" t="n">
        <x:v>45664</x:v>
      </x:c>
      <x:c r="CQ37" s="180" t="n">
        <x:v>46394</x:v>
      </x:c>
      <x:c r="CR37" s="130" t="str">
        <x:v>(512) 555-0100</x:v>
      </x:c>
      <x:c r="CS37" s="130" t="str">
        <x:v>Dr. Monica Steele</x:v>
      </x:c>
      <x:c r="CT37" s="180" t="n">
        <x:v>45664</x:v>
      </x:c>
      <x:c r="CU37" s="130" t="str">
        <x:v>TX-ME-991196</x:v>
      </x:c>
      <x:c r="CV37" s="130" t="str">
        <x:v>ME100006</x:v>
      </x:c>
      <x:c r="CW37" s="130" t="str">
        <x:v>Physician Assistant</x:v>
      </x:c>
      <x:c r="CX37" s="130" t="str">
        <x:v>TX</x:v>
      </x:c>
      <x:c r="CY37" s="130" t="str">
        <x:v>Federal Motor Carrier Safety Regulations</x:v>
      </x:c>
      <x:c r="CZ37" s="130"/>
      <x:c r="DA37" s="130" t="str">
        <x:v>No</x:v>
      </x:c>
      <x:c r="DB37" s="130" t="str">
        <x:v>No</x:v>
      </x:c>
      <x:c r="DC37" s="130" t="str">
        <x:v>No</x:v>
      </x:c>
      <x:c r="DD37" s="130" t="str">
        <x:v>No</x:v>
      </x:c>
      <x:c r="DE37" s="130" t="str">
        <x:v>No</x:v>
      </x:c>
      <x:c r="DF37" s="130" t="str">
        <x:v>No</x:v>
      </x:c>
      <x:c r="DG37" s="130" t="str">
        <x:v>Jane Doe</x:v>
      </x:c>
      <x:c r="DH37" s="130" t="str">
        <x:v>Sister</x:v>
      </x:c>
      <x:c r="DI37" s="130" t="str">
        <x:v>555-555-5555</x:v>
      </x:c>
      <x:c r="DJ37" s="130" t="str">
        <x:v>No</x:v>
      </x:c>
      <x:c r="DK37" s="130" t="str">
        <x:v>No</x:v>
      </x:c>
      <x:c r="DL37" s="130" t="str">
        <x:v>No</x:v>
      </x:c>
      <x:c r="DM37" s="130" t="str">
        <x:v>No</x:v>
      </x:c>
      <x:c r="DN37" s="130" t="str">
        <x:v>Yes - Appendectomy (2005)</x:v>
      </x:c>
      <x:c r="DO37" s="130" t="str">
        <x:v>20/20</x:v>
      </x:c>
      <x:c r="DP37" s="130" t="str">
        <x:v>20/20</x:v>
      </x:c>
      <x:c r="DQ37" s="130" t="str">
        <x:v>Pass</x:v>
      </x:c>
      <x:c r="DR37" s="130" t="str">
        <x:v>118</x:v>
      </x:c>
      <x:c r="DS37" s="130" t="str">
        <x:v>78</x:v>
      </x:c>
      <x:c r="DT37" s="130" t="str">
        <x:v>72</x:v>
      </x:c>
      <x:c r="DU37" s="130" t="str">
        <x:v>Normal</x:v>
      </x:c>
      <x:c r="DV37" s="180" t="n">
        <x:v>45392</x:v>
      </x:c>
      <x:c r="DW37" s="180" t="n">
        <x:v>45394</x:v>
      </x:c>
      <x:c r="DX37" s="130" t="str">
        <x:v>Negative</x:v>
      </x:c>
      <x:c r="DY37" s="180" t="n">
        <x:v>45397</x:v>
      </x:c>
      <x:c r="DZ37" s="130" t="str">
        <x:v>BOF Fleet Safety &amp; Compliance Policy 2024</x:v>
      </x:c>
      <x:c r="EA37" s="130" t="str">
        <x:v>Complete</x:v>
      </x:c>
      <x:c r="EB37" s="180" t="n">
        <x:v>45413</x:v>
      </x:c>
    </x:row>
    <x:row r="38">
      <x:c r="A38" s="130" t="str">
        <x:v>DRV-006</x:v>
      </x:c>
      <x:c r="B38" s="130" t="str">
        <x:v>Marcus Chen</x:v>
      </x:c>
      <x:c r="C38" s="130" t="str">
        <x:v>810 Demo Street, Dallas, TX 75202</x:v>
      </x:c>
      <x:c r="D38" s="130" t="str">
        <x:v>283-555-0100</x:v>
      </x:c>
      <x:c r="E38" s="130" t="str">
        <x:v>***-**-0101</x:v>
      </x:c>
      <x:c r="F38" s="130" t="str">
        <x:v>Chase</x:v>
      </x:c>
      <x:c r="G38" s="130" t="n">
        <x:v>000000112</x:v>
      </x:c>
      <x:c r="H38" s="130" t="n">
        <x:v>999900207</x:v>
      </x:c>
      <x:c r="I38" s="130" t="str">
        <x:v>Medical Certification</x:v>
      </x:c>
      <x:c r="J38" s="130" t="str">
        <x:v>VALID</x:v>
      </x:c>
      <x:c r="K38" s="130" t="str">
        <x:v>TX0000165</x:v>
      </x:c>
      <x:c r="L38" s="180" t="n">
        <x:v>45826</x:v>
      </x:c>
      <x:c r="M38" s="180" t="n">
        <x:v>46394</x:v>
      </x:c>
      <x:c r="N38" s="180" t="n">
        <x:v>46455</x:v>
      </x:c>
      <x:c r="O38" s="130"/>
      <x:c r="P38" s="130" t="str">
        <x:v>Bald</x:v>
      </x:c>
      <x:c r="Q38" s="130" t="str">
        <x:v>Brown</x:v>
      </x:c>
      <x:c r="R38" s="130" t="str">
        <x:v>6'-1"</x:v>
      </x:c>
      <x:c r="S38" s="130" t="n">
        <x:v>238</x:v>
      </x:c>
      <x:c r="T38" s="130" t="str">
        <x:v>M</x:v>
      </x:c>
      <x:c r="U38" s="130" t="n">
        <x:v>25569</x:v>
      </x:c>
      <x:c r="V38" s="130" t="str">
        <x:v>DRV-006.png</x:v>
      </x:c>
      <x:c r="W38" s="130" t="str">
        <x:v>Asian</x:v>
      </x:c>
      <x:c r="X38" s="130" t="str">
        <x:v>mchen@example.com</x:v>
      </x:c>
      <x:c r="Y38" s="130" t="str">
        <x:v>810 Demo Street</x:v>
      </x:c>
      <x:c r="Z38" s="130" t="str">
        <x:v>Dallas</x:v>
      </x:c>
      <x:c r="AA38" s="130" t="str">
        <x:v>TX</x:v>
      </x:c>
      <x:c r="AB38" s="130" t="n">
        <x:v>75202</x:v>
      </x:c>
      <x:c r="AC38" s="130" t="str">
        <x:v>TX</x:v>
      </x:c>
      <x:c r="AD38" s="130" t="str">
        <x:v>Class A</x:v>
      </x:c>
      <x:c r="AE38" s="180" t="n">
        <x:v>44004</x:v>
      </x:c>
      <x:c r="AF38" s="130" t="str">
        <x:v>H,N,T</x:v>
      </x:c>
      <x:c r="AG38" s="130"/>
      <x:c r="AH38" s="180" t="n">
        <x:v>45664</x:v>
      </x:c>
      <x:c r="AI38" s="130" t="str">
        <x:v>MC-0060208</x:v>
      </x:c>
      <x:c r="AJ38" s="130" t="str">
        <x:v>Dr. Monica Steele</x:v>
      </x:c>
      <x:c r="AK38" s="130" t="str">
        <x:v>ME100006</x:v>
      </x:c>
      <x:c r="AL38" s="130"/>
      <x:c r="AM38" s="130" t="str">
        <x:v>Qualified</x:v>
      </x:c>
      <x:c r="AN38" s="180" t="n">
        <x:v>46425</x:v>
      </x:c>
      <x:c r="AO38" s="130" t="n">
        <x:v>2</x:v>
      </x:c>
      <x:c r="AP38" s="130" t="n">
        <x:v>1</x:v>
      </x:c>
      <x:c r="AQ38" s="130"/>
      <x:c r="AR38" s="130" t="str">
        <x:v>Reviewed - Clear to Drive</x:v>
      </x:c>
      <x:c r="AS38" s="180" t="n">
        <x:v>45544</x:v>
      </x:c>
      <x:c r="AT38" s="130" t="str">
        <x:v>Authorized to Work</x:v>
      </x:c>
      <x:c r="AU38" s="130" t="str">
        <x:v>U.S. Passport</x:v>
      </x:c>
      <x:c r="AV38" s="130"/>
      <x:c r="AW38" s="130"/>
      <x:c r="AX38" s="180" t="n">
        <x:v>45544</x:v>
      </x:c>
      <x:c r="AY38" s="130" t="str">
        <x:v>BOF Onboarding Team</x:v>
      </x:c>
      <x:c r="AZ38" s="130" t="str">
        <x:v>Complete</x:v>
      </x:c>
      <x:c r="BA38" s="130"/>
      <x:c r="BB38" s="130" t="str">
        <x:v>Individual/Sole Proprietor</x:v>
      </x:c>
      <x:c r="BC38" s="130" t="str">
        <x:v>SSN</x:v>
      </x:c>
      <x:c r="BD38" s="130" t="str">
        <x:v>***-**-0101</x:v>
      </x:c>
      <x:c r="BE38" s="130"/>
      <x:c r="BF38" s="180" t="n">
        <x:v>45544</x:v>
      </x:c>
      <x:c r="BG38" s="130" t="str">
        <x:v>Received</x:v>
      </x:c>
      <x:c r="BH38" s="130" t="str">
        <x:v>Checking</x:v>
      </x:c>
      <x:c r="BI38" s="130" t="str">
        <x:v>Direct Deposit</x:v>
      </x:c>
      <x:c r="BJ38" s="180" t="n">
        <x:v>45544</x:v>
      </x:c>
      <x:c r="BK38" s="130" t="str">
        <x:v>Verified</x:v>
      </x:c>
      <x:c r="BL38" s="180" t="n">
        <x:v>45537</x:v>
      </x:c>
      <x:c r="BM38" s="130" t="str">
        <x:v>R. Delgado</x:v>
      </x:c>
      <x:c r="BN38" s="130" t="str">
        <x:v>Sleeper tractor</x:v>
      </x:c>
      <x:c r="BO38" s="130" t="str">
        <x:v>53 ft reefer</x:v>
      </x:c>
      <x:c r="BP38" s="130" t="str">
        <x:v>Dallas, TX</x:v>
      </x:c>
      <x:c r="BQ38" s="130" t="n">
        <x:v>4</x:v>
      </x:c>
      <x:c r="BR38" s="130" t="n">
        <x:v>4</x:v>
      </x:c>
      <x:c r="BS38" s="130" t="n">
        <x:v>3</x:v>
      </x:c>
      <x:c r="BT38" s="130" t="n">
        <x:v>4</x:v>
      </x:c>
      <x:c r="BU38" s="130" t="n">
        <x:v>4</x:v>
      </x:c>
      <x:c r="BV38" s="130" t="n">
        <x:v>4</x:v>
      </x:c>
      <x:c r="BW38" s="130" t="n">
        <x:v>4</x:v>
      </x:c>
      <x:c r="BX38" s="130" t="n">
        <x:v>4</x:v>
      </x:c>
      <x:c r="BY38" s="130" t="n">
        <x:v>4</x:v>
      </x:c>
      <x:c r="BZ38" s="130" t="str">
        <x:v>Pass</x:v>
      </x:c>
      <x:c r="CA38" s="130" t="str">
        <x:v>Maintain following distance</x:v>
      </x:c>
      <x:c r="CB38" s="130" t="str">
        <x:v>Passed</x:v>
      </x:c>
      <x:c r="CC38" s="130" t="str">
        <x:v>Enrolled</x:v>
      </x:c>
      <x:c r="CD38" s="130" t="str">
        <x:v>Query Completed</x:v>
      </x:c>
      <x:c r="CE38" s="180" t="n">
        <x:v>46037</x:v>
      </x:c>
      <x:c r="CF38" s="180" t="n">
        <x:v>46218</x:v>
      </x:c>
      <x:c r="CG38" s="130"/>
      <x:c r="CH38" s="130" t="str">
        <x:v>Compliant</x:v>
      </x:c>
      <x:c r="CI38" s="130"/>
      <x:c r="CJ38" s="130" t="str">
        <x:v>Marcus</x:v>
      </x:c>
      <x:c r="CK38" s="130" t="str">
        <x:v>Chen</x:v>
      </x:c>
      <x:c r="CL38" s="130" t="str">
        <x:v>TX0000159</x:v>
      </x:c>
      <x:c r="CM38" s="130" t="str">
        <x:v>TX</x:v>
      </x:c>
      <x:c r="CN38" s="130" t="str">
        <x:v>CDL Holder</x:v>
      </x:c>
      <x:c r="CO38" s="130" t="str">
        <x:v>Marcus Chen</x:v>
      </x:c>
      <x:c r="CP38" s="180" t="n">
        <x:v>45664</x:v>
      </x:c>
      <x:c r="CQ38" s="180" t="n">
        <x:v>46394</x:v>
      </x:c>
      <x:c r="CR38" s="130" t="str">
        <x:v>(512) 555-0100</x:v>
      </x:c>
      <x:c r="CS38" s="130" t="str">
        <x:v>Dr. Monica Steele</x:v>
      </x:c>
      <x:c r="CT38" s="180" t="n">
        <x:v>45664</x:v>
      </x:c>
      <x:c r="CU38" s="130" t="str">
        <x:v>TX-ME-991196</x:v>
      </x:c>
      <x:c r="CV38" s="130" t="str">
        <x:v>ME100006</x:v>
      </x:c>
      <x:c r="CW38" s="130" t="str">
        <x:v>Physician Assistant</x:v>
      </x:c>
      <x:c r="CX38" s="130" t="str">
        <x:v>TX</x:v>
      </x:c>
      <x:c r="CY38" s="130" t="str">
        <x:v>Federal Motor Carrier Safety Regulations</x:v>
      </x:c>
      <x:c r="CZ38" s="130"/>
      <x:c r="DA38" s="130" t="str">
        <x:v>No</x:v>
      </x:c>
      <x:c r="DB38" s="130" t="str">
        <x:v>No</x:v>
      </x:c>
      <x:c r="DC38" s="130" t="str">
        <x:v>No</x:v>
      </x:c>
      <x:c r="DD38" s="130" t="str">
        <x:v>No</x:v>
      </x:c>
      <x:c r="DE38" s="130" t="str">
        <x:v>No</x:v>
      </x:c>
      <x:c r="DF38" s="130" t="str">
        <x:v>No</x:v>
      </x:c>
      <x:c r="DG38" s="130" t="str">
        <x:v>Jane Doe</x:v>
      </x:c>
      <x:c r="DH38" s="130" t="str">
        <x:v>Sister</x:v>
      </x:c>
      <x:c r="DI38" s="130" t="str">
        <x:v>555-555-5555</x:v>
      </x:c>
      <x:c r="DJ38" s="130" t="str">
        <x:v>No</x:v>
      </x:c>
      <x:c r="DK38" s="130" t="str">
        <x:v>No</x:v>
      </x:c>
      <x:c r="DL38" s="130" t="str">
        <x:v>No</x:v>
      </x:c>
      <x:c r="DM38" s="130" t="str">
        <x:v>No</x:v>
      </x:c>
      <x:c r="DN38" s="130" t="str">
        <x:v>Yes - Appendectomy (2005)</x:v>
      </x:c>
      <x:c r="DO38" s="130" t="str">
        <x:v>20/20</x:v>
      </x:c>
      <x:c r="DP38" s="130" t="str">
        <x:v>20/20</x:v>
      </x:c>
      <x:c r="DQ38" s="130" t="str">
        <x:v>Pass</x:v>
      </x:c>
      <x:c r="DR38" s="130" t="str">
        <x:v>118</x:v>
      </x:c>
      <x:c r="DS38" s="130" t="str">
        <x:v>78</x:v>
      </x:c>
      <x:c r="DT38" s="130" t="str">
        <x:v>72</x:v>
      </x:c>
      <x:c r="DU38" s="130" t="str">
        <x:v>Normal</x:v>
      </x:c>
      <x:c r="DV38" s="180" t="n">
        <x:v>45392</x:v>
      </x:c>
      <x:c r="DW38" s="180" t="n">
        <x:v>45394</x:v>
      </x:c>
      <x:c r="DX38" s="130" t="str">
        <x:v>Negative</x:v>
      </x:c>
      <x:c r="DY38" s="180" t="n">
        <x:v>45397</x:v>
      </x:c>
      <x:c r="DZ38" s="130" t="str">
        <x:v>BOF Fleet Safety &amp; Compliance Policy 2024</x:v>
      </x:c>
      <x:c r="EA38" s="130" t="str">
        <x:v>Complete</x:v>
      </x:c>
      <x:c r="EB38" s="180" t="n">
        <x:v>45413</x:v>
      </x:c>
    </x:row>
    <x:row r="39">
      <x:c r="A39" s="130" t="str">
        <x:v>DRV-006</x:v>
      </x:c>
      <x:c r="B39" s="130" t="str">
        <x:v>Marcus Chen</x:v>
      </x:c>
      <x:c r="C39" s="130" t="str">
        <x:v>810 Demo Street, Dallas, TX 75202</x:v>
      </x:c>
      <x:c r="D39" s="130" t="str">
        <x:v>283-555-0100</x:v>
      </x:c>
      <x:c r="E39" s="130" t="str">
        <x:v>***-**-0101</x:v>
      </x:c>
      <x:c r="F39" s="130" t="str">
        <x:v>Chase</x:v>
      </x:c>
      <x:c r="G39" s="130" t="n">
        <x:v>000000112</x:v>
      </x:c>
      <x:c r="H39" s="130" t="n">
        <x:v>999900207</x:v>
      </x:c>
      <x:c r="I39" s="130" t="str">
        <x:v>MVR Background Report</x:v>
      </x:c>
      <x:c r="J39" s="130" t="str">
        <x:v>VALID</x:v>
      </x:c>
      <x:c r="K39" s="130" t="str">
        <x:v>TX0000155</x:v>
      </x:c>
      <x:c r="L39" s="180" t="n">
        <x:v>45826</x:v>
      </x:c>
      <x:c r="M39" s="180" t="n">
        <x:v>46394</x:v>
      </x:c>
      <x:c r="N39" s="180" t="n">
        <x:v>46455</x:v>
      </x:c>
      <x:c r="O39" s="130"/>
      <x:c r="P39" s="130" t="str">
        <x:v>Bald</x:v>
      </x:c>
      <x:c r="Q39" s="130" t="str">
        <x:v>Brown</x:v>
      </x:c>
      <x:c r="R39" s="130" t="str">
        <x:v>6'-1"</x:v>
      </x:c>
      <x:c r="S39" s="130" t="n">
        <x:v>238</x:v>
      </x:c>
      <x:c r="T39" s="130" t="str">
        <x:v>M</x:v>
      </x:c>
      <x:c r="U39" s="130" t="n">
        <x:v>25569</x:v>
      </x:c>
      <x:c r="V39" s="130" t="str">
        <x:v>DRV-006.png</x:v>
      </x:c>
      <x:c r="W39" s="130" t="str">
        <x:v>Asian</x:v>
      </x:c>
      <x:c r="X39" s="130" t="str">
        <x:v>mchen@example.com</x:v>
      </x:c>
      <x:c r="Y39" s="130" t="str">
        <x:v>810 Demo Street</x:v>
      </x:c>
      <x:c r="Z39" s="130" t="str">
        <x:v>Dallas</x:v>
      </x:c>
      <x:c r="AA39" s="130" t="str">
        <x:v>TX</x:v>
      </x:c>
      <x:c r="AB39" s="130" t="n">
        <x:v>75202</x:v>
      </x:c>
      <x:c r="AC39" s="130" t="str">
        <x:v>TX</x:v>
      </x:c>
      <x:c r="AD39" s="130" t="str">
        <x:v>Class A</x:v>
      </x:c>
      <x:c r="AE39" s="180" t="n">
        <x:v>44004</x:v>
      </x:c>
      <x:c r="AF39" s="130" t="str">
        <x:v>H,N,T</x:v>
      </x:c>
      <x:c r="AG39" s="130"/>
      <x:c r="AH39" s="180" t="n">
        <x:v>45664</x:v>
      </x:c>
      <x:c r="AI39" s="130" t="str">
        <x:v>MC-0060208</x:v>
      </x:c>
      <x:c r="AJ39" s="130" t="str">
        <x:v>Dr. Monica Steele</x:v>
      </x:c>
      <x:c r="AK39" s="130" t="str">
        <x:v>ME100006</x:v>
      </x:c>
      <x:c r="AL39" s="130"/>
      <x:c r="AM39" s="130" t="str">
        <x:v>Qualified</x:v>
      </x:c>
      <x:c r="AN39" s="180" t="n">
        <x:v>46425</x:v>
      </x:c>
      <x:c r="AO39" s="130" t="n">
        <x:v>2</x:v>
      </x:c>
      <x:c r="AP39" s="130" t="n">
        <x:v>1</x:v>
      </x:c>
      <x:c r="AQ39" s="130"/>
      <x:c r="AR39" s="130" t="str">
        <x:v>Reviewed - Clear to Drive</x:v>
      </x:c>
      <x:c r="AS39" s="180" t="n">
        <x:v>45544</x:v>
      </x:c>
      <x:c r="AT39" s="130" t="str">
        <x:v>Authorized to Work</x:v>
      </x:c>
      <x:c r="AU39" s="130" t="str">
        <x:v>U.S. Passport</x:v>
      </x:c>
      <x:c r="AV39" s="130"/>
      <x:c r="AW39" s="130"/>
      <x:c r="AX39" s="180" t="n">
        <x:v>45544</x:v>
      </x:c>
      <x:c r="AY39" s="130" t="str">
        <x:v>BOF Onboarding Team</x:v>
      </x:c>
      <x:c r="AZ39" s="130" t="str">
        <x:v>Complete</x:v>
      </x:c>
      <x:c r="BA39" s="130"/>
      <x:c r="BB39" s="130" t="str">
        <x:v>Individual/Sole Proprietor</x:v>
      </x:c>
      <x:c r="BC39" s="130" t="str">
        <x:v>SSN</x:v>
      </x:c>
      <x:c r="BD39" s="130" t="str">
        <x:v>***-**-0101</x:v>
      </x:c>
      <x:c r="BE39" s="130"/>
      <x:c r="BF39" s="180" t="n">
        <x:v>45544</x:v>
      </x:c>
      <x:c r="BG39" s="130" t="str">
        <x:v>Received</x:v>
      </x:c>
      <x:c r="BH39" s="130" t="str">
        <x:v>Checking</x:v>
      </x:c>
      <x:c r="BI39" s="130" t="str">
        <x:v>Direct Deposit</x:v>
      </x:c>
      <x:c r="BJ39" s="180" t="n">
        <x:v>45544</x:v>
      </x:c>
      <x:c r="BK39" s="130" t="str">
        <x:v>Verified</x:v>
      </x:c>
      <x:c r="BL39" s="180" t="n">
        <x:v>45537</x:v>
      </x:c>
      <x:c r="BM39" s="130" t="str">
        <x:v>R. Delgado</x:v>
      </x:c>
      <x:c r="BN39" s="130" t="str">
        <x:v>Sleeper tractor</x:v>
      </x:c>
      <x:c r="BO39" s="130" t="str">
        <x:v>53 ft reefer</x:v>
      </x:c>
      <x:c r="BP39" s="130" t="str">
        <x:v>Dallas, TX</x:v>
      </x:c>
      <x:c r="BQ39" s="130" t="n">
        <x:v>4</x:v>
      </x:c>
      <x:c r="BR39" s="130" t="n">
        <x:v>4</x:v>
      </x:c>
      <x:c r="BS39" s="130" t="n">
        <x:v>3</x:v>
      </x:c>
      <x:c r="BT39" s="130" t="n">
        <x:v>4</x:v>
      </x:c>
      <x:c r="BU39" s="130" t="n">
        <x:v>4</x:v>
      </x:c>
      <x:c r="BV39" s="130" t="n">
        <x:v>4</x:v>
      </x:c>
      <x:c r="BW39" s="130" t="n">
        <x:v>4</x:v>
      </x:c>
      <x:c r="BX39" s="130" t="n">
        <x:v>4</x:v>
      </x:c>
      <x:c r="BY39" s="130" t="n">
        <x:v>4</x:v>
      </x:c>
      <x:c r="BZ39" s="130" t="str">
        <x:v>Pass</x:v>
      </x:c>
      <x:c r="CA39" s="130" t="str">
        <x:v>Maintain following distance</x:v>
      </x:c>
      <x:c r="CB39" s="130" t="str">
        <x:v>Passed</x:v>
      </x:c>
      <x:c r="CC39" s="130" t="str">
        <x:v>Enrolled</x:v>
      </x:c>
      <x:c r="CD39" s="130" t="str">
        <x:v>Query Completed</x:v>
      </x:c>
      <x:c r="CE39" s="180" t="n">
        <x:v>46037</x:v>
      </x:c>
      <x:c r="CF39" s="180" t="n">
        <x:v>46218</x:v>
      </x:c>
      <x:c r="CG39" s="130"/>
      <x:c r="CH39" s="130" t="str">
        <x:v>Compliant</x:v>
      </x:c>
      <x:c r="CI39" s="130"/>
      <x:c r="CJ39" s="130" t="str">
        <x:v>Marcus</x:v>
      </x:c>
      <x:c r="CK39" s="130" t="str">
        <x:v>Chen</x:v>
      </x:c>
      <x:c r="CL39" s="130" t="str">
        <x:v>TX0000160</x:v>
      </x:c>
      <x:c r="CM39" s="130" t="str">
        <x:v>TX</x:v>
      </x:c>
      <x:c r="CN39" s="130" t="str">
        <x:v>CDL Holder</x:v>
      </x:c>
      <x:c r="CO39" s="130" t="str">
        <x:v>Marcus Chen</x:v>
      </x:c>
      <x:c r="CP39" s="180" t="n">
        <x:v>45664</x:v>
      </x:c>
      <x:c r="CQ39" s="180" t="n">
        <x:v>46394</x:v>
      </x:c>
      <x:c r="CR39" s="130" t="str">
        <x:v>(512) 555-0100</x:v>
      </x:c>
      <x:c r="CS39" s="130" t="str">
        <x:v>Dr. Monica Steele</x:v>
      </x:c>
      <x:c r="CT39" s="180" t="n">
        <x:v>45664</x:v>
      </x:c>
      <x:c r="CU39" s="130" t="str">
        <x:v>TX-ME-991196</x:v>
      </x:c>
      <x:c r="CV39" s="130" t="str">
        <x:v>ME100006</x:v>
      </x:c>
      <x:c r="CW39" s="130" t="str">
        <x:v>Physician Assistant</x:v>
      </x:c>
      <x:c r="CX39" s="130" t="str">
        <x:v>TX</x:v>
      </x:c>
      <x:c r="CY39" s="130" t="str">
        <x:v>Federal Motor Carrier Safety Regulations</x:v>
      </x:c>
      <x:c r="CZ39" s="130"/>
      <x:c r="DA39" s="130" t="str">
        <x:v>No</x:v>
      </x:c>
      <x:c r="DB39" s="130" t="str">
        <x:v>No</x:v>
      </x:c>
      <x:c r="DC39" s="130" t="str">
        <x:v>No</x:v>
      </x:c>
      <x:c r="DD39" s="130" t="str">
        <x:v>No</x:v>
      </x:c>
      <x:c r="DE39" s="130" t="str">
        <x:v>No</x:v>
      </x:c>
      <x:c r="DF39" s="130" t="str">
        <x:v>No</x:v>
      </x:c>
      <x:c r="DG39" s="130" t="str">
        <x:v>Jane Doe</x:v>
      </x:c>
      <x:c r="DH39" s="130" t="str">
        <x:v>Sister</x:v>
      </x:c>
      <x:c r="DI39" s="130" t="str">
        <x:v>555-555-5555</x:v>
      </x:c>
      <x:c r="DJ39" s="130" t="str">
        <x:v>No</x:v>
      </x:c>
      <x:c r="DK39" s="130" t="str">
        <x:v>No</x:v>
      </x:c>
      <x:c r="DL39" s="130" t="str">
        <x:v>No</x:v>
      </x:c>
      <x:c r="DM39" s="130" t="str">
        <x:v>No</x:v>
      </x:c>
      <x:c r="DN39" s="130" t="str">
        <x:v>Yes - Appendectomy (2005)</x:v>
      </x:c>
      <x:c r="DO39" s="130" t="str">
        <x:v>20/20</x:v>
      </x:c>
      <x:c r="DP39" s="130" t="str">
        <x:v>20/20</x:v>
      </x:c>
      <x:c r="DQ39" s="130" t="str">
        <x:v>Pass</x:v>
      </x:c>
      <x:c r="DR39" s="130" t="str">
        <x:v>118</x:v>
      </x:c>
      <x:c r="DS39" s="130" t="str">
        <x:v>78</x:v>
      </x:c>
      <x:c r="DT39" s="130" t="str">
        <x:v>72</x:v>
      </x:c>
      <x:c r="DU39" s="130" t="str">
        <x:v>Normal</x:v>
      </x:c>
      <x:c r="DV39" s="180" t="n">
        <x:v>45392</x:v>
      </x:c>
      <x:c r="DW39" s="180" t="n">
        <x:v>45394</x:v>
      </x:c>
      <x:c r="DX39" s="130" t="str">
        <x:v>Negative</x:v>
      </x:c>
      <x:c r="DY39" s="180" t="n">
        <x:v>45397</x:v>
      </x:c>
      <x:c r="DZ39" s="130" t="str">
        <x:v>BOF Fleet Safety &amp; Compliance Policy 2024</x:v>
      </x:c>
      <x:c r="EA39" s="130" t="str">
        <x:v>Complete</x:v>
      </x:c>
      <x:c r="EB39" s="180" t="n">
        <x:v>45413</x:v>
      </x:c>
    </x:row>
    <x:row r="40">
      <x:c r="A40" s="130" t="str">
        <x:v>DRV-006</x:v>
      </x:c>
      <x:c r="B40" s="130" t="str">
        <x:v>Marcus Chen</x:v>
      </x:c>
      <x:c r="C40" s="130" t="str">
        <x:v>810 Demo Street, Dallas, TX 75202</x:v>
      </x:c>
      <x:c r="D40" s="130" t="str">
        <x:v>283-555-0100</x:v>
      </x:c>
      <x:c r="E40" s="130" t="str">
        <x:v>***-**-0101</x:v>
      </x:c>
      <x:c r="F40" s="130" t="str">
        <x:v>Chase</x:v>
      </x:c>
      <x:c r="G40" s="130" t="n">
        <x:v>000000112</x:v>
      </x:c>
      <x:c r="H40" s="130" t="n">
        <x:v>999900207</x:v>
      </x:c>
      <x:c r="I40" s="130" t="str">
        <x:v>Driver Application</x:v>
      </x:c>
      <x:c r="J40" s="130" t="str">
        <x:v>VALID</x:v>
      </x:c>
      <x:c r="K40" s="130" t="str">
        <x:v>TX0000166</x:v>
      </x:c>
      <x:c r="L40" s="180" t="n">
        <x:v>45826</x:v>
      </x:c>
      <x:c r="M40" s="180" t="n">
        <x:v>46394</x:v>
      </x:c>
      <x:c r="N40" s="180" t="n">
        <x:v>46455</x:v>
      </x:c>
      <x:c r="O40" s="130"/>
      <x:c r="P40" s="130" t="str">
        <x:v>Bald</x:v>
      </x:c>
      <x:c r="Q40" s="130" t="str">
        <x:v>Brown</x:v>
      </x:c>
      <x:c r="R40" s="130" t="str">
        <x:v>6'-1"</x:v>
      </x:c>
      <x:c r="S40" s="130" t="n">
        <x:v>238</x:v>
      </x:c>
      <x:c r="T40" s="130" t="str">
        <x:v>M</x:v>
      </x:c>
      <x:c r="U40" s="130" t="n">
        <x:v>25569</x:v>
      </x:c>
      <x:c r="V40" s="130" t="str">
        <x:v>DRV-006.png</x:v>
      </x:c>
      <x:c r="W40" s="130" t="str">
        <x:v>Asian</x:v>
      </x:c>
      <x:c r="X40" s="130" t="str">
        <x:v>mchen@example.com</x:v>
      </x:c>
      <x:c r="Y40" s="130" t="str">
        <x:v>810 Demo Street</x:v>
      </x:c>
      <x:c r="Z40" s="130" t="str">
        <x:v>Dallas</x:v>
      </x:c>
      <x:c r="AA40" s="130" t="str">
        <x:v>TX</x:v>
      </x:c>
      <x:c r="AB40" s="130" t="n">
        <x:v>75202</x:v>
      </x:c>
      <x:c r="AC40" s="130" t="str">
        <x:v>TX</x:v>
      </x:c>
      <x:c r="AD40" s="130" t="str">
        <x:v>Class A</x:v>
      </x:c>
      <x:c r="AE40" s="180" t="n">
        <x:v>44004</x:v>
      </x:c>
      <x:c r="AF40" s="130" t="str">
        <x:v>H,N,T</x:v>
      </x:c>
      <x:c r="AG40" s="130"/>
      <x:c r="AH40" s="180" t="n">
        <x:v>45664</x:v>
      </x:c>
      <x:c r="AI40" s="130" t="str">
        <x:v>MC-0060208</x:v>
      </x:c>
      <x:c r="AJ40" s="130" t="str">
        <x:v>Dr. Monica Steele</x:v>
      </x:c>
      <x:c r="AK40" s="130" t="str">
        <x:v>ME100006</x:v>
      </x:c>
      <x:c r="AL40" s="130"/>
      <x:c r="AM40" s="130" t="str">
        <x:v>Qualified</x:v>
      </x:c>
      <x:c r="AN40" s="180" t="n">
        <x:v>46425</x:v>
      </x:c>
      <x:c r="AO40" s="130" t="n">
        <x:v>2</x:v>
      </x:c>
      <x:c r="AP40" s="130" t="n">
        <x:v>1</x:v>
      </x:c>
      <x:c r="AQ40" s="130"/>
      <x:c r="AR40" s="130" t="str">
        <x:v>Reviewed - Clear to Drive</x:v>
      </x:c>
      <x:c r="AS40" s="180" t="n">
        <x:v>45544</x:v>
      </x:c>
      <x:c r="AT40" s="130" t="str">
        <x:v>Authorized to Work</x:v>
      </x:c>
      <x:c r="AU40" s="130" t="str">
        <x:v>U.S. Passport</x:v>
      </x:c>
      <x:c r="AV40" s="130"/>
      <x:c r="AW40" s="130"/>
      <x:c r="AX40" s="180" t="n">
        <x:v>45544</x:v>
      </x:c>
      <x:c r="AY40" s="130" t="str">
        <x:v>BOF Onboarding Team</x:v>
      </x:c>
      <x:c r="AZ40" s="130" t="str">
        <x:v>Complete</x:v>
      </x:c>
      <x:c r="BA40" s="130"/>
      <x:c r="BB40" s="130" t="str">
        <x:v>Individual/Sole Proprietor</x:v>
      </x:c>
      <x:c r="BC40" s="130" t="str">
        <x:v>SSN</x:v>
      </x:c>
      <x:c r="BD40" s="130" t="str">
        <x:v>***-**-0101</x:v>
      </x:c>
      <x:c r="BE40" s="130"/>
      <x:c r="BF40" s="180" t="n">
        <x:v>45544</x:v>
      </x:c>
      <x:c r="BG40" s="130" t="str">
        <x:v>Received</x:v>
      </x:c>
      <x:c r="BH40" s="130" t="str">
        <x:v>Checking</x:v>
      </x:c>
      <x:c r="BI40" s="130" t="str">
        <x:v>Direct Deposit</x:v>
      </x:c>
      <x:c r="BJ40" s="180" t="n">
        <x:v>45544</x:v>
      </x:c>
      <x:c r="BK40" s="130" t="str">
        <x:v>Verified</x:v>
      </x:c>
      <x:c r="BL40" s="180" t="n">
        <x:v>45537</x:v>
      </x:c>
      <x:c r="BM40" s="130" t="str">
        <x:v>R. Delgado</x:v>
      </x:c>
      <x:c r="BN40" s="130" t="str">
        <x:v>Sleeper tractor</x:v>
      </x:c>
      <x:c r="BO40" s="130" t="str">
        <x:v>53 ft reefer</x:v>
      </x:c>
      <x:c r="BP40" s="130" t="str">
        <x:v>Dallas, TX</x:v>
      </x:c>
      <x:c r="BQ40" s="130" t="n">
        <x:v>4</x:v>
      </x:c>
      <x:c r="BR40" s="130" t="n">
        <x:v>4</x:v>
      </x:c>
      <x:c r="BS40" s="130" t="n">
        <x:v>3</x:v>
      </x:c>
      <x:c r="BT40" s="130" t="n">
        <x:v>4</x:v>
      </x:c>
      <x:c r="BU40" s="130" t="n">
        <x:v>4</x:v>
      </x:c>
      <x:c r="BV40" s="130" t="n">
        <x:v>4</x:v>
      </x:c>
      <x:c r="BW40" s="130" t="n">
        <x:v>4</x:v>
      </x:c>
      <x:c r="BX40" s="130" t="n">
        <x:v>4</x:v>
      </x:c>
      <x:c r="BY40" s="130" t="n">
        <x:v>4</x:v>
      </x:c>
      <x:c r="BZ40" s="130" t="str">
        <x:v>Pass</x:v>
      </x:c>
      <x:c r="CA40" s="130" t="str">
        <x:v>Maintain following distance</x:v>
      </x:c>
      <x:c r="CB40" s="130" t="str">
        <x:v>Passed</x:v>
      </x:c>
      <x:c r="CC40" s="130" t="str">
        <x:v>Enrolled</x:v>
      </x:c>
      <x:c r="CD40" s="130" t="str">
        <x:v>Query Completed</x:v>
      </x:c>
      <x:c r="CE40" s="180" t="n">
        <x:v>46037</x:v>
      </x:c>
      <x:c r="CF40" s="180" t="n">
        <x:v>46218</x:v>
      </x:c>
      <x:c r="CG40" s="130"/>
      <x:c r="CH40" s="130" t="str">
        <x:v>Compliant</x:v>
      </x:c>
      <x:c r="CI40" s="130"/>
      <x:c r="CJ40" s="130" t="str">
        <x:v>Marcus</x:v>
      </x:c>
      <x:c r="CK40" s="130" t="str">
        <x:v>Chen</x:v>
      </x:c>
      <x:c r="CL40" s="130" t="str">
        <x:v>TX0000161</x:v>
      </x:c>
      <x:c r="CM40" s="130" t="str">
        <x:v>TX</x:v>
      </x:c>
      <x:c r="CN40" s="130" t="str">
        <x:v>CDL Holder</x:v>
      </x:c>
      <x:c r="CO40" s="130" t="str">
        <x:v>Marcus Chen</x:v>
      </x:c>
      <x:c r="CP40" s="180" t="n">
        <x:v>45664</x:v>
      </x:c>
      <x:c r="CQ40" s="180" t="n">
        <x:v>46394</x:v>
      </x:c>
      <x:c r="CR40" s="130" t="str">
        <x:v>(512) 555-0100</x:v>
      </x:c>
      <x:c r="CS40" s="130" t="str">
        <x:v>Dr. Monica Steele</x:v>
      </x:c>
      <x:c r="CT40" s="180" t="n">
        <x:v>45664</x:v>
      </x:c>
      <x:c r="CU40" s="130" t="str">
        <x:v>TX-ME-991196</x:v>
      </x:c>
      <x:c r="CV40" s="130" t="str">
        <x:v>ME100006</x:v>
      </x:c>
      <x:c r="CW40" s="130" t="str">
        <x:v>Physician Assistant</x:v>
      </x:c>
      <x:c r="CX40" s="130" t="str">
        <x:v>TX</x:v>
      </x:c>
      <x:c r="CY40" s="130" t="str">
        <x:v>Federal Motor Carrier Safety Regulations</x:v>
      </x:c>
      <x:c r="CZ40" s="130"/>
      <x:c r="DA40" s="130" t="str">
        <x:v>No</x:v>
      </x:c>
      <x:c r="DB40" s="130" t="str">
        <x:v>No</x:v>
      </x:c>
      <x:c r="DC40" s="130" t="str">
        <x:v>No</x:v>
      </x:c>
      <x:c r="DD40" s="130" t="str">
        <x:v>No</x:v>
      </x:c>
      <x:c r="DE40" s="130" t="str">
        <x:v>No</x:v>
      </x:c>
      <x:c r="DF40" s="130" t="str">
        <x:v>No</x:v>
      </x:c>
      <x:c r="DG40" s="130" t="str">
        <x:v>Jane Doe</x:v>
      </x:c>
      <x:c r="DH40" s="130" t="str">
        <x:v>Sister</x:v>
      </x:c>
      <x:c r="DI40" s="130" t="str">
        <x:v>555-555-5555</x:v>
      </x:c>
      <x:c r="DJ40" s="130" t="str">
        <x:v>No</x:v>
      </x:c>
      <x:c r="DK40" s="130" t="str">
        <x:v>No</x:v>
      </x:c>
      <x:c r="DL40" s="130" t="str">
        <x:v>No</x:v>
      </x:c>
      <x:c r="DM40" s="130" t="str">
        <x:v>No</x:v>
      </x:c>
      <x:c r="DN40" s="130" t="str">
        <x:v>Yes - Appendectomy (2005)</x:v>
      </x:c>
      <x:c r="DO40" s="130" t="str">
        <x:v>20/20</x:v>
      </x:c>
      <x:c r="DP40" s="130" t="str">
        <x:v>20/20</x:v>
      </x:c>
      <x:c r="DQ40" s="130" t="str">
        <x:v>Pass</x:v>
      </x:c>
      <x:c r="DR40" s="130" t="str">
        <x:v>118</x:v>
      </x:c>
      <x:c r="DS40" s="130" t="str">
        <x:v>78</x:v>
      </x:c>
      <x:c r="DT40" s="130" t="str">
        <x:v>72</x:v>
      </x:c>
      <x:c r="DU40" s="130" t="str">
        <x:v>Normal</x:v>
      </x:c>
      <x:c r="DV40" s="180" t="n">
        <x:v>45392</x:v>
      </x:c>
      <x:c r="DW40" s="180" t="n">
        <x:v>45394</x:v>
      </x:c>
      <x:c r="DX40" s="130" t="str">
        <x:v>Negative</x:v>
      </x:c>
      <x:c r="DY40" s="180" t="n">
        <x:v>45397</x:v>
      </x:c>
      <x:c r="DZ40" s="130" t="str">
        <x:v>BOF Fleet Safety &amp; Compliance Policy 2024</x:v>
      </x:c>
      <x:c r="EA40" s="130" t="str">
        <x:v>Complete</x:v>
      </x:c>
      <x:c r="EB40" s="180" t="n">
        <x:v>45413</x:v>
      </x:c>
    </x:row>
    <x:row r="41">
      <x:c r="A41" s="130" t="str">
        <x:v>DRV-006</x:v>
      </x:c>
      <x:c r="B41" s="130" t="str">
        <x:v>Marcus Chen</x:v>
      </x:c>
      <x:c r="C41" s="130" t="str">
        <x:v>810 Demo Street, Dallas, TX 75202</x:v>
      </x:c>
      <x:c r="D41" s="130" t="str">
        <x:v>283-555-0100</x:v>
      </x:c>
      <x:c r="E41" s="130" t="str">
        <x:v>***-**-0101</x:v>
      </x:c>
      <x:c r="F41" s="130" t="str">
        <x:v>Chase</x:v>
      </x:c>
      <x:c r="G41" s="130" t="n">
        <x:v>000000112</x:v>
      </x:c>
      <x:c r="H41" s="130" t="n">
        <x:v>999900207</x:v>
      </x:c>
      <x:c r="I41" s="130" t="str">
        <x:v>Road Test Certificate</x:v>
      </x:c>
      <x:c r="J41" s="130" t="str">
        <x:v>VALID</x:v>
      </x:c>
      <x:c r="K41" s="130" t="str">
        <x:v>TX0000156</x:v>
      </x:c>
      <x:c r="L41" s="180" t="n">
        <x:v>45826</x:v>
      </x:c>
      <x:c r="M41" s="180" t="n">
        <x:v>46394</x:v>
      </x:c>
      <x:c r="N41" s="180" t="n">
        <x:v>46455</x:v>
      </x:c>
      <x:c r="O41" s="130"/>
      <x:c r="P41" s="130" t="str">
        <x:v>Bald</x:v>
      </x:c>
      <x:c r="Q41" s="130" t="str">
        <x:v>Brown</x:v>
      </x:c>
      <x:c r="R41" s="130" t="str">
        <x:v>6'-1"</x:v>
      </x:c>
      <x:c r="S41" s="130" t="n">
        <x:v>238</x:v>
      </x:c>
      <x:c r="T41" s="130" t="str">
        <x:v>M</x:v>
      </x:c>
      <x:c r="U41" s="130" t="n">
        <x:v>25569</x:v>
      </x:c>
      <x:c r="V41" s="130" t="str">
        <x:v>DRV-006.png</x:v>
      </x:c>
      <x:c r="W41" s="130" t="str">
        <x:v>Asian</x:v>
      </x:c>
      <x:c r="X41" s="130" t="str">
        <x:v>mchen@example.com</x:v>
      </x:c>
      <x:c r="Y41" s="130" t="str">
        <x:v>810 Demo Street</x:v>
      </x:c>
      <x:c r="Z41" s="130" t="str">
        <x:v>Dallas</x:v>
      </x:c>
      <x:c r="AA41" s="130" t="str">
        <x:v>TX</x:v>
      </x:c>
      <x:c r="AB41" s="130" t="n">
        <x:v>75202</x:v>
      </x:c>
      <x:c r="AC41" s="130" t="str">
        <x:v>TX</x:v>
      </x:c>
      <x:c r="AD41" s="130" t="str">
        <x:v>Class A</x:v>
      </x:c>
      <x:c r="AE41" s="180" t="n">
        <x:v>44004</x:v>
      </x:c>
      <x:c r="AF41" s="130" t="str">
        <x:v>H,N,T</x:v>
      </x:c>
      <x:c r="AG41" s="130"/>
      <x:c r="AH41" s="180" t="n">
        <x:v>45664</x:v>
      </x:c>
      <x:c r="AI41" s="130" t="str">
        <x:v>MC-0060208</x:v>
      </x:c>
      <x:c r="AJ41" s="130" t="str">
        <x:v>Dr. Monica Steele</x:v>
      </x:c>
      <x:c r="AK41" s="130" t="str">
        <x:v>ME100006</x:v>
      </x:c>
      <x:c r="AL41" s="130"/>
      <x:c r="AM41" s="130" t="str">
        <x:v>Qualified</x:v>
      </x:c>
      <x:c r="AN41" s="180" t="n">
        <x:v>46425</x:v>
      </x:c>
      <x:c r="AO41" s="130" t="n">
        <x:v>2</x:v>
      </x:c>
      <x:c r="AP41" s="130" t="n">
        <x:v>1</x:v>
      </x:c>
      <x:c r="AQ41" s="130"/>
      <x:c r="AR41" s="130" t="str">
        <x:v>Reviewed - Clear to Drive</x:v>
      </x:c>
      <x:c r="AS41" s="180" t="n">
        <x:v>45544</x:v>
      </x:c>
      <x:c r="AT41" s="130" t="str">
        <x:v>Authorized to Work</x:v>
      </x:c>
      <x:c r="AU41" s="130" t="str">
        <x:v>U.S. Passport</x:v>
      </x:c>
      <x:c r="AV41" s="130"/>
      <x:c r="AW41" s="130"/>
      <x:c r="AX41" s="180" t="n">
        <x:v>45544</x:v>
      </x:c>
      <x:c r="AY41" s="130" t="str">
        <x:v>BOF Onboarding Team</x:v>
      </x:c>
      <x:c r="AZ41" s="130" t="str">
        <x:v>Complete</x:v>
      </x:c>
      <x:c r="BA41" s="130"/>
      <x:c r="BB41" s="130" t="str">
        <x:v>Individual/Sole Proprietor</x:v>
      </x:c>
      <x:c r="BC41" s="130" t="str">
        <x:v>SSN</x:v>
      </x:c>
      <x:c r="BD41" s="130" t="str">
        <x:v>***-**-0101</x:v>
      </x:c>
      <x:c r="BE41" s="130"/>
      <x:c r="BF41" s="180" t="n">
        <x:v>45544</x:v>
      </x:c>
      <x:c r="BG41" s="130" t="str">
        <x:v>Received</x:v>
      </x:c>
      <x:c r="BH41" s="130" t="str">
        <x:v>Checking</x:v>
      </x:c>
      <x:c r="BI41" s="130" t="str">
        <x:v>Direct Deposit</x:v>
      </x:c>
      <x:c r="BJ41" s="180" t="n">
        <x:v>45544</x:v>
      </x:c>
      <x:c r="BK41" s="130" t="str">
        <x:v>Verified</x:v>
      </x:c>
      <x:c r="BL41" s="180" t="n">
        <x:v>45537</x:v>
      </x:c>
      <x:c r="BM41" s="130" t="str">
        <x:v>R. Delgado</x:v>
      </x:c>
      <x:c r="BN41" s="130" t="str">
        <x:v>Sleeper tractor</x:v>
      </x:c>
      <x:c r="BO41" s="130" t="str">
        <x:v>53 ft reefer</x:v>
      </x:c>
      <x:c r="BP41" s="130" t="str">
        <x:v>Dallas, TX</x:v>
      </x:c>
      <x:c r="BQ41" s="130" t="n">
        <x:v>4</x:v>
      </x:c>
      <x:c r="BR41" s="130" t="n">
        <x:v>4</x:v>
      </x:c>
      <x:c r="BS41" s="130" t="n">
        <x:v>3</x:v>
      </x:c>
      <x:c r="BT41" s="130" t="n">
        <x:v>4</x:v>
      </x:c>
      <x:c r="BU41" s="130" t="n">
        <x:v>4</x:v>
      </x:c>
      <x:c r="BV41" s="130" t="n">
        <x:v>4</x:v>
      </x:c>
      <x:c r="BW41" s="130" t="n">
        <x:v>4</x:v>
      </x:c>
      <x:c r="BX41" s="130" t="n">
        <x:v>4</x:v>
      </x:c>
      <x:c r="BY41" s="130" t="n">
        <x:v>4</x:v>
      </x:c>
      <x:c r="BZ41" s="130" t="str">
        <x:v>Pass</x:v>
      </x:c>
      <x:c r="CA41" s="130" t="str">
        <x:v>Maintain following distance</x:v>
      </x:c>
      <x:c r="CB41" s="130" t="str">
        <x:v>Passed</x:v>
      </x:c>
      <x:c r="CC41" s="130" t="str">
        <x:v>Enrolled</x:v>
      </x:c>
      <x:c r="CD41" s="130" t="str">
        <x:v>Query Completed</x:v>
      </x:c>
      <x:c r="CE41" s="180" t="n">
        <x:v>46037</x:v>
      </x:c>
      <x:c r="CF41" s="180" t="n">
        <x:v>46218</x:v>
      </x:c>
      <x:c r="CG41" s="130"/>
      <x:c r="CH41" s="130" t="str">
        <x:v>Compliant</x:v>
      </x:c>
      <x:c r="CI41" s="130"/>
      <x:c r="CJ41" s="130" t="str">
        <x:v>Marcus</x:v>
      </x:c>
      <x:c r="CK41" s="130" t="str">
        <x:v>Chen</x:v>
      </x:c>
      <x:c r="CL41" s="130" t="str">
        <x:v>TX0000162</x:v>
      </x:c>
      <x:c r="CM41" s="130" t="str">
        <x:v>TX</x:v>
      </x:c>
      <x:c r="CN41" s="130" t="str">
        <x:v>CDL Holder</x:v>
      </x:c>
      <x:c r="CO41" s="130" t="str">
        <x:v>Marcus Chen</x:v>
      </x:c>
      <x:c r="CP41" s="180" t="n">
        <x:v>45664</x:v>
      </x:c>
      <x:c r="CQ41" s="180" t="n">
        <x:v>46394</x:v>
      </x:c>
      <x:c r="CR41" s="130" t="str">
        <x:v>(512) 555-0100</x:v>
      </x:c>
      <x:c r="CS41" s="130" t="str">
        <x:v>Dr. Monica Steele</x:v>
      </x:c>
      <x:c r="CT41" s="180" t="n">
        <x:v>45664</x:v>
      </x:c>
      <x:c r="CU41" s="130" t="str">
        <x:v>TX-ME-991196</x:v>
      </x:c>
      <x:c r="CV41" s="130" t="str">
        <x:v>ME100006</x:v>
      </x:c>
      <x:c r="CW41" s="130" t="str">
        <x:v>Physician Assistant</x:v>
      </x:c>
      <x:c r="CX41" s="130" t="str">
        <x:v>TX</x:v>
      </x:c>
      <x:c r="CY41" s="130" t="str">
        <x:v>Federal Motor Carrier Safety Regulations</x:v>
      </x:c>
      <x:c r="CZ41" s="130"/>
      <x:c r="DA41" s="130" t="str">
        <x:v>No</x:v>
      </x:c>
      <x:c r="DB41" s="130" t="str">
        <x:v>No</x:v>
      </x:c>
      <x:c r="DC41" s="130" t="str">
        <x:v>No</x:v>
      </x:c>
      <x:c r="DD41" s="130" t="str">
        <x:v>No</x:v>
      </x:c>
      <x:c r="DE41" s="130" t="str">
        <x:v>No</x:v>
      </x:c>
      <x:c r="DF41" s="130" t="str">
        <x:v>No</x:v>
      </x:c>
      <x:c r="DG41" s="130" t="str">
        <x:v>Jane Doe</x:v>
      </x:c>
      <x:c r="DH41" s="130" t="str">
        <x:v>Sister</x:v>
      </x:c>
      <x:c r="DI41" s="130" t="str">
        <x:v>555-555-5555</x:v>
      </x:c>
      <x:c r="DJ41" s="130" t="str">
        <x:v>No</x:v>
      </x:c>
      <x:c r="DK41" s="130" t="str">
        <x:v>No</x:v>
      </x:c>
      <x:c r="DL41" s="130" t="str">
        <x:v>No</x:v>
      </x:c>
      <x:c r="DM41" s="130" t="str">
        <x:v>No</x:v>
      </x:c>
      <x:c r="DN41" s="130" t="str">
        <x:v>Yes - Appendectomy (2005)</x:v>
      </x:c>
      <x:c r="DO41" s="130" t="str">
        <x:v>20/20</x:v>
      </x:c>
      <x:c r="DP41" s="130" t="str">
        <x:v>20/20</x:v>
      </x:c>
      <x:c r="DQ41" s="130" t="str">
        <x:v>Pass</x:v>
      </x:c>
      <x:c r="DR41" s="130" t="str">
        <x:v>118</x:v>
      </x:c>
      <x:c r="DS41" s="130" t="str">
        <x:v>78</x:v>
      </x:c>
      <x:c r="DT41" s="130" t="str">
        <x:v>72</x:v>
      </x:c>
      <x:c r="DU41" s="130" t="str">
        <x:v>Normal</x:v>
      </x:c>
      <x:c r="DV41" s="180" t="n">
        <x:v>45392</x:v>
      </x:c>
      <x:c r="DW41" s="180" t="n">
        <x:v>45394</x:v>
      </x:c>
      <x:c r="DX41" s="130" t="str">
        <x:v>Negative</x:v>
      </x:c>
      <x:c r="DY41" s="180" t="n">
        <x:v>45397</x:v>
      </x:c>
      <x:c r="DZ41" s="130" t="str">
        <x:v>BOF Fleet Safety &amp; Compliance Policy 2024</x:v>
      </x:c>
      <x:c r="EA41" s="130" t="str">
        <x:v>Complete</x:v>
      </x:c>
      <x:c r="EB41" s="180" t="n">
        <x:v>45413</x:v>
      </x:c>
    </x:row>
    <x:row r="42">
      <x:c r="A42" s="130" t="str">
        <x:v>DRV-006</x:v>
      </x:c>
      <x:c r="B42" s="130" t="str">
        <x:v>Marcus Chen</x:v>
      </x:c>
      <x:c r="C42" s="130" t="str">
        <x:v>810 Demo Street, Dallas, TX 75202</x:v>
      </x:c>
      <x:c r="D42" s="130" t="str">
        <x:v>283-555-0100</x:v>
      </x:c>
      <x:c r="E42" s="130" t="str">
        <x:v>***-**-0101</x:v>
      </x:c>
      <x:c r="F42" s="130" t="str">
        <x:v>Chase</x:v>
      </x:c>
      <x:c r="G42" s="130" t="n">
        <x:v>000000112</x:v>
      </x:c>
      <x:c r="H42" s="130" t="n">
        <x:v>999900207</x:v>
      </x:c>
      <x:c r="I42" s="130" t="str">
        <x:v>Incident/Accident Report</x:v>
      </x:c>
      <x:c r="J42" s="130" t="str">
        <x:v>VALID</x:v>
      </x:c>
      <x:c r="K42" s="130" t="str">
        <x:v>TX0000167</x:v>
      </x:c>
      <x:c r="L42" s="180" t="n">
        <x:v>45826</x:v>
      </x:c>
      <x:c r="M42" s="180" t="n">
        <x:v>46394</x:v>
      </x:c>
      <x:c r="N42" s="180" t="n">
        <x:v>46455</x:v>
      </x:c>
      <x:c r="O42" s="130" t="str">
        <x:v>No major incidents recorded in last 90 days.</x:v>
      </x:c>
      <x:c r="P42" s="130" t="str">
        <x:v>Bald</x:v>
      </x:c>
      <x:c r="Q42" s="130" t="str">
        <x:v>Brown</x:v>
      </x:c>
      <x:c r="R42" s="130" t="str">
        <x:v>6'-1"</x:v>
      </x:c>
      <x:c r="S42" s="130" t="n">
        <x:v>238</x:v>
      </x:c>
      <x:c r="T42" s="130" t="str">
        <x:v>M</x:v>
      </x:c>
      <x:c r="U42" s="130" t="n">
        <x:v>25569</x:v>
      </x:c>
      <x:c r="V42" s="130" t="str">
        <x:v>DRV-006.png</x:v>
      </x:c>
      <x:c r="W42" s="130" t="str">
        <x:v>Asian</x:v>
      </x:c>
      <x:c r="X42" s="130" t="str">
        <x:v>mchen@example.com</x:v>
      </x:c>
      <x:c r="Y42" s="130" t="str">
        <x:v>810 Demo Street</x:v>
      </x:c>
      <x:c r="Z42" s="130" t="str">
        <x:v>Dallas</x:v>
      </x:c>
      <x:c r="AA42" s="130" t="str">
        <x:v>TX</x:v>
      </x:c>
      <x:c r="AB42" s="130" t="n">
        <x:v>75202</x:v>
      </x:c>
      <x:c r="AC42" s="130" t="str">
        <x:v>TX</x:v>
      </x:c>
      <x:c r="AD42" s="130" t="str">
        <x:v>Class A</x:v>
      </x:c>
      <x:c r="AE42" s="180" t="n">
        <x:v>44004</x:v>
      </x:c>
      <x:c r="AF42" s="130" t="str">
        <x:v>H,N,T</x:v>
      </x:c>
      <x:c r="AG42" s="130"/>
      <x:c r="AH42" s="180" t="n">
        <x:v>45664</x:v>
      </x:c>
      <x:c r="AI42" s="130" t="str">
        <x:v>MC-0060208</x:v>
      </x:c>
      <x:c r="AJ42" s="130" t="str">
        <x:v>Dr. Monica Steele</x:v>
      </x:c>
      <x:c r="AK42" s="130" t="str">
        <x:v>ME100006</x:v>
      </x:c>
      <x:c r="AL42" s="130"/>
      <x:c r="AM42" s="130" t="str">
        <x:v>Qualified</x:v>
      </x:c>
      <x:c r="AN42" s="180" t="n">
        <x:v>46425</x:v>
      </x:c>
      <x:c r="AO42" s="130" t="n">
        <x:v>2</x:v>
      </x:c>
      <x:c r="AP42" s="130" t="n">
        <x:v>1</x:v>
      </x:c>
      <x:c r="AQ42" s="130"/>
      <x:c r="AR42" s="130" t="str">
        <x:v>Reviewed - Clear to Drive</x:v>
      </x:c>
      <x:c r="AS42" s="180" t="n">
        <x:v>45544</x:v>
      </x:c>
      <x:c r="AT42" s="130" t="str">
        <x:v>Authorized to Work</x:v>
      </x:c>
      <x:c r="AU42" s="130" t="str">
        <x:v>U.S. Passport</x:v>
      </x:c>
      <x:c r="AV42" s="130"/>
      <x:c r="AW42" s="130"/>
      <x:c r="AX42" s="180" t="n">
        <x:v>45544</x:v>
      </x:c>
      <x:c r="AY42" s="130" t="str">
        <x:v>BOF Onboarding Team</x:v>
      </x:c>
      <x:c r="AZ42" s="130" t="str">
        <x:v>Complete</x:v>
      </x:c>
      <x:c r="BA42" s="130"/>
      <x:c r="BB42" s="130" t="str">
        <x:v>Individual/Sole Proprietor</x:v>
      </x:c>
      <x:c r="BC42" s="130" t="str">
        <x:v>SSN</x:v>
      </x:c>
      <x:c r="BD42" s="130" t="str">
        <x:v>***-**-0101</x:v>
      </x:c>
      <x:c r="BE42" s="130"/>
      <x:c r="BF42" s="180" t="n">
        <x:v>45544</x:v>
      </x:c>
      <x:c r="BG42" s="130" t="str">
        <x:v>Received</x:v>
      </x:c>
      <x:c r="BH42" s="130" t="str">
        <x:v>Checking</x:v>
      </x:c>
      <x:c r="BI42" s="130" t="str">
        <x:v>Direct Deposit</x:v>
      </x:c>
      <x:c r="BJ42" s="180" t="n">
        <x:v>45544</x:v>
      </x:c>
      <x:c r="BK42" s="130" t="str">
        <x:v>Verified</x:v>
      </x:c>
      <x:c r="BL42" s="180" t="n">
        <x:v>45537</x:v>
      </x:c>
      <x:c r="BM42" s="130" t="str">
        <x:v>R. Delgado</x:v>
      </x:c>
      <x:c r="BN42" s="130" t="str">
        <x:v>Sleeper tractor</x:v>
      </x:c>
      <x:c r="BO42" s="130" t="str">
        <x:v>53 ft reefer</x:v>
      </x:c>
      <x:c r="BP42" s="130" t="str">
        <x:v>Dallas, TX</x:v>
      </x:c>
      <x:c r="BQ42" s="130" t="n">
        <x:v>4</x:v>
      </x:c>
      <x:c r="BR42" s="130" t="n">
        <x:v>4</x:v>
      </x:c>
      <x:c r="BS42" s="130" t="n">
        <x:v>3</x:v>
      </x:c>
      <x:c r="BT42" s="130" t="n">
        <x:v>4</x:v>
      </x:c>
      <x:c r="BU42" s="130" t="n">
        <x:v>4</x:v>
      </x:c>
      <x:c r="BV42" s="130" t="n">
        <x:v>4</x:v>
      </x:c>
      <x:c r="BW42" s="130" t="n">
        <x:v>4</x:v>
      </x:c>
      <x:c r="BX42" s="130" t="n">
        <x:v>4</x:v>
      </x:c>
      <x:c r="BY42" s="130" t="n">
        <x:v>4</x:v>
      </x:c>
      <x:c r="BZ42" s="130" t="str">
        <x:v>Pass</x:v>
      </x:c>
      <x:c r="CA42" s="130" t="str">
        <x:v>Maintain following distance</x:v>
      </x:c>
      <x:c r="CB42" s="130" t="str">
        <x:v>Passed</x:v>
      </x:c>
      <x:c r="CC42" s="130" t="str">
        <x:v>Enrolled</x:v>
      </x:c>
      <x:c r="CD42" s="130" t="str">
        <x:v>Query Completed</x:v>
      </x:c>
      <x:c r="CE42" s="180" t="n">
        <x:v>46037</x:v>
      </x:c>
      <x:c r="CF42" s="180" t="n">
        <x:v>46218</x:v>
      </x:c>
      <x:c r="CG42" s="130"/>
      <x:c r="CH42" s="130" t="str">
        <x:v>Compliant</x:v>
      </x:c>
      <x:c r="CI42" s="130"/>
      <x:c r="CJ42" s="130" t="str">
        <x:v>Marcus</x:v>
      </x:c>
      <x:c r="CK42" s="130" t="str">
        <x:v>Chen</x:v>
      </x:c>
      <x:c r="CL42" s="130" t="str">
        <x:v>TX0000163</x:v>
      </x:c>
      <x:c r="CM42" s="130" t="str">
        <x:v>TX</x:v>
      </x:c>
      <x:c r="CN42" s="130" t="str">
        <x:v>CDL Holder</x:v>
      </x:c>
      <x:c r="CO42" s="130" t="str">
        <x:v>Marcus Chen</x:v>
      </x:c>
      <x:c r="CP42" s="180" t="n">
        <x:v>45664</x:v>
      </x:c>
      <x:c r="CQ42" s="180" t="n">
        <x:v>46394</x:v>
      </x:c>
      <x:c r="CR42" s="130" t="str">
        <x:v>(512) 555-0100</x:v>
      </x:c>
      <x:c r="CS42" s="130" t="str">
        <x:v>Dr. Monica Steele</x:v>
      </x:c>
      <x:c r="CT42" s="180" t="n">
        <x:v>45664</x:v>
      </x:c>
      <x:c r="CU42" s="130" t="str">
        <x:v>TX-ME-991196</x:v>
      </x:c>
      <x:c r="CV42" s="130" t="str">
        <x:v>ME100006</x:v>
      </x:c>
      <x:c r="CW42" s="130" t="str">
        <x:v>Physician Assistant</x:v>
      </x:c>
      <x:c r="CX42" s="130" t="str">
        <x:v>TX</x:v>
      </x:c>
      <x:c r="CY42" s="130" t="str">
        <x:v>Federal Motor Carrier Safety Regulations</x:v>
      </x:c>
      <x:c r="CZ42" s="130"/>
      <x:c r="DA42" s="130" t="str">
        <x:v>No</x:v>
      </x:c>
      <x:c r="DB42" s="130" t="str">
        <x:v>No</x:v>
      </x:c>
      <x:c r="DC42" s="130" t="str">
        <x:v>No</x:v>
      </x:c>
      <x:c r="DD42" s="130" t="str">
        <x:v>No</x:v>
      </x:c>
      <x:c r="DE42" s="130" t="str">
        <x:v>No</x:v>
      </x:c>
      <x:c r="DF42" s="130" t="str">
        <x:v>No</x:v>
      </x:c>
      <x:c r="DG42" s="130" t="str">
        <x:v>Jane Doe</x:v>
      </x:c>
      <x:c r="DH42" s="130" t="str">
        <x:v>Sister</x:v>
      </x:c>
      <x:c r="DI42" s="130" t="str">
        <x:v>555-555-5555</x:v>
      </x:c>
      <x:c r="DJ42" s="130" t="str">
        <x:v>No</x:v>
      </x:c>
      <x:c r="DK42" s="130" t="str">
        <x:v>No</x:v>
      </x:c>
      <x:c r="DL42" s="130" t="str">
        <x:v>No</x:v>
      </x:c>
      <x:c r="DM42" s="130" t="str">
        <x:v>No</x:v>
      </x:c>
      <x:c r="DN42" s="130" t="str">
        <x:v>Yes - Appendectomy (2005)</x:v>
      </x:c>
      <x:c r="DO42" s="130" t="str">
        <x:v>20/20</x:v>
      </x:c>
      <x:c r="DP42" s="130" t="str">
        <x:v>20/20</x:v>
      </x:c>
      <x:c r="DQ42" s="130" t="str">
        <x:v>Pass</x:v>
      </x:c>
      <x:c r="DR42" s="130" t="str">
        <x:v>118</x:v>
      </x:c>
      <x:c r="DS42" s="130" t="str">
        <x:v>78</x:v>
      </x:c>
      <x:c r="DT42" s="130" t="str">
        <x:v>72</x:v>
      </x:c>
      <x:c r="DU42" s="130" t="str">
        <x:v>Normal</x:v>
      </x:c>
      <x:c r="DV42" s="180" t="n">
        <x:v>45392</x:v>
      </x:c>
      <x:c r="DW42" s="180" t="n">
        <x:v>45394</x:v>
      </x:c>
      <x:c r="DX42" s="130" t="str">
        <x:v>Negative</x:v>
      </x:c>
      <x:c r="DY42" s="180" t="n">
        <x:v>45397</x:v>
      </x:c>
      <x:c r="DZ42" s="130" t="str">
        <x:v>BOF Fleet Safety &amp; Compliance Policy 2024</x:v>
      </x:c>
      <x:c r="EA42" s="130" t="str">
        <x:v>Complete</x:v>
      </x:c>
      <x:c r="EB42" s="180" t="n">
        <x:v>45413</x:v>
      </x:c>
    </x:row>
    <x:row r="43">
      <x:c r="A43" s="130" t="str">
        <x:v>DRV-006</x:v>
      </x:c>
      <x:c r="B43" s="130" t="str">
        <x:v>Marcus Chen</x:v>
      </x:c>
      <x:c r="C43" s="130" t="str">
        <x:v>810 Demo Street, Dallas, TX 75202</x:v>
      </x:c>
      <x:c r="D43" s="130" t="str">
        <x:v>283-555-0100</x:v>
      </x:c>
      <x:c r="E43" s="130" t="str">
        <x:v>***-**-0101</x:v>
      </x:c>
      <x:c r="F43" s="130" t="str">
        <x:v>Chase</x:v>
      </x:c>
      <x:c r="G43" s="130" t="n">
        <x:v>000000112</x:v>
      </x:c>
      <x:c r="H43" s="130" t="n">
        <x:v>999900207</x:v>
      </x:c>
      <x:c r="I43" s="130" t="str">
        <x:v>Direct Deposit Form</x:v>
      </x:c>
      <x:c r="J43" s="130" t="str">
        <x:v>VALID</x:v>
      </x:c>
      <x:c r="K43" s="130" t="str">
        <x:v>TX0000157</x:v>
      </x:c>
      <x:c r="L43" s="180" t="n">
        <x:v>45826</x:v>
      </x:c>
      <x:c r="M43" s="180" t="n">
        <x:v>46394</x:v>
      </x:c>
      <x:c r="N43" s="180" t="n">
        <x:v>46455</x:v>
      </x:c>
      <x:c r="O43" s="130"/>
      <x:c r="P43" s="130" t="str">
        <x:v>Bald</x:v>
      </x:c>
      <x:c r="Q43" s="130" t="str">
        <x:v>Brown</x:v>
      </x:c>
      <x:c r="R43" s="130" t="str">
        <x:v>6'-1"</x:v>
      </x:c>
      <x:c r="S43" s="130" t="n">
        <x:v>238</x:v>
      </x:c>
      <x:c r="T43" s="130" t="str">
        <x:v>M</x:v>
      </x:c>
      <x:c r="U43" s="130" t="n">
        <x:v>25569</x:v>
      </x:c>
      <x:c r="V43" s="130" t="str">
        <x:v>DRV-006.png</x:v>
      </x:c>
      <x:c r="W43" s="130" t="str">
        <x:v>Asian</x:v>
      </x:c>
      <x:c r="X43" s="130" t="str">
        <x:v>mchen@example.com</x:v>
      </x:c>
      <x:c r="Y43" s="130" t="str">
        <x:v>810 Demo Street</x:v>
      </x:c>
      <x:c r="Z43" s="130" t="str">
        <x:v>Dallas</x:v>
      </x:c>
      <x:c r="AA43" s="130" t="str">
        <x:v>TX</x:v>
      </x:c>
      <x:c r="AB43" s="130" t="n">
        <x:v>75202</x:v>
      </x:c>
      <x:c r="AC43" s="130" t="str">
        <x:v>TX</x:v>
      </x:c>
      <x:c r="AD43" s="130" t="str">
        <x:v>Class A</x:v>
      </x:c>
      <x:c r="AE43" s="180" t="n">
        <x:v>44004</x:v>
      </x:c>
      <x:c r="AF43" s="130" t="str">
        <x:v>H,N,T</x:v>
      </x:c>
      <x:c r="AG43" s="130"/>
      <x:c r="AH43" s="180" t="n">
        <x:v>45664</x:v>
      </x:c>
      <x:c r="AI43" s="130" t="str">
        <x:v>MC-0060208</x:v>
      </x:c>
      <x:c r="AJ43" s="130" t="str">
        <x:v>Dr. Monica Steele</x:v>
      </x:c>
      <x:c r="AK43" s="130" t="str">
        <x:v>ME100006</x:v>
      </x:c>
      <x:c r="AL43" s="130"/>
      <x:c r="AM43" s="130" t="str">
        <x:v>Qualified</x:v>
      </x:c>
      <x:c r="AN43" s="180" t="n">
        <x:v>46425</x:v>
      </x:c>
      <x:c r="AO43" s="130" t="n">
        <x:v>2</x:v>
      </x:c>
      <x:c r="AP43" s="130" t="n">
        <x:v>1</x:v>
      </x:c>
      <x:c r="AQ43" s="130"/>
      <x:c r="AR43" s="130" t="str">
        <x:v>Reviewed - Clear to Drive</x:v>
      </x:c>
      <x:c r="AS43" s="180" t="n">
        <x:v>45544</x:v>
      </x:c>
      <x:c r="AT43" s="130" t="str">
        <x:v>Authorized to Work</x:v>
      </x:c>
      <x:c r="AU43" s="130" t="str">
        <x:v>U.S. Passport</x:v>
      </x:c>
      <x:c r="AV43" s="130"/>
      <x:c r="AW43" s="130"/>
      <x:c r="AX43" s="180" t="n">
        <x:v>45544</x:v>
      </x:c>
      <x:c r="AY43" s="130" t="str">
        <x:v>BOF Onboarding Team</x:v>
      </x:c>
      <x:c r="AZ43" s="130" t="str">
        <x:v>Complete</x:v>
      </x:c>
      <x:c r="BA43" s="130"/>
      <x:c r="BB43" s="130" t="str">
        <x:v>Individual/Sole Proprietor</x:v>
      </x:c>
      <x:c r="BC43" s="130" t="str">
        <x:v>SSN</x:v>
      </x:c>
      <x:c r="BD43" s="130" t="str">
        <x:v>***-**-0101</x:v>
      </x:c>
      <x:c r="BE43" s="130"/>
      <x:c r="BF43" s="180" t="n">
        <x:v>45544</x:v>
      </x:c>
      <x:c r="BG43" s="130" t="str">
        <x:v>Received</x:v>
      </x:c>
      <x:c r="BH43" s="130" t="str">
        <x:v>Checking</x:v>
      </x:c>
      <x:c r="BI43" s="130" t="str">
        <x:v>Direct Deposit</x:v>
      </x:c>
      <x:c r="BJ43" s="180" t="n">
        <x:v>45544</x:v>
      </x:c>
      <x:c r="BK43" s="130" t="str">
        <x:v>Verified</x:v>
      </x:c>
      <x:c r="BL43" s="180" t="n">
        <x:v>45537</x:v>
      </x:c>
      <x:c r="BM43" s="130" t="str">
        <x:v>R. Delgado</x:v>
      </x:c>
      <x:c r="BN43" s="130" t="str">
        <x:v>Sleeper tractor</x:v>
      </x:c>
      <x:c r="BO43" s="130" t="str">
        <x:v>53 ft reefer</x:v>
      </x:c>
      <x:c r="BP43" s="130" t="str">
        <x:v>Dallas, TX</x:v>
      </x:c>
      <x:c r="BQ43" s="130" t="n">
        <x:v>4</x:v>
      </x:c>
      <x:c r="BR43" s="130" t="n">
        <x:v>4</x:v>
      </x:c>
      <x:c r="BS43" s="130" t="n">
        <x:v>3</x:v>
      </x:c>
      <x:c r="BT43" s="130" t="n">
        <x:v>4</x:v>
      </x:c>
      <x:c r="BU43" s="130" t="n">
        <x:v>4</x:v>
      </x:c>
      <x:c r="BV43" s="130" t="n">
        <x:v>4</x:v>
      </x:c>
      <x:c r="BW43" s="130" t="n">
        <x:v>4</x:v>
      </x:c>
      <x:c r="BX43" s="130" t="n">
        <x:v>4</x:v>
      </x:c>
      <x:c r="BY43" s="130" t="n">
        <x:v>4</x:v>
      </x:c>
      <x:c r="BZ43" s="130" t="str">
        <x:v>Pass</x:v>
      </x:c>
      <x:c r="CA43" s="130" t="str">
        <x:v>Maintain following distance</x:v>
      </x:c>
      <x:c r="CB43" s="130" t="str">
        <x:v>Passed</x:v>
      </x:c>
      <x:c r="CC43" s="130" t="str">
        <x:v>Enrolled</x:v>
      </x:c>
      <x:c r="CD43" s="130" t="str">
        <x:v>Query Completed</x:v>
      </x:c>
      <x:c r="CE43" s="180" t="n">
        <x:v>46037</x:v>
      </x:c>
      <x:c r="CF43" s="180" t="n">
        <x:v>46218</x:v>
      </x:c>
      <x:c r="CG43" s="130"/>
      <x:c r="CH43" s="130" t="str">
        <x:v>Compliant</x:v>
      </x:c>
      <x:c r="CI43" s="130"/>
      <x:c r="CJ43" s="130" t="str">
        <x:v>Marcus</x:v>
      </x:c>
      <x:c r="CK43" s="130" t="str">
        <x:v>Chen</x:v>
      </x:c>
      <x:c r="CL43" s="130" t="str">
        <x:v>TX0000164</x:v>
      </x:c>
      <x:c r="CM43" s="130" t="str">
        <x:v>TX</x:v>
      </x:c>
      <x:c r="CN43" s="130" t="str">
        <x:v>CDL Holder</x:v>
      </x:c>
      <x:c r="CO43" s="130" t="str">
        <x:v>Marcus Chen</x:v>
      </x:c>
      <x:c r="CP43" s="180" t="n">
        <x:v>45664</x:v>
      </x:c>
      <x:c r="CQ43" s="180" t="n">
        <x:v>46394</x:v>
      </x:c>
      <x:c r="CR43" s="130" t="str">
        <x:v>(512) 555-0100</x:v>
      </x:c>
      <x:c r="CS43" s="130" t="str">
        <x:v>Dr. Monica Steele</x:v>
      </x:c>
      <x:c r="CT43" s="180" t="n">
        <x:v>45664</x:v>
      </x:c>
      <x:c r="CU43" s="130" t="str">
        <x:v>TX-ME-991196</x:v>
      </x:c>
      <x:c r="CV43" s="130" t="str">
        <x:v>ME100006</x:v>
      </x:c>
      <x:c r="CW43" s="130" t="str">
        <x:v>Physician Assistant</x:v>
      </x:c>
      <x:c r="CX43" s="130" t="str">
        <x:v>TX</x:v>
      </x:c>
      <x:c r="CY43" s="130" t="str">
        <x:v>Federal Motor Carrier Safety Regulations</x:v>
      </x:c>
      <x:c r="CZ43" s="130"/>
      <x:c r="DA43" s="130" t="str">
        <x:v>No</x:v>
      </x:c>
      <x:c r="DB43" s="130" t="str">
        <x:v>No</x:v>
      </x:c>
      <x:c r="DC43" s="130" t="str">
        <x:v>No</x:v>
      </x:c>
      <x:c r="DD43" s="130" t="str">
        <x:v>No</x:v>
      </x:c>
      <x:c r="DE43" s="130" t="str">
        <x:v>No</x:v>
      </x:c>
      <x:c r="DF43" s="130" t="str">
        <x:v>No</x:v>
      </x:c>
      <x:c r="DG43" s="130" t="str">
        <x:v>Jane Doe</x:v>
      </x:c>
      <x:c r="DH43" s="130" t="str">
        <x:v>Sister</x:v>
      </x:c>
      <x:c r="DI43" s="130" t="str">
        <x:v>555-555-5555</x:v>
      </x:c>
      <x:c r="DJ43" s="130" t="str">
        <x:v>No</x:v>
      </x:c>
      <x:c r="DK43" s="130" t="str">
        <x:v>No</x:v>
      </x:c>
      <x:c r="DL43" s="130" t="str">
        <x:v>No</x:v>
      </x:c>
      <x:c r="DM43" s="130" t="str">
        <x:v>No</x:v>
      </x:c>
      <x:c r="DN43" s="130" t="str">
        <x:v>Yes - Appendectomy (2005)</x:v>
      </x:c>
      <x:c r="DO43" s="130" t="str">
        <x:v>20/20</x:v>
      </x:c>
      <x:c r="DP43" s="130" t="str">
        <x:v>20/20</x:v>
      </x:c>
      <x:c r="DQ43" s="130" t="str">
        <x:v>Pass</x:v>
      </x:c>
      <x:c r="DR43" s="130" t="str">
        <x:v>118</x:v>
      </x:c>
      <x:c r="DS43" s="130" t="str">
        <x:v>78</x:v>
      </x:c>
      <x:c r="DT43" s="130" t="str">
        <x:v>72</x:v>
      </x:c>
      <x:c r="DU43" s="130" t="str">
        <x:v>Normal</x:v>
      </x:c>
      <x:c r="DV43" s="180" t="n">
        <x:v>45392</x:v>
      </x:c>
      <x:c r="DW43" s="180" t="n">
        <x:v>45394</x:v>
      </x:c>
      <x:c r="DX43" s="130" t="str">
        <x:v>Negative</x:v>
      </x:c>
      <x:c r="DY43" s="180" t="n">
        <x:v>45397</x:v>
      </x:c>
      <x:c r="DZ43" s="130" t="str">
        <x:v>BOF Fleet Safety &amp; Compliance Policy 2024</x:v>
      </x:c>
      <x:c r="EA43" s="130" t="str">
        <x:v>Complete</x:v>
      </x:c>
      <x:c r="EB43" s="180" t="n">
        <x:v>45413</x:v>
      </x:c>
    </x:row>
    <x:row r="44">
      <x:c r="A44" s="130" t="str">
        <x:v>DRV-007</x:v>
      </x:c>
      <x:c r="B44" s="130" t="str">
        <x:v>Sofia Gomez</x:v>
      </x:c>
      <x:c r="C44" s="130" t="str">
        <x:v>1020 Demo Street, Cleveland, OH 44115</x:v>
      </x:c>
      <x:c r="D44" s="130" t="str">
        <x:v>896-555-0100</x:v>
      </x:c>
      <x:c r="E44" s="130" t="str">
        <x:v>***-**-0109</x:v>
      </x:c>
      <x:c r="F44" s="130" t="str">
        <x:v>Bank of America</x:v>
      </x:c>
      <x:c r="G44" s="130" t="n">
        <x:v>000000110</x:v>
      </x:c>
      <x:c r="H44" s="130" t="n">
        <x:v>999900212</x:v>
      </x:c>
      <x:c r="I44" s="130" t="str">
        <x:v>CDL Summary</x:v>
      </x:c>
      <x:c r="J44" s="130" t="str">
        <x:v>VALID</x:v>
      </x:c>
      <x:c r="K44" s="130" t="str">
        <x:v>OH0000112</x:v>
      </x:c>
      <x:c r="L44" s="180" t="n">
        <x:v>46530</x:v>
      </x:c>
      <x:c r="M44" s="180" t="n">
        <x:v>45739</x:v>
      </x:c>
      <x:c r="N44" s="180" t="n">
        <x:v>46456</x:v>
      </x:c>
      <x:c r="O44" s="130"/>
      <x:c r="P44" s="130" t="str">
        <x:v>Blonde</x:v>
      </x:c>
      <x:c r="Q44" s="130" t="str">
        <x:v>Blue</x:v>
      </x:c>
      <x:c r="R44" s="130" t="str">
        <x:v>5'-4"</x:v>
      </x:c>
      <x:c r="S44" s="130" t="n">
        <x:v>122</x:v>
      </x:c>
      <x:c r="T44" s="130" t="str">
        <x:v>F</x:v>
      </x:c>
      <x:c r="U44" s="130" t="n">
        <x:v>36161</x:v>
      </x:c>
      <x:c r="V44" s="130" t="str">
        <x:v>DRV-007.png</x:v>
      </x:c>
      <x:c r="W44" s="130" t="str">
        <x:v>Hispanic</x:v>
      </x:c>
      <x:c r="X44" s="130" t="str">
        <x:v>sofiagomez@example.com</x:v>
      </x:c>
      <x:c r="Y44" s="130" t="str">
        <x:v>1020 Demo Street</x:v>
      </x:c>
      <x:c r="Z44" s="130" t="str">
        <x:v>Cleveland</x:v>
      </x:c>
      <x:c r="AA44" s="130" t="str">
        <x:v>OH</x:v>
      </x:c>
      <x:c r="AB44" s="130" t="n">
        <x:v>44115</x:v>
      </x:c>
      <x:c r="AC44" s="130" t="str">
        <x:v>OH</x:v>
      </x:c>
      <x:c r="AD44" s="130" t="str">
        <x:v>Class A</x:v>
      </x:c>
      <x:c r="AE44" s="180" t="n">
        <x:v>44708</x:v>
      </x:c>
      <x:c r="AF44" s="130" t="str">
        <x:v>N</x:v>
      </x:c>
      <x:c r="AG44" s="130"/>
      <x:c r="AH44" s="180" t="n">
        <x:v>45009</x:v>
      </x:c>
      <x:c r="AI44" s="130" t="str">
        <x:v>MC-0071214</x:v>
      </x:c>
      <x:c r="AJ44" s="130" t="str">
        <x:v>Dr. James Carter</x:v>
      </x:c>
      <x:c r="AK44" s="130" t="str">
        <x:v>ME100007</x:v>
      </x:c>
      <x:c r="AL44" s="130"/>
      <x:c r="AM44" s="130" t="str">
        <x:v>Qualified</x:v>
      </x:c>
      <x:c r="AN44" s="180" t="n">
        <x:v>46426</x:v>
      </x:c>
      <x:c r="AO44" s="130" t="n">
        <x:v>0</x:v>
      </x:c>
      <x:c r="AP44" s="130" t="n">
        <x:v>0</x:v>
      </x:c>
      <x:c r="AQ44" s="130"/>
      <x:c r="AR44" s="130" t="str">
        <x:v>Clear</x:v>
      </x:c>
      <x:c r="AS44" s="180" t="n">
        <x:v>45566</x:v>
      </x:c>
      <x:c r="AT44" s="130" t="str">
        <x:v>Authorized to Work</x:v>
      </x:c>
      <x:c r="AU44" s="130" t="str">
        <x:v>U.S. Passport</x:v>
      </x:c>
      <x:c r="AV44" s="130"/>
      <x:c r="AW44" s="130"/>
      <x:c r="AX44" s="180" t="n">
        <x:v>45566</x:v>
      </x:c>
      <x:c r="AY44" s="130" t="str">
        <x:v>BOF Onboarding Team</x:v>
      </x:c>
      <x:c r="AZ44" s="130" t="str">
        <x:v>Complete</x:v>
      </x:c>
      <x:c r="BA44" s="130"/>
      <x:c r="BB44" s="130" t="str">
        <x:v>Individual/Sole Proprietor</x:v>
      </x:c>
      <x:c r="BC44" s="130" t="str">
        <x:v>SSN</x:v>
      </x:c>
      <x:c r="BD44" s="130" t="str">
        <x:v>***-**-0109</x:v>
      </x:c>
      <x:c r="BE44" s="130"/>
      <x:c r="BF44" s="180" t="n">
        <x:v>45566</x:v>
      </x:c>
      <x:c r="BG44" s="130" t="str">
        <x:v>Received</x:v>
      </x:c>
      <x:c r="BH44" s="130" t="str">
        <x:v>Checking</x:v>
      </x:c>
      <x:c r="BI44" s="130" t="str">
        <x:v>Direct Deposit</x:v>
      </x:c>
      <x:c r="BJ44" s="180" t="n">
        <x:v>45566</x:v>
      </x:c>
      <x:c r="BK44" s="130" t="str">
        <x:v>Verified</x:v>
      </x:c>
      <x:c r="BL44" s="180" t="n">
        <x:v>45559</x:v>
      </x:c>
      <x:c r="BM44" s="130" t="str">
        <x:v>N. Brooks</x:v>
      </x:c>
      <x:c r="BN44" s="130" t="str">
        <x:v>Box truck</x:v>
      </x:c>
      <x:c r="BO44" s="130" t="str">
        <x:v>26 ft box</x:v>
      </x:c>
      <x:c r="BP44" s="130" t="str">
        <x:v>Cleveland, OH</x:v>
      </x:c>
      <x:c r="BQ44" s="130" t="n">
        <x:v>5</x:v>
      </x:c>
      <x:c r="BR44" s="130" t="n">
        <x:v>5</x:v>
      </x:c>
      <x:c r="BS44" s="130" t="n">
        <x:v>4</x:v>
      </x:c>
      <x:c r="BT44" s="130" t="n">
        <x:v>5</x:v>
      </x:c>
      <x:c r="BU44" s="130" t="n">
        <x:v>5</x:v>
      </x:c>
      <x:c r="BV44" s="130" t="n">
        <x:v>5</x:v>
      </x:c>
      <x:c r="BW44" s="130"/>
      <x:c r="BX44" s="130" t="n">
        <x:v>5</x:v>
      </x:c>
      <x:c r="BY44" s="130" t="n">
        <x:v>5</x:v>
      </x:c>
      <x:c r="BZ44" s="130" t="str">
        <x:v>Pass</x:v>
      </x:c>
      <x:c r="CA44" s="130"/>
      <x:c r="CB44" s="130" t="str">
        <x:v>Passed</x:v>
      </x:c>
      <x:c r="CC44" s="130" t="str">
        <x:v>Enrolled</x:v>
      </x:c>
      <x:c r="CD44" s="130" t="str">
        <x:v>Query Completed</x:v>
      </x:c>
      <x:c r="CE44" s="180" t="n">
        <x:v>46037</x:v>
      </x:c>
      <x:c r="CF44" s="180" t="n">
        <x:v>46218</x:v>
      </x:c>
      <x:c r="CG44" s="130"/>
      <x:c r="CH44" s="130" t="str">
        <x:v>Compliant</x:v>
      </x:c>
      <x:c r="CI44" s="130"/>
      <x:c r="CJ44" s="130" t="str">
        <x:v>Sofia</x:v>
      </x:c>
      <x:c r="CK44" s="130" t="str">
        <x:v>Gomez</x:v>
      </x:c>
      <x:c r="CL44" s="130" t="str">
        <x:v>OH0000112</x:v>
      </x:c>
      <x:c r="CM44" s="130" t="str">
        <x:v>OH</x:v>
      </x:c>
      <x:c r="CN44" s="130" t="str">
        <x:v>CDL Holder</x:v>
      </x:c>
      <x:c r="CO44" s="130" t="str">
        <x:v>Sofia Gomez</x:v>
      </x:c>
      <x:c r="CP44" s="180" t="n">
        <x:v>45009</x:v>
      </x:c>
      <x:c r="CQ44" s="180" t="n">
        <x:v>45739</x:v>
      </x:c>
      <x:c r="CR44" s="130" t="str">
        <x:v>(614) 555-0105</x:v>
      </x:c>
      <x:c r="CS44" s="130" t="str">
        <x:v>Dr. James Carter</x:v>
      </x:c>
      <x:c r="CT44" s="180" t="n">
        <x:v>45009</x:v>
      </x:c>
      <x:c r="CU44" s="130" t="str">
        <x:v>OH-ME-801071</x:v>
      </x:c>
      <x:c r="CV44" s="130" t="str">
        <x:v>ME100007</x:v>
      </x:c>
      <x:c r="CW44" s="130" t="str">
        <x:v>DO</x:v>
      </x:c>
      <x:c r="CX44" s="130" t="str">
        <x:v>OH</x:v>
      </x:c>
      <x:c r="CY44" s="130" t="str">
        <x:v>Federal Motor Carrier Safety Regulations</x:v>
      </x:c>
      <x:c r="CZ44" s="130"/>
      <x:c r="DA44" s="130" t="str">
        <x:v>No</x:v>
      </x:c>
      <x:c r="DB44" s="130" t="str">
        <x:v>No</x:v>
      </x:c>
      <x:c r="DC44" s="130" t="str">
        <x:v>No</x:v>
      </x:c>
      <x:c r="DD44" s="130" t="str">
        <x:v>No</x:v>
      </x:c>
      <x:c r="DE44" s="130" t="str">
        <x:v>No</x:v>
      </x:c>
      <x:c r="DF44" s="130" t="str">
        <x:v>No</x:v>
      </x:c>
      <x:c r="DG44" s="130" t="str">
        <x:v>Jane Doe</x:v>
      </x:c>
      <x:c r="DH44" s="130" t="str">
        <x:v>Sister</x:v>
      </x:c>
      <x:c r="DI44" s="130" t="str">
        <x:v>555-555-5555</x:v>
      </x:c>
      <x:c r="DJ44" s="130" t="str">
        <x:v>No</x:v>
      </x:c>
      <x:c r="DK44" s="130" t="str">
        <x:v>No</x:v>
      </x:c>
      <x:c r="DL44" s="130" t="str">
        <x:v>No</x:v>
      </x:c>
      <x:c r="DM44" s="130" t="str">
        <x:v>No</x:v>
      </x:c>
      <x:c r="DN44" s="130" t="str">
        <x:v>Yes - Appendectomy (2005)</x:v>
      </x:c>
      <x:c r="DO44" s="130" t="str">
        <x:v>20/20</x:v>
      </x:c>
      <x:c r="DP44" s="130" t="str">
        <x:v>20/20</x:v>
      </x:c>
      <x:c r="DQ44" s="130" t="str">
        <x:v>Pass</x:v>
      </x:c>
      <x:c r="DR44" s="130" t="str">
        <x:v>118</x:v>
      </x:c>
      <x:c r="DS44" s="130" t="str">
        <x:v>78</x:v>
      </x:c>
      <x:c r="DT44" s="130" t="str">
        <x:v>72</x:v>
      </x:c>
      <x:c r="DU44" s="130" t="str">
        <x:v>Normal</x:v>
      </x:c>
      <x:c r="DV44" s="180" t="n">
        <x:v>45392</x:v>
      </x:c>
      <x:c r="DW44" s="180" t="n">
        <x:v>45394</x:v>
      </x:c>
      <x:c r="DX44" s="130" t="str">
        <x:v>Negative</x:v>
      </x:c>
      <x:c r="DY44" s="180" t="n">
        <x:v>45397</x:v>
      </x:c>
      <x:c r="DZ44" s="130" t="str">
        <x:v>BOF Fleet Safety &amp; Compliance Policy 2024</x:v>
      </x:c>
      <x:c r="EA44" s="130" t="str">
        <x:v>Complete</x:v>
      </x:c>
      <x:c r="EB44" s="180" t="n">
        <x:v>45413</x:v>
      </x:c>
    </x:row>
    <x:row r="45">
      <x:c r="A45" s="130" t="str">
        <x:v>DRV-007</x:v>
      </x:c>
      <x:c r="B45" s="130" t="str">
        <x:v>Sofia Gomez</x:v>
      </x:c>
      <x:c r="C45" s="130" t="str">
        <x:v>1020 Demo Street, Cleveland, OH 44115</x:v>
      </x:c>
      <x:c r="D45" s="130" t="str">
        <x:v>896-555-0100</x:v>
      </x:c>
      <x:c r="E45" s="130" t="str">
        <x:v>***-**-0109</x:v>
      </x:c>
      <x:c r="F45" s="130" t="str">
        <x:v>Bank of America</x:v>
      </x:c>
      <x:c r="G45" s="130" t="n">
        <x:v>000000110</x:v>
      </x:c>
      <x:c r="H45" s="130" t="n">
        <x:v>999900212</x:v>
      </x:c>
      <x:c r="I45" s="130" t="str">
        <x:v>Medical Certification</x:v>
      </x:c>
      <x:c r="J45" s="130" t="str">
        <x:v>VALID</x:v>
      </x:c>
      <x:c r="K45" s="130" t="str">
        <x:v>OH0000103</x:v>
      </x:c>
      <x:c r="L45" s="180" t="n">
        <x:v>46530</x:v>
      </x:c>
      <x:c r="M45" s="180" t="n">
        <x:v>45739</x:v>
      </x:c>
      <x:c r="N45" s="180" t="n">
        <x:v>46456</x:v>
      </x:c>
      <x:c r="O45" s="130"/>
      <x:c r="P45" s="130" t="str">
        <x:v>Blonde</x:v>
      </x:c>
      <x:c r="Q45" s="130" t="str">
        <x:v>Blue</x:v>
      </x:c>
      <x:c r="R45" s="130" t="str">
        <x:v>5'-4"</x:v>
      </x:c>
      <x:c r="S45" s="130" t="n">
        <x:v>122</x:v>
      </x:c>
      <x:c r="T45" s="130" t="str">
        <x:v>F</x:v>
      </x:c>
      <x:c r="U45" s="130" t="n">
        <x:v>36161</x:v>
      </x:c>
      <x:c r="V45" s="130" t="str">
        <x:v>DRV-007.png</x:v>
      </x:c>
      <x:c r="W45" s="130" t="str">
        <x:v>Hispanic</x:v>
      </x:c>
      <x:c r="X45" s="130" t="str">
        <x:v>sofiagomez@example.com</x:v>
      </x:c>
      <x:c r="Y45" s="130" t="str">
        <x:v>1020 Demo Street</x:v>
      </x:c>
      <x:c r="Z45" s="130" t="str">
        <x:v>Cleveland</x:v>
      </x:c>
      <x:c r="AA45" s="130" t="str">
        <x:v>OH</x:v>
      </x:c>
      <x:c r="AB45" s="130" t="n">
        <x:v>44115</x:v>
      </x:c>
      <x:c r="AC45" s="130" t="str">
        <x:v>OH</x:v>
      </x:c>
      <x:c r="AD45" s="130" t="str">
        <x:v>Class A</x:v>
      </x:c>
      <x:c r="AE45" s="180" t="n">
        <x:v>44708</x:v>
      </x:c>
      <x:c r="AF45" s="130" t="str">
        <x:v>N</x:v>
      </x:c>
      <x:c r="AG45" s="130"/>
      <x:c r="AH45" s="180" t="n">
        <x:v>45009</x:v>
      </x:c>
      <x:c r="AI45" s="130" t="str">
        <x:v>MC-0071214</x:v>
      </x:c>
      <x:c r="AJ45" s="130" t="str">
        <x:v>Dr. James Carter</x:v>
      </x:c>
      <x:c r="AK45" s="130" t="str">
        <x:v>ME100007</x:v>
      </x:c>
      <x:c r="AL45" s="130"/>
      <x:c r="AM45" s="130" t="str">
        <x:v>Qualified</x:v>
      </x:c>
      <x:c r="AN45" s="180" t="n">
        <x:v>46426</x:v>
      </x:c>
      <x:c r="AO45" s="130" t="n">
        <x:v>0</x:v>
      </x:c>
      <x:c r="AP45" s="130" t="n">
        <x:v>0</x:v>
      </x:c>
      <x:c r="AQ45" s="130"/>
      <x:c r="AR45" s="130" t="str">
        <x:v>Clear</x:v>
      </x:c>
      <x:c r="AS45" s="180" t="n">
        <x:v>45566</x:v>
      </x:c>
      <x:c r="AT45" s="130" t="str">
        <x:v>Authorized to Work</x:v>
      </x:c>
      <x:c r="AU45" s="130" t="str">
        <x:v>U.S. Passport</x:v>
      </x:c>
      <x:c r="AV45" s="130"/>
      <x:c r="AW45" s="130"/>
      <x:c r="AX45" s="180" t="n">
        <x:v>45566</x:v>
      </x:c>
      <x:c r="AY45" s="130" t="str">
        <x:v>BOF Onboarding Team</x:v>
      </x:c>
      <x:c r="AZ45" s="130" t="str">
        <x:v>Complete</x:v>
      </x:c>
      <x:c r="BA45" s="130"/>
      <x:c r="BB45" s="130" t="str">
        <x:v>Individual/Sole Proprietor</x:v>
      </x:c>
      <x:c r="BC45" s="130" t="str">
        <x:v>SSN</x:v>
      </x:c>
      <x:c r="BD45" s="130" t="str">
        <x:v>***-**-0109</x:v>
      </x:c>
      <x:c r="BE45" s="130"/>
      <x:c r="BF45" s="180" t="n">
        <x:v>45566</x:v>
      </x:c>
      <x:c r="BG45" s="130" t="str">
        <x:v>Received</x:v>
      </x:c>
      <x:c r="BH45" s="130" t="str">
        <x:v>Checking</x:v>
      </x:c>
      <x:c r="BI45" s="130" t="str">
        <x:v>Direct Deposit</x:v>
      </x:c>
      <x:c r="BJ45" s="180" t="n">
        <x:v>45566</x:v>
      </x:c>
      <x:c r="BK45" s="130" t="str">
        <x:v>Verified</x:v>
      </x:c>
      <x:c r="BL45" s="180" t="n">
        <x:v>45559</x:v>
      </x:c>
      <x:c r="BM45" s="130" t="str">
        <x:v>N. Brooks</x:v>
      </x:c>
      <x:c r="BN45" s="130" t="str">
        <x:v>Box truck</x:v>
      </x:c>
      <x:c r="BO45" s="130" t="str">
        <x:v>26 ft box</x:v>
      </x:c>
      <x:c r="BP45" s="130" t="str">
        <x:v>Cleveland, OH</x:v>
      </x:c>
      <x:c r="BQ45" s="130" t="n">
        <x:v>5</x:v>
      </x:c>
      <x:c r="BR45" s="130" t="n">
        <x:v>5</x:v>
      </x:c>
      <x:c r="BS45" s="130" t="n">
        <x:v>4</x:v>
      </x:c>
      <x:c r="BT45" s="130" t="n">
        <x:v>5</x:v>
      </x:c>
      <x:c r="BU45" s="130" t="n">
        <x:v>5</x:v>
      </x:c>
      <x:c r="BV45" s="130" t="n">
        <x:v>5</x:v>
      </x:c>
      <x:c r="BW45" s="130"/>
      <x:c r="BX45" s="130" t="n">
        <x:v>5</x:v>
      </x:c>
      <x:c r="BY45" s="130" t="n">
        <x:v>5</x:v>
      </x:c>
      <x:c r="BZ45" s="130" t="str">
        <x:v>Pass</x:v>
      </x:c>
      <x:c r="CA45" s="130"/>
      <x:c r="CB45" s="130" t="str">
        <x:v>Passed</x:v>
      </x:c>
      <x:c r="CC45" s="130" t="str">
        <x:v>Enrolled</x:v>
      </x:c>
      <x:c r="CD45" s="130" t="str">
        <x:v>Query Completed</x:v>
      </x:c>
      <x:c r="CE45" s="180" t="n">
        <x:v>46037</x:v>
      </x:c>
      <x:c r="CF45" s="180" t="n">
        <x:v>46218</x:v>
      </x:c>
      <x:c r="CG45" s="130"/>
      <x:c r="CH45" s="130" t="str">
        <x:v>Compliant</x:v>
      </x:c>
      <x:c r="CI45" s="130"/>
      <x:c r="CJ45" s="130" t="str">
        <x:v>Sofia</x:v>
      </x:c>
      <x:c r="CK45" s="130" t="str">
        <x:v>Gomez</x:v>
      </x:c>
      <x:c r="CL45" s="130" t="str">
        <x:v>OH0000113</x:v>
      </x:c>
      <x:c r="CM45" s="130" t="str">
        <x:v>OH</x:v>
      </x:c>
      <x:c r="CN45" s="130" t="str">
        <x:v>CDL Holder</x:v>
      </x:c>
      <x:c r="CO45" s="130" t="str">
        <x:v>Sofia Gomez</x:v>
      </x:c>
      <x:c r="CP45" s="180" t="n">
        <x:v>45009</x:v>
      </x:c>
      <x:c r="CQ45" s="180" t="n">
        <x:v>45739</x:v>
      </x:c>
      <x:c r="CR45" s="130" t="str">
        <x:v>(614) 555-0105</x:v>
      </x:c>
      <x:c r="CS45" s="130" t="str">
        <x:v>Dr. James Carter</x:v>
      </x:c>
      <x:c r="CT45" s="180" t="n">
        <x:v>45009</x:v>
      </x:c>
      <x:c r="CU45" s="130" t="str">
        <x:v>OH-ME-801071</x:v>
      </x:c>
      <x:c r="CV45" s="130" t="str">
        <x:v>ME100007</x:v>
      </x:c>
      <x:c r="CW45" s="130" t="str">
        <x:v>DO</x:v>
      </x:c>
      <x:c r="CX45" s="130" t="str">
        <x:v>OH</x:v>
      </x:c>
      <x:c r="CY45" s="130" t="str">
        <x:v>Federal Motor Carrier Safety Regulations</x:v>
      </x:c>
      <x:c r="CZ45" s="130"/>
      <x:c r="DA45" s="130" t="str">
        <x:v>No</x:v>
      </x:c>
      <x:c r="DB45" s="130" t="str">
        <x:v>No</x:v>
      </x:c>
      <x:c r="DC45" s="130" t="str">
        <x:v>No</x:v>
      </x:c>
      <x:c r="DD45" s="130" t="str">
        <x:v>No</x:v>
      </x:c>
      <x:c r="DE45" s="130" t="str">
        <x:v>No</x:v>
      </x:c>
      <x:c r="DF45" s="130" t="str">
        <x:v>No</x:v>
      </x:c>
      <x:c r="DG45" s="130" t="str">
        <x:v>Jane Doe</x:v>
      </x:c>
      <x:c r="DH45" s="130" t="str">
        <x:v>Sister</x:v>
      </x:c>
      <x:c r="DI45" s="130" t="str">
        <x:v>555-555-5555</x:v>
      </x:c>
      <x:c r="DJ45" s="130" t="str">
        <x:v>No</x:v>
      </x:c>
      <x:c r="DK45" s="130" t="str">
        <x:v>No</x:v>
      </x:c>
      <x:c r="DL45" s="130" t="str">
        <x:v>No</x:v>
      </x:c>
      <x:c r="DM45" s="130" t="str">
        <x:v>No</x:v>
      </x:c>
      <x:c r="DN45" s="130" t="str">
        <x:v>Yes - Appendectomy (2005)</x:v>
      </x:c>
      <x:c r="DO45" s="130" t="str">
        <x:v>20/20</x:v>
      </x:c>
      <x:c r="DP45" s="130" t="str">
        <x:v>20/20</x:v>
      </x:c>
      <x:c r="DQ45" s="130" t="str">
        <x:v>Pass</x:v>
      </x:c>
      <x:c r="DR45" s="130" t="str">
        <x:v>118</x:v>
      </x:c>
      <x:c r="DS45" s="130" t="str">
        <x:v>78</x:v>
      </x:c>
      <x:c r="DT45" s="130" t="str">
        <x:v>72</x:v>
      </x:c>
      <x:c r="DU45" s="130" t="str">
        <x:v>Normal</x:v>
      </x:c>
      <x:c r="DV45" s="180" t="n">
        <x:v>45392</x:v>
      </x:c>
      <x:c r="DW45" s="180" t="n">
        <x:v>45394</x:v>
      </x:c>
      <x:c r="DX45" s="130" t="str">
        <x:v>Negative</x:v>
      </x:c>
      <x:c r="DY45" s="180" t="n">
        <x:v>45397</x:v>
      </x:c>
      <x:c r="DZ45" s="130" t="str">
        <x:v>BOF Fleet Safety &amp; Compliance Policy 2024</x:v>
      </x:c>
      <x:c r="EA45" s="130" t="str">
        <x:v>Complete</x:v>
      </x:c>
      <x:c r="EB45" s="180" t="n">
        <x:v>45413</x:v>
      </x:c>
    </x:row>
    <x:row r="46">
      <x:c r="A46" s="130" t="str">
        <x:v>DRV-007</x:v>
      </x:c>
      <x:c r="B46" s="130" t="str">
        <x:v>Sofia Gomez</x:v>
      </x:c>
      <x:c r="C46" s="130" t="str">
        <x:v>1020 Demo Street, Cleveland, OH 44115</x:v>
      </x:c>
      <x:c r="D46" s="130" t="str">
        <x:v>896-555-0100</x:v>
      </x:c>
      <x:c r="E46" s="130" t="str">
        <x:v>***-**-0109</x:v>
      </x:c>
      <x:c r="F46" s="130" t="str">
        <x:v>Bank of America</x:v>
      </x:c>
      <x:c r="G46" s="130" t="n">
        <x:v>000000110</x:v>
      </x:c>
      <x:c r="H46" s="130" t="n">
        <x:v>999900212</x:v>
      </x:c>
      <x:c r="I46" s="130" t="str">
        <x:v>MVR Background Report</x:v>
      </x:c>
      <x:c r="J46" s="130" t="str">
        <x:v>VALID</x:v>
      </x:c>
      <x:c r="K46" s="130" t="str">
        <x:v>OH0000101</x:v>
      </x:c>
      <x:c r="L46" s="180" t="n">
        <x:v>46530</x:v>
      </x:c>
      <x:c r="M46" s="180" t="n">
        <x:v>45739</x:v>
      </x:c>
      <x:c r="N46" s="180" t="n">
        <x:v>46456</x:v>
      </x:c>
      <x:c r="O46" s="130"/>
      <x:c r="P46" s="130" t="str">
        <x:v>Blonde</x:v>
      </x:c>
      <x:c r="Q46" s="130" t="str">
        <x:v>Blue</x:v>
      </x:c>
      <x:c r="R46" s="130" t="str">
        <x:v>5'-4"</x:v>
      </x:c>
      <x:c r="S46" s="130" t="n">
        <x:v>122</x:v>
      </x:c>
      <x:c r="T46" s="130" t="str">
        <x:v>F</x:v>
      </x:c>
      <x:c r="U46" s="130" t="n">
        <x:v>36161</x:v>
      </x:c>
      <x:c r="V46" s="130" t="str">
        <x:v>DRV-007.png</x:v>
      </x:c>
      <x:c r="W46" s="130" t="str">
        <x:v>Hispanic</x:v>
      </x:c>
      <x:c r="X46" s="130" t="str">
        <x:v>sofiagomez@example.com</x:v>
      </x:c>
      <x:c r="Y46" s="130" t="str">
        <x:v>1020 Demo Street</x:v>
      </x:c>
      <x:c r="Z46" s="130" t="str">
        <x:v>Cleveland</x:v>
      </x:c>
      <x:c r="AA46" s="130" t="str">
        <x:v>OH</x:v>
      </x:c>
      <x:c r="AB46" s="130" t="n">
        <x:v>44115</x:v>
      </x:c>
      <x:c r="AC46" s="130" t="str">
        <x:v>OH</x:v>
      </x:c>
      <x:c r="AD46" s="130" t="str">
        <x:v>Class A</x:v>
      </x:c>
      <x:c r="AE46" s="180" t="n">
        <x:v>44708</x:v>
      </x:c>
      <x:c r="AF46" s="130" t="str">
        <x:v>N</x:v>
      </x:c>
      <x:c r="AG46" s="130"/>
      <x:c r="AH46" s="180" t="n">
        <x:v>45009</x:v>
      </x:c>
      <x:c r="AI46" s="130" t="str">
        <x:v>MC-0071214</x:v>
      </x:c>
      <x:c r="AJ46" s="130" t="str">
        <x:v>Dr. James Carter</x:v>
      </x:c>
      <x:c r="AK46" s="130" t="str">
        <x:v>ME100007</x:v>
      </x:c>
      <x:c r="AL46" s="130"/>
      <x:c r="AM46" s="130" t="str">
        <x:v>Qualified</x:v>
      </x:c>
      <x:c r="AN46" s="180" t="n">
        <x:v>46426</x:v>
      </x:c>
      <x:c r="AO46" s="130" t="n">
        <x:v>0</x:v>
      </x:c>
      <x:c r="AP46" s="130" t="n">
        <x:v>0</x:v>
      </x:c>
      <x:c r="AQ46" s="130"/>
      <x:c r="AR46" s="130" t="str">
        <x:v>Clear</x:v>
      </x:c>
      <x:c r="AS46" s="180" t="n">
        <x:v>45566</x:v>
      </x:c>
      <x:c r="AT46" s="130" t="str">
        <x:v>Authorized to Work</x:v>
      </x:c>
      <x:c r="AU46" s="130" t="str">
        <x:v>U.S. Passport</x:v>
      </x:c>
      <x:c r="AV46" s="130"/>
      <x:c r="AW46" s="130"/>
      <x:c r="AX46" s="180" t="n">
        <x:v>45566</x:v>
      </x:c>
      <x:c r="AY46" s="130" t="str">
        <x:v>BOF Onboarding Team</x:v>
      </x:c>
      <x:c r="AZ46" s="130" t="str">
        <x:v>Complete</x:v>
      </x:c>
      <x:c r="BA46" s="130"/>
      <x:c r="BB46" s="130" t="str">
        <x:v>Individual/Sole Proprietor</x:v>
      </x:c>
      <x:c r="BC46" s="130" t="str">
        <x:v>SSN</x:v>
      </x:c>
      <x:c r="BD46" s="130" t="str">
        <x:v>***-**-0109</x:v>
      </x:c>
      <x:c r="BE46" s="130"/>
      <x:c r="BF46" s="180" t="n">
        <x:v>45566</x:v>
      </x:c>
      <x:c r="BG46" s="130" t="str">
        <x:v>Received</x:v>
      </x:c>
      <x:c r="BH46" s="130" t="str">
        <x:v>Checking</x:v>
      </x:c>
      <x:c r="BI46" s="130" t="str">
        <x:v>Direct Deposit</x:v>
      </x:c>
      <x:c r="BJ46" s="180" t="n">
        <x:v>45566</x:v>
      </x:c>
      <x:c r="BK46" s="130" t="str">
        <x:v>Verified</x:v>
      </x:c>
      <x:c r="BL46" s="180" t="n">
        <x:v>45559</x:v>
      </x:c>
      <x:c r="BM46" s="130" t="str">
        <x:v>N. Brooks</x:v>
      </x:c>
      <x:c r="BN46" s="130" t="str">
        <x:v>Box truck</x:v>
      </x:c>
      <x:c r="BO46" s="130" t="str">
        <x:v>26 ft box</x:v>
      </x:c>
      <x:c r="BP46" s="130" t="str">
        <x:v>Cleveland, OH</x:v>
      </x:c>
      <x:c r="BQ46" s="130" t="n">
        <x:v>5</x:v>
      </x:c>
      <x:c r="BR46" s="130" t="n">
        <x:v>5</x:v>
      </x:c>
      <x:c r="BS46" s="130" t="n">
        <x:v>4</x:v>
      </x:c>
      <x:c r="BT46" s="130" t="n">
        <x:v>5</x:v>
      </x:c>
      <x:c r="BU46" s="130" t="n">
        <x:v>5</x:v>
      </x:c>
      <x:c r="BV46" s="130" t="n">
        <x:v>5</x:v>
      </x:c>
      <x:c r="BW46" s="130"/>
      <x:c r="BX46" s="130" t="n">
        <x:v>5</x:v>
      </x:c>
      <x:c r="BY46" s="130" t="n">
        <x:v>5</x:v>
      </x:c>
      <x:c r="BZ46" s="130" t="str">
        <x:v>Pass</x:v>
      </x:c>
      <x:c r="CA46" s="130"/>
      <x:c r="CB46" s="130" t="str">
        <x:v>Passed</x:v>
      </x:c>
      <x:c r="CC46" s="130" t="str">
        <x:v>Enrolled</x:v>
      </x:c>
      <x:c r="CD46" s="130" t="str">
        <x:v>Query Completed</x:v>
      </x:c>
      <x:c r="CE46" s="180" t="n">
        <x:v>46037</x:v>
      </x:c>
      <x:c r="CF46" s="180" t="n">
        <x:v>46218</x:v>
      </x:c>
      <x:c r="CG46" s="130"/>
      <x:c r="CH46" s="130" t="str">
        <x:v>Compliant</x:v>
      </x:c>
      <x:c r="CI46" s="130"/>
      <x:c r="CJ46" s="130" t="str">
        <x:v>Sofia</x:v>
      </x:c>
      <x:c r="CK46" s="130" t="str">
        <x:v>Gomez</x:v>
      </x:c>
      <x:c r="CL46" s="130" t="str">
        <x:v>OH0000114</x:v>
      </x:c>
      <x:c r="CM46" s="130" t="str">
        <x:v>OH</x:v>
      </x:c>
      <x:c r="CN46" s="130" t="str">
        <x:v>CDL Holder</x:v>
      </x:c>
      <x:c r="CO46" s="130" t="str">
        <x:v>Sofia Gomez</x:v>
      </x:c>
      <x:c r="CP46" s="180" t="n">
        <x:v>45009</x:v>
      </x:c>
      <x:c r="CQ46" s="180" t="n">
        <x:v>45739</x:v>
      </x:c>
      <x:c r="CR46" s="130" t="str">
        <x:v>(614) 555-0105</x:v>
      </x:c>
      <x:c r="CS46" s="130" t="str">
        <x:v>Dr. James Carter</x:v>
      </x:c>
      <x:c r="CT46" s="180" t="n">
        <x:v>45009</x:v>
      </x:c>
      <x:c r="CU46" s="130" t="str">
        <x:v>OH-ME-801071</x:v>
      </x:c>
      <x:c r="CV46" s="130" t="str">
        <x:v>ME100007</x:v>
      </x:c>
      <x:c r="CW46" s="130" t="str">
        <x:v>DO</x:v>
      </x:c>
      <x:c r="CX46" s="130" t="str">
        <x:v>OH</x:v>
      </x:c>
      <x:c r="CY46" s="130" t="str">
        <x:v>Federal Motor Carrier Safety Regulations</x:v>
      </x:c>
      <x:c r="CZ46" s="130"/>
      <x:c r="DA46" s="130" t="str">
        <x:v>No</x:v>
      </x:c>
      <x:c r="DB46" s="130" t="str">
        <x:v>No</x:v>
      </x:c>
      <x:c r="DC46" s="130" t="str">
        <x:v>No</x:v>
      </x:c>
      <x:c r="DD46" s="130" t="str">
        <x:v>No</x:v>
      </x:c>
      <x:c r="DE46" s="130" t="str">
        <x:v>No</x:v>
      </x:c>
      <x:c r="DF46" s="130" t="str">
        <x:v>No</x:v>
      </x:c>
      <x:c r="DG46" s="130" t="str">
        <x:v>Jane Doe</x:v>
      </x:c>
      <x:c r="DH46" s="130" t="str">
        <x:v>Sister</x:v>
      </x:c>
      <x:c r="DI46" s="130" t="str">
        <x:v>555-555-5555</x:v>
      </x:c>
      <x:c r="DJ46" s="130" t="str">
        <x:v>No</x:v>
      </x:c>
      <x:c r="DK46" s="130" t="str">
        <x:v>No</x:v>
      </x:c>
      <x:c r="DL46" s="130" t="str">
        <x:v>No</x:v>
      </x:c>
      <x:c r="DM46" s="130" t="str">
        <x:v>No</x:v>
      </x:c>
      <x:c r="DN46" s="130" t="str">
        <x:v>Yes - Appendectomy (2005)</x:v>
      </x:c>
      <x:c r="DO46" s="130" t="str">
        <x:v>20/20</x:v>
      </x:c>
      <x:c r="DP46" s="130" t="str">
        <x:v>20/20</x:v>
      </x:c>
      <x:c r="DQ46" s="130" t="str">
        <x:v>Pass</x:v>
      </x:c>
      <x:c r="DR46" s="130" t="str">
        <x:v>118</x:v>
      </x:c>
      <x:c r="DS46" s="130" t="str">
        <x:v>78</x:v>
      </x:c>
      <x:c r="DT46" s="130" t="str">
        <x:v>72</x:v>
      </x:c>
      <x:c r="DU46" s="130" t="str">
        <x:v>Normal</x:v>
      </x:c>
      <x:c r="DV46" s="180" t="n">
        <x:v>45392</x:v>
      </x:c>
      <x:c r="DW46" s="180" t="n">
        <x:v>45394</x:v>
      </x:c>
      <x:c r="DX46" s="130" t="str">
        <x:v>Negative</x:v>
      </x:c>
      <x:c r="DY46" s="180" t="n">
        <x:v>45397</x:v>
      </x:c>
      <x:c r="DZ46" s="130" t="str">
        <x:v>BOF Fleet Safety &amp; Compliance Policy 2024</x:v>
      </x:c>
      <x:c r="EA46" s="130" t="str">
        <x:v>Complete</x:v>
      </x:c>
      <x:c r="EB46" s="180" t="n">
        <x:v>45413</x:v>
      </x:c>
    </x:row>
    <x:row r="47">
      <x:c r="A47" s="130" t="str">
        <x:v>DRV-007</x:v>
      </x:c>
      <x:c r="B47" s="130" t="str">
        <x:v>Sofia Gomez</x:v>
      </x:c>
      <x:c r="C47" s="130" t="str">
        <x:v>1020 Demo Street, Cleveland, OH 44115</x:v>
      </x:c>
      <x:c r="D47" s="130" t="str">
        <x:v>896-555-0100</x:v>
      </x:c>
      <x:c r="E47" s="130" t="str">
        <x:v>***-**-0109</x:v>
      </x:c>
      <x:c r="F47" s="130" t="str">
        <x:v>Bank of America</x:v>
      </x:c>
      <x:c r="G47" s="130" t="n">
        <x:v>000000110</x:v>
      </x:c>
      <x:c r="H47" s="130" t="n">
        <x:v>999900212</x:v>
      </x:c>
      <x:c r="I47" s="130" t="str">
        <x:v>Driver Application</x:v>
      </x:c>
      <x:c r="J47" s="130" t="str">
        <x:v>VALID</x:v>
      </x:c>
      <x:c r="K47" s="130" t="str">
        <x:v>OH0000129</x:v>
      </x:c>
      <x:c r="L47" s="180" t="n">
        <x:v>46530</x:v>
      </x:c>
      <x:c r="M47" s="180" t="n">
        <x:v>45739</x:v>
      </x:c>
      <x:c r="N47" s="180" t="n">
        <x:v>46456</x:v>
      </x:c>
      <x:c r="O47" s="130"/>
      <x:c r="P47" s="130" t="str">
        <x:v>Blonde</x:v>
      </x:c>
      <x:c r="Q47" s="130" t="str">
        <x:v>Blue</x:v>
      </x:c>
      <x:c r="R47" s="130" t="str">
        <x:v>5'-4"</x:v>
      </x:c>
      <x:c r="S47" s="130" t="n">
        <x:v>122</x:v>
      </x:c>
      <x:c r="T47" s="130" t="str">
        <x:v>F</x:v>
      </x:c>
      <x:c r="U47" s="130" t="n">
        <x:v>36161</x:v>
      </x:c>
      <x:c r="V47" s="130" t="str">
        <x:v>DRV-007.png</x:v>
      </x:c>
      <x:c r="W47" s="130" t="str">
        <x:v>Hispanic</x:v>
      </x:c>
      <x:c r="X47" s="130" t="str">
        <x:v>sofiagomez@example.com</x:v>
      </x:c>
      <x:c r="Y47" s="130" t="str">
        <x:v>1020 Demo Street</x:v>
      </x:c>
      <x:c r="Z47" s="130" t="str">
        <x:v>Cleveland</x:v>
      </x:c>
      <x:c r="AA47" s="130" t="str">
        <x:v>OH</x:v>
      </x:c>
      <x:c r="AB47" s="130" t="n">
        <x:v>44115</x:v>
      </x:c>
      <x:c r="AC47" s="130" t="str">
        <x:v>OH</x:v>
      </x:c>
      <x:c r="AD47" s="130" t="str">
        <x:v>Class A</x:v>
      </x:c>
      <x:c r="AE47" s="180" t="n">
        <x:v>44708</x:v>
      </x:c>
      <x:c r="AF47" s="130" t="str">
        <x:v>N</x:v>
      </x:c>
      <x:c r="AG47" s="130"/>
      <x:c r="AH47" s="180" t="n">
        <x:v>45009</x:v>
      </x:c>
      <x:c r="AI47" s="130" t="str">
        <x:v>MC-0071214</x:v>
      </x:c>
      <x:c r="AJ47" s="130" t="str">
        <x:v>Dr. James Carter</x:v>
      </x:c>
      <x:c r="AK47" s="130" t="str">
        <x:v>ME100007</x:v>
      </x:c>
      <x:c r="AL47" s="130"/>
      <x:c r="AM47" s="130" t="str">
        <x:v>Qualified</x:v>
      </x:c>
      <x:c r="AN47" s="180" t="n">
        <x:v>46426</x:v>
      </x:c>
      <x:c r="AO47" s="130" t="n">
        <x:v>0</x:v>
      </x:c>
      <x:c r="AP47" s="130" t="n">
        <x:v>0</x:v>
      </x:c>
      <x:c r="AQ47" s="130"/>
      <x:c r="AR47" s="130" t="str">
        <x:v>Clear</x:v>
      </x:c>
      <x:c r="AS47" s="180" t="n">
        <x:v>45566</x:v>
      </x:c>
      <x:c r="AT47" s="130" t="str">
        <x:v>Authorized to Work</x:v>
      </x:c>
      <x:c r="AU47" s="130" t="str">
        <x:v>U.S. Passport</x:v>
      </x:c>
      <x:c r="AV47" s="130"/>
      <x:c r="AW47" s="130"/>
      <x:c r="AX47" s="180" t="n">
        <x:v>45566</x:v>
      </x:c>
      <x:c r="AY47" s="130" t="str">
        <x:v>BOF Onboarding Team</x:v>
      </x:c>
      <x:c r="AZ47" s="130" t="str">
        <x:v>Complete</x:v>
      </x:c>
      <x:c r="BA47" s="130"/>
      <x:c r="BB47" s="130" t="str">
        <x:v>Individual/Sole Proprietor</x:v>
      </x:c>
      <x:c r="BC47" s="130" t="str">
        <x:v>SSN</x:v>
      </x:c>
      <x:c r="BD47" s="130" t="str">
        <x:v>***-**-0109</x:v>
      </x:c>
      <x:c r="BE47" s="130"/>
      <x:c r="BF47" s="180" t="n">
        <x:v>45566</x:v>
      </x:c>
      <x:c r="BG47" s="130" t="str">
        <x:v>Received</x:v>
      </x:c>
      <x:c r="BH47" s="130" t="str">
        <x:v>Checking</x:v>
      </x:c>
      <x:c r="BI47" s="130" t="str">
        <x:v>Direct Deposit</x:v>
      </x:c>
      <x:c r="BJ47" s="180" t="n">
        <x:v>45566</x:v>
      </x:c>
      <x:c r="BK47" s="130" t="str">
        <x:v>Verified</x:v>
      </x:c>
      <x:c r="BL47" s="180" t="n">
        <x:v>45559</x:v>
      </x:c>
      <x:c r="BM47" s="130" t="str">
        <x:v>N. Brooks</x:v>
      </x:c>
      <x:c r="BN47" s="130" t="str">
        <x:v>Box truck</x:v>
      </x:c>
      <x:c r="BO47" s="130" t="str">
        <x:v>26 ft box</x:v>
      </x:c>
      <x:c r="BP47" s="130" t="str">
        <x:v>Cleveland, OH</x:v>
      </x:c>
      <x:c r="BQ47" s="130" t="n">
        <x:v>5</x:v>
      </x:c>
      <x:c r="BR47" s="130" t="n">
        <x:v>5</x:v>
      </x:c>
      <x:c r="BS47" s="130" t="n">
        <x:v>4</x:v>
      </x:c>
      <x:c r="BT47" s="130" t="n">
        <x:v>5</x:v>
      </x:c>
      <x:c r="BU47" s="130" t="n">
        <x:v>5</x:v>
      </x:c>
      <x:c r="BV47" s="130" t="n">
        <x:v>5</x:v>
      </x:c>
      <x:c r="BW47" s="130"/>
      <x:c r="BX47" s="130" t="n">
        <x:v>5</x:v>
      </x:c>
      <x:c r="BY47" s="130" t="n">
        <x:v>5</x:v>
      </x:c>
      <x:c r="BZ47" s="130" t="str">
        <x:v>Pass</x:v>
      </x:c>
      <x:c r="CA47" s="130"/>
      <x:c r="CB47" s="130" t="str">
        <x:v>Passed</x:v>
      </x:c>
      <x:c r="CC47" s="130" t="str">
        <x:v>Enrolled</x:v>
      </x:c>
      <x:c r="CD47" s="130" t="str">
        <x:v>Query Completed</x:v>
      </x:c>
      <x:c r="CE47" s="180" t="n">
        <x:v>46037</x:v>
      </x:c>
      <x:c r="CF47" s="180" t="n">
        <x:v>46218</x:v>
      </x:c>
      <x:c r="CG47" s="130"/>
      <x:c r="CH47" s="130" t="str">
        <x:v>Compliant</x:v>
      </x:c>
      <x:c r="CI47" s="130"/>
      <x:c r="CJ47" s="130" t="str">
        <x:v>Sofia</x:v>
      </x:c>
      <x:c r="CK47" s="130" t="str">
        <x:v>Gomez</x:v>
      </x:c>
      <x:c r="CL47" s="130" t="str">
        <x:v>OH0000115</x:v>
      </x:c>
      <x:c r="CM47" s="130" t="str">
        <x:v>OH</x:v>
      </x:c>
      <x:c r="CN47" s="130" t="str">
        <x:v>CDL Holder</x:v>
      </x:c>
      <x:c r="CO47" s="130" t="str">
        <x:v>Sofia Gomez</x:v>
      </x:c>
      <x:c r="CP47" s="180" t="n">
        <x:v>45009</x:v>
      </x:c>
      <x:c r="CQ47" s="180" t="n">
        <x:v>45739</x:v>
      </x:c>
      <x:c r="CR47" s="130" t="str">
        <x:v>(614) 555-0105</x:v>
      </x:c>
      <x:c r="CS47" s="130" t="str">
        <x:v>Dr. James Carter</x:v>
      </x:c>
      <x:c r="CT47" s="180" t="n">
        <x:v>45009</x:v>
      </x:c>
      <x:c r="CU47" s="130" t="str">
        <x:v>OH-ME-801071</x:v>
      </x:c>
      <x:c r="CV47" s="130" t="str">
        <x:v>ME100007</x:v>
      </x:c>
      <x:c r="CW47" s="130" t="str">
        <x:v>DO</x:v>
      </x:c>
      <x:c r="CX47" s="130" t="str">
        <x:v>OH</x:v>
      </x:c>
      <x:c r="CY47" s="130" t="str">
        <x:v>Federal Motor Carrier Safety Regulations</x:v>
      </x:c>
      <x:c r="CZ47" s="130"/>
      <x:c r="DA47" s="130" t="str">
        <x:v>No</x:v>
      </x:c>
      <x:c r="DB47" s="130" t="str">
        <x:v>No</x:v>
      </x:c>
      <x:c r="DC47" s="130" t="str">
        <x:v>No</x:v>
      </x:c>
      <x:c r="DD47" s="130" t="str">
        <x:v>No</x:v>
      </x:c>
      <x:c r="DE47" s="130" t="str">
        <x:v>No</x:v>
      </x:c>
      <x:c r="DF47" s="130" t="str">
        <x:v>No</x:v>
      </x:c>
      <x:c r="DG47" s="130" t="str">
        <x:v>Jane Doe</x:v>
      </x:c>
      <x:c r="DH47" s="130" t="str">
        <x:v>Sister</x:v>
      </x:c>
      <x:c r="DI47" s="130" t="str">
        <x:v>555-555-5555</x:v>
      </x:c>
      <x:c r="DJ47" s="130" t="str">
        <x:v>No</x:v>
      </x:c>
      <x:c r="DK47" s="130" t="str">
        <x:v>No</x:v>
      </x:c>
      <x:c r="DL47" s="130" t="str">
        <x:v>No</x:v>
      </x:c>
      <x:c r="DM47" s="130" t="str">
        <x:v>No</x:v>
      </x:c>
      <x:c r="DN47" s="130" t="str">
        <x:v>Yes - Appendectomy (2005)</x:v>
      </x:c>
      <x:c r="DO47" s="130" t="str">
        <x:v>20/20</x:v>
      </x:c>
      <x:c r="DP47" s="130" t="str">
        <x:v>20/20</x:v>
      </x:c>
      <x:c r="DQ47" s="130" t="str">
        <x:v>Pass</x:v>
      </x:c>
      <x:c r="DR47" s="130" t="str">
        <x:v>118</x:v>
      </x:c>
      <x:c r="DS47" s="130" t="str">
        <x:v>78</x:v>
      </x:c>
      <x:c r="DT47" s="130" t="str">
        <x:v>72</x:v>
      </x:c>
      <x:c r="DU47" s="130" t="str">
        <x:v>Normal</x:v>
      </x:c>
      <x:c r="DV47" s="180" t="n">
        <x:v>45392</x:v>
      </x:c>
      <x:c r="DW47" s="180" t="n">
        <x:v>45394</x:v>
      </x:c>
      <x:c r="DX47" s="130" t="str">
        <x:v>Negative</x:v>
      </x:c>
      <x:c r="DY47" s="180" t="n">
        <x:v>45397</x:v>
      </x:c>
      <x:c r="DZ47" s="130" t="str">
        <x:v>BOF Fleet Safety &amp; Compliance Policy 2024</x:v>
      </x:c>
      <x:c r="EA47" s="130" t="str">
        <x:v>Complete</x:v>
      </x:c>
      <x:c r="EB47" s="180" t="n">
        <x:v>45413</x:v>
      </x:c>
    </x:row>
    <x:row r="48">
      <x:c r="A48" s="130" t="str">
        <x:v>DRV-007</x:v>
      </x:c>
      <x:c r="B48" s="130" t="str">
        <x:v>Sofia Gomez</x:v>
      </x:c>
      <x:c r="C48" s="130" t="str">
        <x:v>1020 Demo Street, Cleveland, OH 44115</x:v>
      </x:c>
      <x:c r="D48" s="130" t="str">
        <x:v>896-555-0100</x:v>
      </x:c>
      <x:c r="E48" s="130" t="str">
        <x:v>***-**-0109</x:v>
      </x:c>
      <x:c r="F48" s="130" t="str">
        <x:v>Bank of America</x:v>
      </x:c>
      <x:c r="G48" s="130" t="n">
        <x:v>000000110</x:v>
      </x:c>
      <x:c r="H48" s="130" t="n">
        <x:v>999900212</x:v>
      </x:c>
      <x:c r="I48" s="130" t="str">
        <x:v>Road Test Certificate</x:v>
      </x:c>
      <x:c r="J48" s="130" t="str">
        <x:v>VALID</x:v>
      </x:c>
      <x:c r="K48" s="130" t="str">
        <x:v>OH0000120</x:v>
      </x:c>
      <x:c r="L48" s="180" t="n">
        <x:v>46530</x:v>
      </x:c>
      <x:c r="M48" s="180" t="n">
        <x:v>45739</x:v>
      </x:c>
      <x:c r="N48" s="180" t="n">
        <x:v>46456</x:v>
      </x:c>
      <x:c r="O48" s="130"/>
      <x:c r="P48" s="130" t="str">
        <x:v>Blonde</x:v>
      </x:c>
      <x:c r="Q48" s="130" t="str">
        <x:v>Blue</x:v>
      </x:c>
      <x:c r="R48" s="130" t="str">
        <x:v>5'-4"</x:v>
      </x:c>
      <x:c r="S48" s="130" t="n">
        <x:v>122</x:v>
      </x:c>
      <x:c r="T48" s="130" t="str">
        <x:v>F</x:v>
      </x:c>
      <x:c r="U48" s="130" t="n">
        <x:v>36161</x:v>
      </x:c>
      <x:c r="V48" s="130" t="str">
        <x:v>DRV-007.png</x:v>
      </x:c>
      <x:c r="W48" s="130" t="str">
        <x:v>Hispanic</x:v>
      </x:c>
      <x:c r="X48" s="130" t="str">
        <x:v>sofiagomez@example.com</x:v>
      </x:c>
      <x:c r="Y48" s="130" t="str">
        <x:v>1020 Demo Street</x:v>
      </x:c>
      <x:c r="Z48" s="130" t="str">
        <x:v>Cleveland</x:v>
      </x:c>
      <x:c r="AA48" s="130" t="str">
        <x:v>OH</x:v>
      </x:c>
      <x:c r="AB48" s="130" t="n">
        <x:v>44115</x:v>
      </x:c>
      <x:c r="AC48" s="130" t="str">
        <x:v>OH</x:v>
      </x:c>
      <x:c r="AD48" s="130" t="str">
        <x:v>Class A</x:v>
      </x:c>
      <x:c r="AE48" s="180" t="n">
        <x:v>44708</x:v>
      </x:c>
      <x:c r="AF48" s="130" t="str">
        <x:v>N</x:v>
      </x:c>
      <x:c r="AG48" s="130"/>
      <x:c r="AH48" s="180" t="n">
        <x:v>45009</x:v>
      </x:c>
      <x:c r="AI48" s="130" t="str">
        <x:v>MC-0071214</x:v>
      </x:c>
      <x:c r="AJ48" s="130" t="str">
        <x:v>Dr. James Carter</x:v>
      </x:c>
      <x:c r="AK48" s="130" t="str">
        <x:v>ME100007</x:v>
      </x:c>
      <x:c r="AL48" s="130"/>
      <x:c r="AM48" s="130" t="str">
        <x:v>Qualified</x:v>
      </x:c>
      <x:c r="AN48" s="180" t="n">
        <x:v>46426</x:v>
      </x:c>
      <x:c r="AO48" s="130" t="n">
        <x:v>0</x:v>
      </x:c>
      <x:c r="AP48" s="130" t="n">
        <x:v>0</x:v>
      </x:c>
      <x:c r="AQ48" s="130"/>
      <x:c r="AR48" s="130" t="str">
        <x:v>Clear</x:v>
      </x:c>
      <x:c r="AS48" s="180" t="n">
        <x:v>45566</x:v>
      </x:c>
      <x:c r="AT48" s="130" t="str">
        <x:v>Authorized to Work</x:v>
      </x:c>
      <x:c r="AU48" s="130" t="str">
        <x:v>U.S. Passport</x:v>
      </x:c>
      <x:c r="AV48" s="130"/>
      <x:c r="AW48" s="130"/>
      <x:c r="AX48" s="180" t="n">
        <x:v>45566</x:v>
      </x:c>
      <x:c r="AY48" s="130" t="str">
        <x:v>BOF Onboarding Team</x:v>
      </x:c>
      <x:c r="AZ48" s="130" t="str">
        <x:v>Complete</x:v>
      </x:c>
      <x:c r="BA48" s="130"/>
      <x:c r="BB48" s="130" t="str">
        <x:v>Individual/Sole Proprietor</x:v>
      </x:c>
      <x:c r="BC48" s="130" t="str">
        <x:v>SSN</x:v>
      </x:c>
      <x:c r="BD48" s="130" t="str">
        <x:v>***-**-0109</x:v>
      </x:c>
      <x:c r="BE48" s="130"/>
      <x:c r="BF48" s="180" t="n">
        <x:v>45566</x:v>
      </x:c>
      <x:c r="BG48" s="130" t="str">
        <x:v>Received</x:v>
      </x:c>
      <x:c r="BH48" s="130" t="str">
        <x:v>Checking</x:v>
      </x:c>
      <x:c r="BI48" s="130" t="str">
        <x:v>Direct Deposit</x:v>
      </x:c>
      <x:c r="BJ48" s="180" t="n">
        <x:v>45566</x:v>
      </x:c>
      <x:c r="BK48" s="130" t="str">
        <x:v>Verified</x:v>
      </x:c>
      <x:c r="BL48" s="180" t="n">
        <x:v>45559</x:v>
      </x:c>
      <x:c r="BM48" s="130" t="str">
        <x:v>N. Brooks</x:v>
      </x:c>
      <x:c r="BN48" s="130" t="str">
        <x:v>Box truck</x:v>
      </x:c>
      <x:c r="BO48" s="130" t="str">
        <x:v>26 ft box</x:v>
      </x:c>
      <x:c r="BP48" s="130" t="str">
        <x:v>Cleveland, OH</x:v>
      </x:c>
      <x:c r="BQ48" s="130" t="n">
        <x:v>5</x:v>
      </x:c>
      <x:c r="BR48" s="130" t="n">
        <x:v>5</x:v>
      </x:c>
      <x:c r="BS48" s="130" t="n">
        <x:v>4</x:v>
      </x:c>
      <x:c r="BT48" s="130" t="n">
        <x:v>5</x:v>
      </x:c>
      <x:c r="BU48" s="130" t="n">
        <x:v>5</x:v>
      </x:c>
      <x:c r="BV48" s="130" t="n">
        <x:v>5</x:v>
      </x:c>
      <x:c r="BW48" s="130"/>
      <x:c r="BX48" s="130" t="n">
        <x:v>5</x:v>
      </x:c>
      <x:c r="BY48" s="130" t="n">
        <x:v>5</x:v>
      </x:c>
      <x:c r="BZ48" s="130" t="str">
        <x:v>Pass</x:v>
      </x:c>
      <x:c r="CA48" s="130"/>
      <x:c r="CB48" s="130" t="str">
        <x:v>Passed</x:v>
      </x:c>
      <x:c r="CC48" s="130" t="str">
        <x:v>Enrolled</x:v>
      </x:c>
      <x:c r="CD48" s="130" t="str">
        <x:v>Query Completed</x:v>
      </x:c>
      <x:c r="CE48" s="180" t="n">
        <x:v>46037</x:v>
      </x:c>
      <x:c r="CF48" s="180" t="n">
        <x:v>46218</x:v>
      </x:c>
      <x:c r="CG48" s="130"/>
      <x:c r="CH48" s="130" t="str">
        <x:v>Compliant</x:v>
      </x:c>
      <x:c r="CI48" s="130"/>
      <x:c r="CJ48" s="130" t="str">
        <x:v>Sofia</x:v>
      </x:c>
      <x:c r="CK48" s="130" t="str">
        <x:v>Gomez</x:v>
      </x:c>
      <x:c r="CL48" s="130" t="str">
        <x:v>OH0000116</x:v>
      </x:c>
      <x:c r="CM48" s="130" t="str">
        <x:v>OH</x:v>
      </x:c>
      <x:c r="CN48" s="130" t="str">
        <x:v>CDL Holder</x:v>
      </x:c>
      <x:c r="CO48" s="130" t="str">
        <x:v>Sofia Gomez</x:v>
      </x:c>
      <x:c r="CP48" s="180" t="n">
        <x:v>45009</x:v>
      </x:c>
      <x:c r="CQ48" s="180" t="n">
        <x:v>45739</x:v>
      </x:c>
      <x:c r="CR48" s="130" t="str">
        <x:v>(614) 555-0105</x:v>
      </x:c>
      <x:c r="CS48" s="130" t="str">
        <x:v>Dr. James Carter</x:v>
      </x:c>
      <x:c r="CT48" s="180" t="n">
        <x:v>45009</x:v>
      </x:c>
      <x:c r="CU48" s="130" t="str">
        <x:v>OH-ME-801071</x:v>
      </x:c>
      <x:c r="CV48" s="130" t="str">
        <x:v>ME100007</x:v>
      </x:c>
      <x:c r="CW48" s="130" t="str">
        <x:v>DO</x:v>
      </x:c>
      <x:c r="CX48" s="130" t="str">
        <x:v>OH</x:v>
      </x:c>
      <x:c r="CY48" s="130" t="str">
        <x:v>Federal Motor Carrier Safety Regulations</x:v>
      </x:c>
      <x:c r="CZ48" s="130"/>
      <x:c r="DA48" s="130" t="str">
        <x:v>No</x:v>
      </x:c>
      <x:c r="DB48" s="130" t="str">
        <x:v>No</x:v>
      </x:c>
      <x:c r="DC48" s="130" t="str">
        <x:v>No</x:v>
      </x:c>
      <x:c r="DD48" s="130" t="str">
        <x:v>No</x:v>
      </x:c>
      <x:c r="DE48" s="130" t="str">
        <x:v>No</x:v>
      </x:c>
      <x:c r="DF48" s="130" t="str">
        <x:v>No</x:v>
      </x:c>
      <x:c r="DG48" s="130" t="str">
        <x:v>Jane Doe</x:v>
      </x:c>
      <x:c r="DH48" s="130" t="str">
        <x:v>Sister</x:v>
      </x:c>
      <x:c r="DI48" s="130" t="str">
        <x:v>555-555-5555</x:v>
      </x:c>
      <x:c r="DJ48" s="130" t="str">
        <x:v>No</x:v>
      </x:c>
      <x:c r="DK48" s="130" t="str">
        <x:v>No</x:v>
      </x:c>
      <x:c r="DL48" s="130" t="str">
        <x:v>No</x:v>
      </x:c>
      <x:c r="DM48" s="130" t="str">
        <x:v>No</x:v>
      </x:c>
      <x:c r="DN48" s="130" t="str">
        <x:v>Yes - Appendectomy (2005)</x:v>
      </x:c>
      <x:c r="DO48" s="130" t="str">
        <x:v>20/20</x:v>
      </x:c>
      <x:c r="DP48" s="130" t="str">
        <x:v>20/20</x:v>
      </x:c>
      <x:c r="DQ48" s="130" t="str">
        <x:v>Pass</x:v>
      </x:c>
      <x:c r="DR48" s="130" t="str">
        <x:v>118</x:v>
      </x:c>
      <x:c r="DS48" s="130" t="str">
        <x:v>78</x:v>
      </x:c>
      <x:c r="DT48" s="130" t="str">
        <x:v>72</x:v>
      </x:c>
      <x:c r="DU48" s="130" t="str">
        <x:v>Normal</x:v>
      </x:c>
      <x:c r="DV48" s="180" t="n">
        <x:v>45392</x:v>
      </x:c>
      <x:c r="DW48" s="180" t="n">
        <x:v>45394</x:v>
      </x:c>
      <x:c r="DX48" s="130" t="str">
        <x:v>Negative</x:v>
      </x:c>
      <x:c r="DY48" s="180" t="n">
        <x:v>45397</x:v>
      </x:c>
      <x:c r="DZ48" s="130" t="str">
        <x:v>BOF Fleet Safety &amp; Compliance Policy 2024</x:v>
      </x:c>
      <x:c r="EA48" s="130" t="str">
        <x:v>Complete</x:v>
      </x:c>
      <x:c r="EB48" s="180" t="n">
        <x:v>45413</x:v>
      </x:c>
    </x:row>
    <x:row r="49">
      <x:c r="A49" s="130" t="str">
        <x:v>DRV-007</x:v>
      </x:c>
      <x:c r="B49" s="130" t="str">
        <x:v>Sofia Gomez</x:v>
      </x:c>
      <x:c r="C49" s="130" t="str">
        <x:v>1020 Demo Street, Cleveland, OH 44115</x:v>
      </x:c>
      <x:c r="D49" s="130" t="str">
        <x:v>896-555-0100</x:v>
      </x:c>
      <x:c r="E49" s="130" t="str">
        <x:v>***-**-0109</x:v>
      </x:c>
      <x:c r="F49" s="130" t="str">
        <x:v>Bank of America</x:v>
      </x:c>
      <x:c r="G49" s="130" t="n">
        <x:v>000000110</x:v>
      </x:c>
      <x:c r="H49" s="130" t="n">
        <x:v>999900212</x:v>
      </x:c>
      <x:c r="I49" s="130" t="str">
        <x:v>Incident/Accident Report</x:v>
      </x:c>
      <x:c r="J49" s="130" t="str">
        <x:v>VALID</x:v>
      </x:c>
      <x:c r="K49" s="130" t="str">
        <x:v>OH0000121</x:v>
      </x:c>
      <x:c r="L49" s="180" t="n">
        <x:v>46530</x:v>
      </x:c>
      <x:c r="M49" s="180" t="n">
        <x:v>45739</x:v>
      </x:c>
      <x:c r="N49" s="180" t="n">
        <x:v>46456</x:v>
      </x:c>
      <x:c r="O49" s="130" t="str">
        <x:v>Load L-507: Seal mismatch detected. Pickup: SEAL-73005 Delivery: SEAL-73099.</x:v>
      </x:c>
      <x:c r="P49" s="130" t="str">
        <x:v>Blonde</x:v>
      </x:c>
      <x:c r="Q49" s="130" t="str">
        <x:v>Blue</x:v>
      </x:c>
      <x:c r="R49" s="130" t="str">
        <x:v>5'-4"</x:v>
      </x:c>
      <x:c r="S49" s="130" t="n">
        <x:v>122</x:v>
      </x:c>
      <x:c r="T49" s="130" t="str">
        <x:v>F</x:v>
      </x:c>
      <x:c r="U49" s="130" t="n">
        <x:v>36161</x:v>
      </x:c>
      <x:c r="V49" s="130" t="str">
        <x:v>DRV-007.png</x:v>
      </x:c>
      <x:c r="W49" s="130" t="str">
        <x:v>Hispanic</x:v>
      </x:c>
      <x:c r="X49" s="130" t="str">
        <x:v>sofiagomez@example.com</x:v>
      </x:c>
      <x:c r="Y49" s="130" t="str">
        <x:v>1020 Demo Street</x:v>
      </x:c>
      <x:c r="Z49" s="130" t="str">
        <x:v>Cleveland</x:v>
      </x:c>
      <x:c r="AA49" s="130" t="str">
        <x:v>OH</x:v>
      </x:c>
      <x:c r="AB49" s="130" t="n">
        <x:v>44115</x:v>
      </x:c>
      <x:c r="AC49" s="130" t="str">
        <x:v>OH</x:v>
      </x:c>
      <x:c r="AD49" s="130" t="str">
        <x:v>Class A</x:v>
      </x:c>
      <x:c r="AE49" s="180" t="n">
        <x:v>44708</x:v>
      </x:c>
      <x:c r="AF49" s="130" t="str">
        <x:v>N</x:v>
      </x:c>
      <x:c r="AG49" s="130"/>
      <x:c r="AH49" s="180" t="n">
        <x:v>45009</x:v>
      </x:c>
      <x:c r="AI49" s="130" t="str">
        <x:v>MC-0071214</x:v>
      </x:c>
      <x:c r="AJ49" s="130" t="str">
        <x:v>Dr. James Carter</x:v>
      </x:c>
      <x:c r="AK49" s="130" t="str">
        <x:v>ME100007</x:v>
      </x:c>
      <x:c r="AL49" s="130"/>
      <x:c r="AM49" s="130" t="str">
        <x:v>Qualified</x:v>
      </x:c>
      <x:c r="AN49" s="180" t="n">
        <x:v>46426</x:v>
      </x:c>
      <x:c r="AO49" s="130" t="n">
        <x:v>0</x:v>
      </x:c>
      <x:c r="AP49" s="130" t="n">
        <x:v>0</x:v>
      </x:c>
      <x:c r="AQ49" s="130"/>
      <x:c r="AR49" s="130" t="str">
        <x:v>Clear</x:v>
      </x:c>
      <x:c r="AS49" s="180" t="n">
        <x:v>45566</x:v>
      </x:c>
      <x:c r="AT49" s="130" t="str">
        <x:v>Authorized to Work</x:v>
      </x:c>
      <x:c r="AU49" s="130" t="str">
        <x:v>U.S. Passport</x:v>
      </x:c>
      <x:c r="AV49" s="130"/>
      <x:c r="AW49" s="130"/>
      <x:c r="AX49" s="180" t="n">
        <x:v>45566</x:v>
      </x:c>
      <x:c r="AY49" s="130" t="str">
        <x:v>BOF Onboarding Team</x:v>
      </x:c>
      <x:c r="AZ49" s="130" t="str">
        <x:v>Complete</x:v>
      </x:c>
      <x:c r="BA49" s="130"/>
      <x:c r="BB49" s="130" t="str">
        <x:v>Individual/Sole Proprietor</x:v>
      </x:c>
      <x:c r="BC49" s="130" t="str">
        <x:v>SSN</x:v>
      </x:c>
      <x:c r="BD49" s="130" t="str">
        <x:v>***-**-0109</x:v>
      </x:c>
      <x:c r="BE49" s="130"/>
      <x:c r="BF49" s="180" t="n">
        <x:v>45566</x:v>
      </x:c>
      <x:c r="BG49" s="130" t="str">
        <x:v>Received</x:v>
      </x:c>
      <x:c r="BH49" s="130" t="str">
        <x:v>Checking</x:v>
      </x:c>
      <x:c r="BI49" s="130" t="str">
        <x:v>Direct Deposit</x:v>
      </x:c>
      <x:c r="BJ49" s="180" t="n">
        <x:v>45566</x:v>
      </x:c>
      <x:c r="BK49" s="130" t="str">
        <x:v>Verified</x:v>
      </x:c>
      <x:c r="BL49" s="180" t="n">
        <x:v>45559</x:v>
      </x:c>
      <x:c r="BM49" s="130" t="str">
        <x:v>N. Brooks</x:v>
      </x:c>
      <x:c r="BN49" s="130" t="str">
        <x:v>Box truck</x:v>
      </x:c>
      <x:c r="BO49" s="130" t="str">
        <x:v>26 ft box</x:v>
      </x:c>
      <x:c r="BP49" s="130" t="str">
        <x:v>Cleveland, OH</x:v>
      </x:c>
      <x:c r="BQ49" s="130" t="n">
        <x:v>5</x:v>
      </x:c>
      <x:c r="BR49" s="130" t="n">
        <x:v>5</x:v>
      </x:c>
      <x:c r="BS49" s="130" t="n">
        <x:v>4</x:v>
      </x:c>
      <x:c r="BT49" s="130" t="n">
        <x:v>5</x:v>
      </x:c>
      <x:c r="BU49" s="130" t="n">
        <x:v>5</x:v>
      </x:c>
      <x:c r="BV49" s="130" t="n">
        <x:v>5</x:v>
      </x:c>
      <x:c r="BW49" s="130"/>
      <x:c r="BX49" s="130" t="n">
        <x:v>5</x:v>
      </x:c>
      <x:c r="BY49" s="130" t="n">
        <x:v>5</x:v>
      </x:c>
      <x:c r="BZ49" s="130" t="str">
        <x:v>Pass</x:v>
      </x:c>
      <x:c r="CA49" s="130"/>
      <x:c r="CB49" s="130" t="str">
        <x:v>Passed</x:v>
      </x:c>
      <x:c r="CC49" s="130" t="str">
        <x:v>Enrolled</x:v>
      </x:c>
      <x:c r="CD49" s="130" t="str">
        <x:v>Query Completed</x:v>
      </x:c>
      <x:c r="CE49" s="180" t="n">
        <x:v>46037</x:v>
      </x:c>
      <x:c r="CF49" s="180" t="n">
        <x:v>46218</x:v>
      </x:c>
      <x:c r="CG49" s="130"/>
      <x:c r="CH49" s="130" t="str">
        <x:v>Compliant</x:v>
      </x:c>
      <x:c r="CI49" s="130"/>
      <x:c r="CJ49" s="130" t="str">
        <x:v>Sofia</x:v>
      </x:c>
      <x:c r="CK49" s="130" t="str">
        <x:v>Gomez</x:v>
      </x:c>
      <x:c r="CL49" s="130" t="str">
        <x:v>OH0000117</x:v>
      </x:c>
      <x:c r="CM49" s="130" t="str">
        <x:v>OH</x:v>
      </x:c>
      <x:c r="CN49" s="130" t="str">
        <x:v>CDL Holder</x:v>
      </x:c>
      <x:c r="CO49" s="130" t="str">
        <x:v>Sofia Gomez</x:v>
      </x:c>
      <x:c r="CP49" s="180" t="n">
        <x:v>45009</x:v>
      </x:c>
      <x:c r="CQ49" s="180" t="n">
        <x:v>45739</x:v>
      </x:c>
      <x:c r="CR49" s="130" t="str">
        <x:v>(614) 555-0105</x:v>
      </x:c>
      <x:c r="CS49" s="130" t="str">
        <x:v>Dr. James Carter</x:v>
      </x:c>
      <x:c r="CT49" s="180" t="n">
        <x:v>45009</x:v>
      </x:c>
      <x:c r="CU49" s="130" t="str">
        <x:v>OH-ME-801071</x:v>
      </x:c>
      <x:c r="CV49" s="130" t="str">
        <x:v>ME100007</x:v>
      </x:c>
      <x:c r="CW49" s="130" t="str">
        <x:v>DO</x:v>
      </x:c>
      <x:c r="CX49" s="130" t="str">
        <x:v>OH</x:v>
      </x:c>
      <x:c r="CY49" s="130" t="str">
        <x:v>Federal Motor Carrier Safety Regulations</x:v>
      </x:c>
      <x:c r="CZ49" s="130"/>
      <x:c r="DA49" s="130" t="str">
        <x:v>No</x:v>
      </x:c>
      <x:c r="DB49" s="130" t="str">
        <x:v>No</x:v>
      </x:c>
      <x:c r="DC49" s="130" t="str">
        <x:v>No</x:v>
      </x:c>
      <x:c r="DD49" s="130" t="str">
        <x:v>No</x:v>
      </x:c>
      <x:c r="DE49" s="130" t="str">
        <x:v>No</x:v>
      </x:c>
      <x:c r="DF49" s="130" t="str">
        <x:v>No</x:v>
      </x:c>
      <x:c r="DG49" s="130" t="str">
        <x:v>Jane Doe</x:v>
      </x:c>
      <x:c r="DH49" s="130" t="str">
        <x:v>Sister</x:v>
      </x:c>
      <x:c r="DI49" s="130" t="str">
        <x:v>555-555-5555</x:v>
      </x:c>
      <x:c r="DJ49" s="130" t="str">
        <x:v>No</x:v>
      </x:c>
      <x:c r="DK49" s="130" t="str">
        <x:v>No</x:v>
      </x:c>
      <x:c r="DL49" s="130" t="str">
        <x:v>No</x:v>
      </x:c>
      <x:c r="DM49" s="130" t="str">
        <x:v>No</x:v>
      </x:c>
      <x:c r="DN49" s="130" t="str">
        <x:v>Yes - Appendectomy (2005)</x:v>
      </x:c>
      <x:c r="DO49" s="130" t="str">
        <x:v>20/20</x:v>
      </x:c>
      <x:c r="DP49" s="130" t="str">
        <x:v>20/20</x:v>
      </x:c>
      <x:c r="DQ49" s="130" t="str">
        <x:v>Pass</x:v>
      </x:c>
      <x:c r="DR49" s="130" t="str">
        <x:v>118</x:v>
      </x:c>
      <x:c r="DS49" s="130" t="str">
        <x:v>78</x:v>
      </x:c>
      <x:c r="DT49" s="130" t="str">
        <x:v>72</x:v>
      </x:c>
      <x:c r="DU49" s="130" t="str">
        <x:v>Normal</x:v>
      </x:c>
      <x:c r="DV49" s="180" t="n">
        <x:v>45392</x:v>
      </x:c>
      <x:c r="DW49" s="180" t="n">
        <x:v>45394</x:v>
      </x:c>
      <x:c r="DX49" s="130" t="str">
        <x:v>Negative</x:v>
      </x:c>
      <x:c r="DY49" s="180" t="n">
        <x:v>45397</x:v>
      </x:c>
      <x:c r="DZ49" s="130" t="str">
        <x:v>BOF Fleet Safety &amp; Compliance Policy 2024</x:v>
      </x:c>
      <x:c r="EA49" s="130" t="str">
        <x:v>Complete</x:v>
      </x:c>
      <x:c r="EB49" s="180" t="n">
        <x:v>45413</x:v>
      </x:c>
    </x:row>
    <x:row r="50">
      <x:c r="A50" s="130" t="str">
        <x:v>DRV-007</x:v>
      </x:c>
      <x:c r="B50" s="130" t="str">
        <x:v>Sofia Gomez</x:v>
      </x:c>
      <x:c r="C50" s="130" t="str">
        <x:v>1020 Demo Street, Cleveland, OH 44115</x:v>
      </x:c>
      <x:c r="D50" s="130" t="str">
        <x:v>896-555-0100</x:v>
      </x:c>
      <x:c r="E50" s="130" t="str">
        <x:v>***-**-0109</x:v>
      </x:c>
      <x:c r="F50" s="130" t="str">
        <x:v>Bank of America</x:v>
      </x:c>
      <x:c r="G50" s="130" t="n">
        <x:v>000000110</x:v>
      </x:c>
      <x:c r="H50" s="130" t="n">
        <x:v>999900212</x:v>
      </x:c>
      <x:c r="I50" s="130" t="str">
        <x:v>Direct Deposit Form</x:v>
      </x:c>
      <x:c r="J50" s="130" t="str">
        <x:v>VALID</x:v>
      </x:c>
      <x:c r="K50" s="130" t="str">
        <x:v>OH0000073</x:v>
      </x:c>
      <x:c r="L50" s="180" t="n">
        <x:v>46530</x:v>
      </x:c>
      <x:c r="M50" s="180" t="n">
        <x:v>45739</x:v>
      </x:c>
      <x:c r="N50" s="180" t="n">
        <x:v>46456</x:v>
      </x:c>
      <x:c r="O50" s="130"/>
      <x:c r="P50" s="130" t="str">
        <x:v>Blonde</x:v>
      </x:c>
      <x:c r="Q50" s="130" t="str">
        <x:v>Blue</x:v>
      </x:c>
      <x:c r="R50" s="130" t="str">
        <x:v>5'-4"</x:v>
      </x:c>
      <x:c r="S50" s="130" t="n">
        <x:v>122</x:v>
      </x:c>
      <x:c r="T50" s="130" t="str">
        <x:v>F</x:v>
      </x:c>
      <x:c r="U50" s="130" t="n">
        <x:v>36161</x:v>
      </x:c>
      <x:c r="V50" s="130" t="str">
        <x:v>DRV-007.png</x:v>
      </x:c>
      <x:c r="W50" s="130" t="str">
        <x:v>Hispanic</x:v>
      </x:c>
      <x:c r="X50" s="130" t="str">
        <x:v>sofiagomez@example.com</x:v>
      </x:c>
      <x:c r="Y50" s="130" t="str">
        <x:v>1020 Demo Street</x:v>
      </x:c>
      <x:c r="Z50" s="130" t="str">
        <x:v>Cleveland</x:v>
      </x:c>
      <x:c r="AA50" s="130" t="str">
        <x:v>OH</x:v>
      </x:c>
      <x:c r="AB50" s="130" t="n">
        <x:v>44115</x:v>
      </x:c>
      <x:c r="AC50" s="130" t="str">
        <x:v>OH</x:v>
      </x:c>
      <x:c r="AD50" s="130" t="str">
        <x:v>Class A</x:v>
      </x:c>
      <x:c r="AE50" s="180" t="n">
        <x:v>44708</x:v>
      </x:c>
      <x:c r="AF50" s="130" t="str">
        <x:v>N</x:v>
      </x:c>
      <x:c r="AG50" s="130"/>
      <x:c r="AH50" s="180" t="n">
        <x:v>45009</x:v>
      </x:c>
      <x:c r="AI50" s="130" t="str">
        <x:v>MC-0071214</x:v>
      </x:c>
      <x:c r="AJ50" s="130" t="str">
        <x:v>Dr. James Carter</x:v>
      </x:c>
      <x:c r="AK50" s="130" t="str">
        <x:v>ME100007</x:v>
      </x:c>
      <x:c r="AL50" s="130"/>
      <x:c r="AM50" s="130" t="str">
        <x:v>Qualified</x:v>
      </x:c>
      <x:c r="AN50" s="180" t="n">
        <x:v>46426</x:v>
      </x:c>
      <x:c r="AO50" s="130" t="n">
        <x:v>0</x:v>
      </x:c>
      <x:c r="AP50" s="130" t="n">
        <x:v>0</x:v>
      </x:c>
      <x:c r="AQ50" s="130"/>
      <x:c r="AR50" s="130" t="str">
        <x:v>Clear</x:v>
      </x:c>
      <x:c r="AS50" s="180" t="n">
        <x:v>45566</x:v>
      </x:c>
      <x:c r="AT50" s="130" t="str">
        <x:v>Authorized to Work</x:v>
      </x:c>
      <x:c r="AU50" s="130" t="str">
        <x:v>U.S. Passport</x:v>
      </x:c>
      <x:c r="AV50" s="130"/>
      <x:c r="AW50" s="130"/>
      <x:c r="AX50" s="180" t="n">
        <x:v>45566</x:v>
      </x:c>
      <x:c r="AY50" s="130" t="str">
        <x:v>BOF Onboarding Team</x:v>
      </x:c>
      <x:c r="AZ50" s="130" t="str">
        <x:v>Complete</x:v>
      </x:c>
      <x:c r="BA50" s="130"/>
      <x:c r="BB50" s="130" t="str">
        <x:v>Individual/Sole Proprietor</x:v>
      </x:c>
      <x:c r="BC50" s="130" t="str">
        <x:v>SSN</x:v>
      </x:c>
      <x:c r="BD50" s="130" t="str">
        <x:v>***-**-0109</x:v>
      </x:c>
      <x:c r="BE50" s="130"/>
      <x:c r="BF50" s="180" t="n">
        <x:v>45566</x:v>
      </x:c>
      <x:c r="BG50" s="130" t="str">
        <x:v>Received</x:v>
      </x:c>
      <x:c r="BH50" s="130" t="str">
        <x:v>Checking</x:v>
      </x:c>
      <x:c r="BI50" s="130" t="str">
        <x:v>Direct Deposit</x:v>
      </x:c>
      <x:c r="BJ50" s="180" t="n">
        <x:v>45566</x:v>
      </x:c>
      <x:c r="BK50" s="130" t="str">
        <x:v>Verified</x:v>
      </x:c>
      <x:c r="BL50" s="180" t="n">
        <x:v>45559</x:v>
      </x:c>
      <x:c r="BM50" s="130" t="str">
        <x:v>N. Brooks</x:v>
      </x:c>
      <x:c r="BN50" s="130" t="str">
        <x:v>Box truck</x:v>
      </x:c>
      <x:c r="BO50" s="130" t="str">
        <x:v>26 ft box</x:v>
      </x:c>
      <x:c r="BP50" s="130" t="str">
        <x:v>Cleveland, OH</x:v>
      </x:c>
      <x:c r="BQ50" s="130" t="n">
        <x:v>5</x:v>
      </x:c>
      <x:c r="BR50" s="130" t="n">
        <x:v>5</x:v>
      </x:c>
      <x:c r="BS50" s="130" t="n">
        <x:v>4</x:v>
      </x:c>
      <x:c r="BT50" s="130" t="n">
        <x:v>5</x:v>
      </x:c>
      <x:c r="BU50" s="130" t="n">
        <x:v>5</x:v>
      </x:c>
      <x:c r="BV50" s="130" t="n">
        <x:v>5</x:v>
      </x:c>
      <x:c r="BW50" s="130"/>
      <x:c r="BX50" s="130" t="n">
        <x:v>5</x:v>
      </x:c>
      <x:c r="BY50" s="130" t="n">
        <x:v>5</x:v>
      </x:c>
      <x:c r="BZ50" s="130" t="str">
        <x:v>Pass</x:v>
      </x:c>
      <x:c r="CA50" s="130"/>
      <x:c r="CB50" s="130" t="str">
        <x:v>Passed</x:v>
      </x:c>
      <x:c r="CC50" s="130" t="str">
        <x:v>Enrolled</x:v>
      </x:c>
      <x:c r="CD50" s="130" t="str">
        <x:v>Query Completed</x:v>
      </x:c>
      <x:c r="CE50" s="180" t="n">
        <x:v>46037</x:v>
      </x:c>
      <x:c r="CF50" s="180" t="n">
        <x:v>46218</x:v>
      </x:c>
      <x:c r="CG50" s="130"/>
      <x:c r="CH50" s="130" t="str">
        <x:v>Compliant</x:v>
      </x:c>
      <x:c r="CI50" s="130"/>
      <x:c r="CJ50" s="130" t="str">
        <x:v>Sofia</x:v>
      </x:c>
      <x:c r="CK50" s="130" t="str">
        <x:v>Gomez</x:v>
      </x:c>
      <x:c r="CL50" s="130" t="str">
        <x:v>OH0000118</x:v>
      </x:c>
      <x:c r="CM50" s="130" t="str">
        <x:v>OH</x:v>
      </x:c>
      <x:c r="CN50" s="130" t="str">
        <x:v>CDL Holder</x:v>
      </x:c>
      <x:c r="CO50" s="130" t="str">
        <x:v>Sofia Gomez</x:v>
      </x:c>
      <x:c r="CP50" s="180" t="n">
        <x:v>45009</x:v>
      </x:c>
      <x:c r="CQ50" s="180" t="n">
        <x:v>45739</x:v>
      </x:c>
      <x:c r="CR50" s="130" t="str">
        <x:v>(614) 555-0105</x:v>
      </x:c>
      <x:c r="CS50" s="130" t="str">
        <x:v>Dr. James Carter</x:v>
      </x:c>
      <x:c r="CT50" s="180" t="n">
        <x:v>45009</x:v>
      </x:c>
      <x:c r="CU50" s="130" t="str">
        <x:v>OH-ME-801071</x:v>
      </x:c>
      <x:c r="CV50" s="130" t="str">
        <x:v>ME100007</x:v>
      </x:c>
      <x:c r="CW50" s="130" t="str">
        <x:v>DO</x:v>
      </x:c>
      <x:c r="CX50" s="130" t="str">
        <x:v>OH</x:v>
      </x:c>
      <x:c r="CY50" s="130" t="str">
        <x:v>Federal Motor Carrier Safety Regulations</x:v>
      </x:c>
      <x:c r="CZ50" s="130"/>
      <x:c r="DA50" s="130" t="str">
        <x:v>No</x:v>
      </x:c>
      <x:c r="DB50" s="130" t="str">
        <x:v>No</x:v>
      </x:c>
      <x:c r="DC50" s="130" t="str">
        <x:v>No</x:v>
      </x:c>
      <x:c r="DD50" s="130" t="str">
        <x:v>No</x:v>
      </x:c>
      <x:c r="DE50" s="130" t="str">
        <x:v>No</x:v>
      </x:c>
      <x:c r="DF50" s="130" t="str">
        <x:v>No</x:v>
      </x:c>
      <x:c r="DG50" s="130" t="str">
        <x:v>Jane Doe</x:v>
      </x:c>
      <x:c r="DH50" s="130" t="str">
        <x:v>Sister</x:v>
      </x:c>
      <x:c r="DI50" s="130" t="str">
        <x:v>555-555-5555</x:v>
      </x:c>
      <x:c r="DJ50" s="130" t="str">
        <x:v>No</x:v>
      </x:c>
      <x:c r="DK50" s="130" t="str">
        <x:v>No</x:v>
      </x:c>
      <x:c r="DL50" s="130" t="str">
        <x:v>No</x:v>
      </x:c>
      <x:c r="DM50" s="130" t="str">
        <x:v>No</x:v>
      </x:c>
      <x:c r="DN50" s="130" t="str">
        <x:v>Yes - Appendectomy (2005)</x:v>
      </x:c>
      <x:c r="DO50" s="130" t="str">
        <x:v>20/20</x:v>
      </x:c>
      <x:c r="DP50" s="130" t="str">
        <x:v>20/20</x:v>
      </x:c>
      <x:c r="DQ50" s="130" t="str">
        <x:v>Pass</x:v>
      </x:c>
      <x:c r="DR50" s="130" t="str">
        <x:v>118</x:v>
      </x:c>
      <x:c r="DS50" s="130" t="str">
        <x:v>78</x:v>
      </x:c>
      <x:c r="DT50" s="130" t="str">
        <x:v>72</x:v>
      </x:c>
      <x:c r="DU50" s="130" t="str">
        <x:v>Normal</x:v>
      </x:c>
      <x:c r="DV50" s="180" t="n">
        <x:v>45392</x:v>
      </x:c>
      <x:c r="DW50" s="180" t="n">
        <x:v>45394</x:v>
      </x:c>
      <x:c r="DX50" s="130" t="str">
        <x:v>Negative</x:v>
      </x:c>
      <x:c r="DY50" s="180" t="n">
        <x:v>45397</x:v>
      </x:c>
      <x:c r="DZ50" s="130" t="str">
        <x:v>BOF Fleet Safety &amp; Compliance Policy 2024</x:v>
      </x:c>
      <x:c r="EA50" s="130" t="str">
        <x:v>Complete</x:v>
      </x:c>
      <x:c r="EB50" s="180" t="n">
        <x:v>45413</x:v>
      </x:c>
    </x:row>
    <x:row r="51">
      <x:c r="A51" s="130" t="str">
        <x:v>DRV-008</x:v>
      </x:c>
      <x:c r="B51" s="130" t="str">
        <x:v>Liam Smith</x:v>
      </x:c>
      <x:c r="C51" s="130" t="str">
        <x:v>530 Demo Street, Toledo, OH 43604</x:v>
      </x:c>
      <x:c r="D51" s="130" t="str">
        <x:v>820-555-0100</x:v>
      </x:c>
      <x:c r="E51" s="130" t="str">
        <x:v>***-**-0108</x:v>
      </x:c>
      <x:c r="F51" s="130" t="str">
        <x:v>PNC</x:v>
      </x:c>
      <x:c r="G51" s="130" t="n">
        <x:v>000000108</x:v>
      </x:c>
      <x:c r="H51" s="130" t="n">
        <x:v>999900204</x:v>
      </x:c>
      <x:c r="I51" s="130" t="str">
        <x:v>CDL Summary</x:v>
      </x:c>
      <x:c r="J51" s="130" t="str">
        <x:v>VALID</x:v>
      </x:c>
      <x:c r="K51" s="130" t="str">
        <x:v>OH0000141</x:v>
      </x:c>
      <x:c r="L51" s="180" t="n">
        <x:v>46620</x:v>
      </x:c>
      <x:c r="M51" s="180" t="n">
        <x:v>46670</x:v>
      </x:c>
      <x:c r="N51" s="180" t="n">
        <x:v>46452</x:v>
      </x:c>
      <x:c r="O51" s="130"/>
      <x:c r="P51" s="130" t="str">
        <x:v>Blonde</x:v>
      </x:c>
      <x:c r="Q51" s="130" t="str">
        <x:v>Blue</x:v>
      </x:c>
      <x:c r="R51" s="130" t="str">
        <x:v>6'-2"</x:v>
      </x:c>
      <x:c r="S51" s="130" t="n">
        <x:v>194</x:v>
      </x:c>
      <x:c r="T51" s="130" t="str">
        <x:v>M</x:v>
      </x:c>
      <x:c r="U51" s="130" t="n">
        <x:v>23377</x:v>
      </x:c>
      <x:c r="V51" s="130" t="str">
        <x:v>DRV-008.png</x:v>
      </x:c>
      <x:c r="W51" s="130" t="str">
        <x:v>Caucasian</x:v>
      </x:c>
      <x:c r="X51" s="130" t="str">
        <x:v>liamsmith@example.com</x:v>
      </x:c>
      <x:c r="Y51" s="130" t="str">
        <x:v>530 Demo Street</x:v>
      </x:c>
      <x:c r="Z51" s="130" t="str">
        <x:v>Toledo</x:v>
      </x:c>
      <x:c r="AA51" s="130" t="str">
        <x:v>OH</x:v>
      </x:c>
      <x:c r="AB51" s="130" t="n">
        <x:v>43604</x:v>
      </x:c>
      <x:c r="AC51" s="130" t="str">
        <x:v>OH</x:v>
      </x:c>
      <x:c r="AD51" s="130" t="str">
        <x:v>Class A</x:v>
      </x:c>
      <x:c r="AE51" s="180" t="n">
        <x:v>44798</x:v>
      </x:c>
      <x:c r="AF51" s="130" t="str">
        <x:v>T</x:v>
      </x:c>
      <x:c r="AG51" s="130" t="str">
        <x:v>Air brake restriction</x:v>
      </x:c>
      <x:c r="AH51" s="180" t="n">
        <x:v>45940</x:v>
      </x:c>
      <x:c r="AI51" s="130" t="str">
        <x:v>MC-0080823</x:v>
      </x:c>
      <x:c r="AJ51" s="130" t="str">
        <x:v>Dr. Alicia Brooks</x:v>
      </x:c>
      <x:c r="AK51" s="130" t="str">
        <x:v>ME100008</x:v>
      </x:c>
      <x:c r="AL51" s="130" t="str">
        <x:v>Air brake restriction</x:v>
      </x:c>
      <x:c r="AM51" s="130" t="str">
        <x:v>Qualified</x:v>
      </x:c>
      <x:c r="AN51" s="180" t="n">
        <x:v>46422</x:v>
      </x:c>
      <x:c r="AO51" s="130" t="n">
        <x:v>1</x:v>
      </x:c>
      <x:c r="AP51" s="130" t="n">
        <x:v>0</x:v>
      </x:c>
      <x:c r="AQ51" s="130" t="str">
        <x:v>Air brake restriction</x:v>
      </x:c>
      <x:c r="AR51" s="130" t="str">
        <x:v>Clear</x:v>
      </x:c>
      <x:c r="AS51" s="180" t="n">
        <x:v>45467</x:v>
      </x:c>
      <x:c r="AT51" s="130" t="str">
        <x:v>Authorized to Work</x:v>
      </x:c>
      <x:c r="AU51" s="130" t="str">
        <x:v>U.S. Passport</x:v>
      </x:c>
      <x:c r="AV51" s="130"/>
      <x:c r="AW51" s="130"/>
      <x:c r="AX51" s="180" t="n">
        <x:v>45467</x:v>
      </x:c>
      <x:c r="AY51" s="130" t="str">
        <x:v>BOF Onboarding Team</x:v>
      </x:c>
      <x:c r="AZ51" s="130" t="str">
        <x:v>Complete</x:v>
      </x:c>
      <x:c r="BA51" s="130"/>
      <x:c r="BB51" s="130" t="str">
        <x:v>Individual/Sole Proprietor</x:v>
      </x:c>
      <x:c r="BC51" s="130" t="str">
        <x:v>SSN</x:v>
      </x:c>
      <x:c r="BD51" s="130" t="str">
        <x:v>***-**-0108</x:v>
      </x:c>
      <x:c r="BE51" s="130"/>
      <x:c r="BF51" s="180" t="n">
        <x:v>45467</x:v>
      </x:c>
      <x:c r="BG51" s="130" t="str">
        <x:v>Received</x:v>
      </x:c>
      <x:c r="BH51" s="130" t="str">
        <x:v>Checking</x:v>
      </x:c>
      <x:c r="BI51" s="130" t="str">
        <x:v>Direct Deposit</x:v>
      </x:c>
      <x:c r="BJ51" s="180" t="n">
        <x:v>45467</x:v>
      </x:c>
      <x:c r="BK51" s="130" t="str">
        <x:v>Verified</x:v>
      </x:c>
      <x:c r="BL51" s="180" t="n">
        <x:v>45460</x:v>
      </x:c>
      <x:c r="BM51" s="130" t="str">
        <x:v>L. Harper</x:v>
      </x:c>
      <x:c r="BN51" s="130" t="str">
        <x:v>Day cab tractor</x:v>
      </x:c>
      <x:c r="BO51" s="130" t="str">
        <x:v>Flatbed</x:v>
      </x:c>
      <x:c r="BP51" s="130" t="str">
        <x:v>Toledo, OH</x:v>
      </x:c>
      <x:c r="BQ51" s="130" t="n">
        <x:v>4</x:v>
      </x:c>
      <x:c r="BR51" s="130" t="n">
        <x:v>5</x:v>
      </x:c>
      <x:c r="BS51" s="130" t="n">
        <x:v>4</x:v>
      </x:c>
      <x:c r="BT51" s="130" t="n">
        <x:v>4</x:v>
      </x:c>
      <x:c r="BU51" s="130" t="n">
        <x:v>4</x:v>
      </x:c>
      <x:c r="BV51" s="130" t="n">
        <x:v>5</x:v>
      </x:c>
      <x:c r="BW51" s="130" t="n">
        <x:v>4</x:v>
      </x:c>
      <x:c r="BX51" s="130" t="n">
        <x:v>4</x:v>
      </x:c>
      <x:c r="BY51" s="130" t="n">
        <x:v>4</x:v>
      </x:c>
      <x:c r="BZ51" s="130" t="str">
        <x:v>Pass</x:v>
      </x:c>
      <x:c r="CA51" s="130" t="str">
        <x:v>Air brake restriction applies</x:v>
      </x:c>
      <x:c r="CB51" s="130" t="str">
        <x:v>Passed</x:v>
      </x:c>
      <x:c r="CC51" s="130" t="str">
        <x:v>Enrolled</x:v>
      </x:c>
      <x:c r="CD51" s="130" t="str">
        <x:v>Query Completed</x:v>
      </x:c>
      <x:c r="CE51" s="180" t="n">
        <x:v>46037</x:v>
      </x:c>
      <x:c r="CF51" s="180" t="n">
        <x:v>46218</x:v>
      </x:c>
      <x:c r="CG51" s="130"/>
      <x:c r="CH51" s="130" t="str">
        <x:v>Compliant</x:v>
      </x:c>
      <x:c r="CI51" s="130"/>
      <x:c r="CJ51" s="130" t="str">
        <x:v>Liam</x:v>
      </x:c>
      <x:c r="CK51" s="130" t="str">
        <x:v>Smith</x:v>
      </x:c>
      <x:c r="CL51" s="130" t="str">
        <x:v>OH0000141</x:v>
      </x:c>
      <x:c r="CM51" s="130" t="str">
        <x:v>OH</x:v>
      </x:c>
      <x:c r="CN51" s="130" t="str">
        <x:v>CDL Holder</x:v>
      </x:c>
      <x:c r="CO51" s="130" t="str">
        <x:v>Liam Smith</x:v>
      </x:c>
      <x:c r="CP51" s="180" t="n">
        <x:v>45940</x:v>
      </x:c>
      <x:c r="CQ51" s="180" t="n">
        <x:v>46670</x:v>
      </x:c>
      <x:c r="CR51" s="130" t="str">
        <x:v>(614) 555-0114</x:v>
      </x:c>
      <x:c r="CS51" s="130" t="str">
        <x:v>Dr. Alicia Brooks</x:v>
      </x:c>
      <x:c r="CT51" s="180" t="n">
        <x:v>45940</x:v>
      </x:c>
      <x:c r="CU51" s="130" t="str">
        <x:v>OH-ME-134036</x:v>
      </x:c>
      <x:c r="CV51" s="130" t="str">
        <x:v>ME100008</x:v>
      </x:c>
      <x:c r="CW51" s="130" t="str">
        <x:v>Advanced Practice Nurse</x:v>
      </x:c>
      <x:c r="CX51" s="130" t="str">
        <x:v>OH</x:v>
      </x:c>
      <x:c r="CY51" s="130" t="str">
        <x:v>Federal Motor Carrier Safety Regulations with applicable State variances</x:v>
      </x:c>
      <x:c r="CZ51" s="130"/>
      <x:c r="DA51" s="130" t="str">
        <x:v>No</x:v>
      </x:c>
      <x:c r="DB51" s="130" t="str">
        <x:v>No</x:v>
      </x:c>
      <x:c r="DC51" s="130" t="str">
        <x:v>No</x:v>
      </x:c>
      <x:c r="DD51" s="130" t="str">
        <x:v>Yes</x:v>
      </x:c>
      <x:c r="DE51" s="130" t="str">
        <x:v>No</x:v>
      </x:c>
      <x:c r="DF51" s="130" t="str">
        <x:v>No</x:v>
      </x:c>
      <x:c r="DG51" s="130" t="str">
        <x:v>Jane Doe</x:v>
      </x:c>
      <x:c r="DH51" s="130" t="str">
        <x:v>Sister</x:v>
      </x:c>
      <x:c r="DI51" s="130" t="str">
        <x:v>555-555-5555</x:v>
      </x:c>
      <x:c r="DJ51" s="130" t="str">
        <x:v>No</x:v>
      </x:c>
      <x:c r="DK51" s="130" t="str">
        <x:v>No</x:v>
      </x:c>
      <x:c r="DL51" s="130" t="str">
        <x:v>No</x:v>
      </x:c>
      <x:c r="DM51" s="130" t="str">
        <x:v>No</x:v>
      </x:c>
      <x:c r="DN51" s="130" t="str">
        <x:v>Yes - Appendectomy (2005)</x:v>
      </x:c>
      <x:c r="DO51" s="130" t="str">
        <x:v>20/20</x:v>
      </x:c>
      <x:c r="DP51" s="130" t="str">
        <x:v>20/20</x:v>
      </x:c>
      <x:c r="DQ51" s="130" t="str">
        <x:v>Pass</x:v>
      </x:c>
      <x:c r="DR51" s="130" t="str">
        <x:v>118</x:v>
      </x:c>
      <x:c r="DS51" s="130" t="str">
        <x:v>78</x:v>
      </x:c>
      <x:c r="DT51" s="130" t="str">
        <x:v>72</x:v>
      </x:c>
      <x:c r="DU51" s="130" t="str">
        <x:v>Normal</x:v>
      </x:c>
      <x:c r="DV51" s="180" t="n">
        <x:v>45392</x:v>
      </x:c>
      <x:c r="DW51" s="180" t="n">
        <x:v>45394</x:v>
      </x:c>
      <x:c r="DX51" s="130" t="str">
        <x:v>Negative</x:v>
      </x:c>
      <x:c r="DY51" s="180" t="n">
        <x:v>45397</x:v>
      </x:c>
      <x:c r="DZ51" s="130" t="str">
        <x:v>BOF Fleet Safety &amp; Compliance Policy 2024</x:v>
      </x:c>
      <x:c r="EA51" s="130" t="str">
        <x:v>Complete</x:v>
      </x:c>
      <x:c r="EB51" s="180" t="n">
        <x:v>45413</x:v>
      </x:c>
    </x:row>
    <x:row r="52">
      <x:c r="A52" s="130" t="str">
        <x:v>DRV-008</x:v>
      </x:c>
      <x:c r="B52" s="130" t="str">
        <x:v>Liam Smith</x:v>
      </x:c>
      <x:c r="C52" s="130" t="str">
        <x:v>530 Demo Street, Toledo, OH 43604</x:v>
      </x:c>
      <x:c r="D52" s="130" t="str">
        <x:v>820-555-0100</x:v>
      </x:c>
      <x:c r="E52" s="130" t="str">
        <x:v>***-**-0108</x:v>
      </x:c>
      <x:c r="F52" s="130" t="str">
        <x:v>PNC</x:v>
      </x:c>
      <x:c r="G52" s="130" t="n">
        <x:v>000000108</x:v>
      </x:c>
      <x:c r="H52" s="130" t="n">
        <x:v>999900204</x:v>
      </x:c>
      <x:c r="I52" s="130" t="str">
        <x:v>Medical Certification</x:v>
      </x:c>
      <x:c r="J52" s="130" t="str">
        <x:v>VALID</x:v>
      </x:c>
      <x:c r="K52" s="130" t="str">
        <x:v>OH0000139</x:v>
      </x:c>
      <x:c r="L52" s="180" t="n">
        <x:v>46620</x:v>
      </x:c>
      <x:c r="M52" s="180" t="n">
        <x:v>46670</x:v>
      </x:c>
      <x:c r="N52" s="180" t="n">
        <x:v>46452</x:v>
      </x:c>
      <x:c r="O52" s="130"/>
      <x:c r="P52" s="130" t="str">
        <x:v>Blonde</x:v>
      </x:c>
      <x:c r="Q52" s="130" t="str">
        <x:v>Blue</x:v>
      </x:c>
      <x:c r="R52" s="130" t="str">
        <x:v>6'-2"</x:v>
      </x:c>
      <x:c r="S52" s="130" t="n">
        <x:v>194</x:v>
      </x:c>
      <x:c r="T52" s="130" t="str">
        <x:v>M</x:v>
      </x:c>
      <x:c r="U52" s="130" t="n">
        <x:v>23377</x:v>
      </x:c>
      <x:c r="V52" s="130" t="str">
        <x:v>DRV-008.png</x:v>
      </x:c>
      <x:c r="W52" s="130" t="str">
        <x:v>Caucasian</x:v>
      </x:c>
      <x:c r="X52" s="130" t="str">
        <x:v>liamsmith@example.com</x:v>
      </x:c>
      <x:c r="Y52" s="130" t="str">
        <x:v>530 Demo Street</x:v>
      </x:c>
      <x:c r="Z52" s="130" t="str">
        <x:v>Toledo</x:v>
      </x:c>
      <x:c r="AA52" s="130" t="str">
        <x:v>OH</x:v>
      </x:c>
      <x:c r="AB52" s="130" t="n">
        <x:v>43604</x:v>
      </x:c>
      <x:c r="AC52" s="130" t="str">
        <x:v>OH</x:v>
      </x:c>
      <x:c r="AD52" s="130" t="str">
        <x:v>Class A</x:v>
      </x:c>
      <x:c r="AE52" s="180" t="n">
        <x:v>44798</x:v>
      </x:c>
      <x:c r="AF52" s="130" t="str">
        <x:v>T</x:v>
      </x:c>
      <x:c r="AG52" s="130" t="str">
        <x:v>Air brake restriction</x:v>
      </x:c>
      <x:c r="AH52" s="180" t="n">
        <x:v>45940</x:v>
      </x:c>
      <x:c r="AI52" s="130" t="str">
        <x:v>MC-0080823</x:v>
      </x:c>
      <x:c r="AJ52" s="130" t="str">
        <x:v>Dr. Alicia Brooks</x:v>
      </x:c>
      <x:c r="AK52" s="130" t="str">
        <x:v>ME100008</x:v>
      </x:c>
      <x:c r="AL52" s="130" t="str">
        <x:v>Air brake restriction</x:v>
      </x:c>
      <x:c r="AM52" s="130" t="str">
        <x:v>Qualified</x:v>
      </x:c>
      <x:c r="AN52" s="180" t="n">
        <x:v>46422</x:v>
      </x:c>
      <x:c r="AO52" s="130" t="n">
        <x:v>1</x:v>
      </x:c>
      <x:c r="AP52" s="130" t="n">
        <x:v>0</x:v>
      </x:c>
      <x:c r="AQ52" s="130" t="str">
        <x:v>Air brake restriction</x:v>
      </x:c>
      <x:c r="AR52" s="130" t="str">
        <x:v>Clear</x:v>
      </x:c>
      <x:c r="AS52" s="180" t="n">
        <x:v>45467</x:v>
      </x:c>
      <x:c r="AT52" s="130" t="str">
        <x:v>Authorized to Work</x:v>
      </x:c>
      <x:c r="AU52" s="130" t="str">
        <x:v>U.S. Passport</x:v>
      </x:c>
      <x:c r="AV52" s="130"/>
      <x:c r="AW52" s="130"/>
      <x:c r="AX52" s="180" t="n">
        <x:v>45467</x:v>
      </x:c>
      <x:c r="AY52" s="130" t="str">
        <x:v>BOF Onboarding Team</x:v>
      </x:c>
      <x:c r="AZ52" s="130" t="str">
        <x:v>Complete</x:v>
      </x:c>
      <x:c r="BA52" s="130"/>
      <x:c r="BB52" s="130" t="str">
        <x:v>Individual/Sole Proprietor</x:v>
      </x:c>
      <x:c r="BC52" s="130" t="str">
        <x:v>SSN</x:v>
      </x:c>
      <x:c r="BD52" s="130" t="str">
        <x:v>***-**-0108</x:v>
      </x:c>
      <x:c r="BE52" s="130"/>
      <x:c r="BF52" s="180" t="n">
        <x:v>45467</x:v>
      </x:c>
      <x:c r="BG52" s="130" t="str">
        <x:v>Received</x:v>
      </x:c>
      <x:c r="BH52" s="130" t="str">
        <x:v>Checking</x:v>
      </x:c>
      <x:c r="BI52" s="130" t="str">
        <x:v>Direct Deposit</x:v>
      </x:c>
      <x:c r="BJ52" s="180" t="n">
        <x:v>45467</x:v>
      </x:c>
      <x:c r="BK52" s="130" t="str">
        <x:v>Verified</x:v>
      </x:c>
      <x:c r="BL52" s="180" t="n">
        <x:v>45460</x:v>
      </x:c>
      <x:c r="BM52" s="130" t="str">
        <x:v>L. Harper</x:v>
      </x:c>
      <x:c r="BN52" s="130" t="str">
        <x:v>Day cab tractor</x:v>
      </x:c>
      <x:c r="BO52" s="130" t="str">
        <x:v>Flatbed</x:v>
      </x:c>
      <x:c r="BP52" s="130" t="str">
        <x:v>Toledo, OH</x:v>
      </x:c>
      <x:c r="BQ52" s="130" t="n">
        <x:v>4</x:v>
      </x:c>
      <x:c r="BR52" s="130" t="n">
        <x:v>5</x:v>
      </x:c>
      <x:c r="BS52" s="130" t="n">
        <x:v>4</x:v>
      </x:c>
      <x:c r="BT52" s="130" t="n">
        <x:v>4</x:v>
      </x:c>
      <x:c r="BU52" s="130" t="n">
        <x:v>4</x:v>
      </x:c>
      <x:c r="BV52" s="130" t="n">
        <x:v>5</x:v>
      </x:c>
      <x:c r="BW52" s="130" t="n">
        <x:v>4</x:v>
      </x:c>
      <x:c r="BX52" s="130" t="n">
        <x:v>4</x:v>
      </x:c>
      <x:c r="BY52" s="130" t="n">
        <x:v>4</x:v>
      </x:c>
      <x:c r="BZ52" s="130" t="str">
        <x:v>Pass</x:v>
      </x:c>
      <x:c r="CA52" s="130" t="str">
        <x:v>Air brake restriction applies</x:v>
      </x:c>
      <x:c r="CB52" s="130" t="str">
        <x:v>Passed</x:v>
      </x:c>
      <x:c r="CC52" s="130" t="str">
        <x:v>Enrolled</x:v>
      </x:c>
      <x:c r="CD52" s="130" t="str">
        <x:v>Query Completed</x:v>
      </x:c>
      <x:c r="CE52" s="180" t="n">
        <x:v>46037</x:v>
      </x:c>
      <x:c r="CF52" s="180" t="n">
        <x:v>46218</x:v>
      </x:c>
      <x:c r="CG52" s="130"/>
      <x:c r="CH52" s="130" t="str">
        <x:v>Compliant</x:v>
      </x:c>
      <x:c r="CI52" s="130"/>
      <x:c r="CJ52" s="130" t="str">
        <x:v>Liam</x:v>
      </x:c>
      <x:c r="CK52" s="130" t="str">
        <x:v>Smith</x:v>
      </x:c>
      <x:c r="CL52" s="130" t="str">
        <x:v>OH0000142</x:v>
      </x:c>
      <x:c r="CM52" s="130" t="str">
        <x:v>OH</x:v>
      </x:c>
      <x:c r="CN52" s="130" t="str">
        <x:v>CDL Holder</x:v>
      </x:c>
      <x:c r="CO52" s="130" t="str">
        <x:v>Liam Smith</x:v>
      </x:c>
      <x:c r="CP52" s="180" t="n">
        <x:v>45940</x:v>
      </x:c>
      <x:c r="CQ52" s="180" t="n">
        <x:v>46670</x:v>
      </x:c>
      <x:c r="CR52" s="130" t="str">
        <x:v>(614) 555-0114</x:v>
      </x:c>
      <x:c r="CS52" s="130" t="str">
        <x:v>Dr. Alicia Brooks</x:v>
      </x:c>
      <x:c r="CT52" s="180" t="n">
        <x:v>45940</x:v>
      </x:c>
      <x:c r="CU52" s="130" t="str">
        <x:v>OH-ME-134036</x:v>
      </x:c>
      <x:c r="CV52" s="130" t="str">
        <x:v>ME100008</x:v>
      </x:c>
      <x:c r="CW52" s="130" t="str">
        <x:v>Advanced Practice Nurse</x:v>
      </x:c>
      <x:c r="CX52" s="130" t="str">
        <x:v>OH</x:v>
      </x:c>
      <x:c r="CY52" s="130" t="str">
        <x:v>Federal Motor Carrier Safety Regulations with applicable State variances</x:v>
      </x:c>
      <x:c r="CZ52" s="130"/>
      <x:c r="DA52" s="130" t="str">
        <x:v>No</x:v>
      </x:c>
      <x:c r="DB52" s="130" t="str">
        <x:v>No</x:v>
      </x:c>
      <x:c r="DC52" s="130" t="str">
        <x:v>No</x:v>
      </x:c>
      <x:c r="DD52" s="130" t="str">
        <x:v>Yes</x:v>
      </x:c>
      <x:c r="DE52" s="130" t="str">
        <x:v>No</x:v>
      </x:c>
      <x:c r="DF52" s="130" t="str">
        <x:v>No</x:v>
      </x:c>
      <x:c r="DG52" s="130" t="str">
        <x:v>Jane Doe</x:v>
      </x:c>
      <x:c r="DH52" s="130" t="str">
        <x:v>Sister</x:v>
      </x:c>
      <x:c r="DI52" s="130" t="str">
        <x:v>555-555-5555</x:v>
      </x:c>
      <x:c r="DJ52" s="130" t="str">
        <x:v>No</x:v>
      </x:c>
      <x:c r="DK52" s="130" t="str">
        <x:v>No</x:v>
      </x:c>
      <x:c r="DL52" s="130" t="str">
        <x:v>No</x:v>
      </x:c>
      <x:c r="DM52" s="130" t="str">
        <x:v>No</x:v>
      </x:c>
      <x:c r="DN52" s="130" t="str">
        <x:v>Yes - Appendectomy (2005)</x:v>
      </x:c>
      <x:c r="DO52" s="130" t="str">
        <x:v>20/20</x:v>
      </x:c>
      <x:c r="DP52" s="130" t="str">
        <x:v>20/20</x:v>
      </x:c>
      <x:c r="DQ52" s="130" t="str">
        <x:v>Pass</x:v>
      </x:c>
      <x:c r="DR52" s="130" t="str">
        <x:v>118</x:v>
      </x:c>
      <x:c r="DS52" s="130" t="str">
        <x:v>78</x:v>
      </x:c>
      <x:c r="DT52" s="130" t="str">
        <x:v>72</x:v>
      </x:c>
      <x:c r="DU52" s="130" t="str">
        <x:v>Normal</x:v>
      </x:c>
      <x:c r="DV52" s="180" t="n">
        <x:v>45392</x:v>
      </x:c>
      <x:c r="DW52" s="180" t="n">
        <x:v>45394</x:v>
      </x:c>
      <x:c r="DX52" s="130" t="str">
        <x:v>Negative</x:v>
      </x:c>
      <x:c r="DY52" s="180" t="n">
        <x:v>45397</x:v>
      </x:c>
      <x:c r="DZ52" s="130" t="str">
        <x:v>BOF Fleet Safety &amp; Compliance Policy 2024</x:v>
      </x:c>
      <x:c r="EA52" s="130" t="str">
        <x:v>Complete</x:v>
      </x:c>
      <x:c r="EB52" s="180" t="n">
        <x:v>45413</x:v>
      </x:c>
    </x:row>
    <x:row r="53">
      <x:c r="A53" s="130" t="str">
        <x:v>DRV-008</x:v>
      </x:c>
      <x:c r="B53" s="130" t="str">
        <x:v>Liam Smith</x:v>
      </x:c>
      <x:c r="C53" s="130" t="str">
        <x:v>530 Demo Street, Toledo, OH 43604</x:v>
      </x:c>
      <x:c r="D53" s="130" t="str">
        <x:v>820-555-0100</x:v>
      </x:c>
      <x:c r="E53" s="130" t="str">
        <x:v>***-**-0108</x:v>
      </x:c>
      <x:c r="F53" s="130" t="str">
        <x:v>PNC</x:v>
      </x:c>
      <x:c r="G53" s="130" t="n">
        <x:v>000000108</x:v>
      </x:c>
      <x:c r="H53" s="130" t="n">
        <x:v>999900204</x:v>
      </x:c>
      <x:c r="I53" s="130" t="str">
        <x:v>MVR Background Report</x:v>
      </x:c>
      <x:c r="J53" s="130" t="str">
        <x:v>VALID</x:v>
      </x:c>
      <x:c r="K53" s="130" t="str">
        <x:v>OH0000091</x:v>
      </x:c>
      <x:c r="L53" s="180" t="n">
        <x:v>46620</x:v>
      </x:c>
      <x:c r="M53" s="180" t="n">
        <x:v>46670</x:v>
      </x:c>
      <x:c r="N53" s="180" t="n">
        <x:v>46452</x:v>
      </x:c>
      <x:c r="O53" s="130"/>
      <x:c r="P53" s="130" t="str">
        <x:v>Blonde</x:v>
      </x:c>
      <x:c r="Q53" s="130" t="str">
        <x:v>Blue</x:v>
      </x:c>
      <x:c r="R53" s="130" t="str">
        <x:v>6'-2"</x:v>
      </x:c>
      <x:c r="S53" s="130" t="n">
        <x:v>194</x:v>
      </x:c>
      <x:c r="T53" s="130" t="str">
        <x:v>M</x:v>
      </x:c>
      <x:c r="U53" s="130" t="n">
        <x:v>23377</x:v>
      </x:c>
      <x:c r="V53" s="130" t="str">
        <x:v>DRV-008.png</x:v>
      </x:c>
      <x:c r="W53" s="130" t="str">
        <x:v>Caucasian</x:v>
      </x:c>
      <x:c r="X53" s="130" t="str">
        <x:v>liamsmith@example.com</x:v>
      </x:c>
      <x:c r="Y53" s="130" t="str">
        <x:v>530 Demo Street</x:v>
      </x:c>
      <x:c r="Z53" s="130" t="str">
        <x:v>Toledo</x:v>
      </x:c>
      <x:c r="AA53" s="130" t="str">
        <x:v>OH</x:v>
      </x:c>
      <x:c r="AB53" s="130" t="n">
        <x:v>43604</x:v>
      </x:c>
      <x:c r="AC53" s="130" t="str">
        <x:v>OH</x:v>
      </x:c>
      <x:c r="AD53" s="130" t="str">
        <x:v>Class A</x:v>
      </x:c>
      <x:c r="AE53" s="180" t="n">
        <x:v>44798</x:v>
      </x:c>
      <x:c r="AF53" s="130" t="str">
        <x:v>T</x:v>
      </x:c>
      <x:c r="AG53" s="130" t="str">
        <x:v>Air brake restriction</x:v>
      </x:c>
      <x:c r="AH53" s="180" t="n">
        <x:v>45940</x:v>
      </x:c>
      <x:c r="AI53" s="130" t="str">
        <x:v>MC-0080823</x:v>
      </x:c>
      <x:c r="AJ53" s="130" t="str">
        <x:v>Dr. Alicia Brooks</x:v>
      </x:c>
      <x:c r="AK53" s="130" t="str">
        <x:v>ME100008</x:v>
      </x:c>
      <x:c r="AL53" s="130" t="str">
        <x:v>Air brake restriction</x:v>
      </x:c>
      <x:c r="AM53" s="130" t="str">
        <x:v>Qualified</x:v>
      </x:c>
      <x:c r="AN53" s="180" t="n">
        <x:v>46422</x:v>
      </x:c>
      <x:c r="AO53" s="130" t="n">
        <x:v>1</x:v>
      </x:c>
      <x:c r="AP53" s="130" t="n">
        <x:v>0</x:v>
      </x:c>
      <x:c r="AQ53" s="130" t="str">
        <x:v>Air brake restriction</x:v>
      </x:c>
      <x:c r="AR53" s="130" t="str">
        <x:v>Clear</x:v>
      </x:c>
      <x:c r="AS53" s="180" t="n">
        <x:v>45467</x:v>
      </x:c>
      <x:c r="AT53" s="130" t="str">
        <x:v>Authorized to Work</x:v>
      </x:c>
      <x:c r="AU53" s="130" t="str">
        <x:v>U.S. Passport</x:v>
      </x:c>
      <x:c r="AV53" s="130"/>
      <x:c r="AW53" s="130"/>
      <x:c r="AX53" s="180" t="n">
        <x:v>45467</x:v>
      </x:c>
      <x:c r="AY53" s="130" t="str">
        <x:v>BOF Onboarding Team</x:v>
      </x:c>
      <x:c r="AZ53" s="130" t="str">
        <x:v>Complete</x:v>
      </x:c>
      <x:c r="BA53" s="130"/>
      <x:c r="BB53" s="130" t="str">
        <x:v>Individual/Sole Proprietor</x:v>
      </x:c>
      <x:c r="BC53" s="130" t="str">
        <x:v>SSN</x:v>
      </x:c>
      <x:c r="BD53" s="130" t="str">
        <x:v>***-**-0108</x:v>
      </x:c>
      <x:c r="BE53" s="130"/>
      <x:c r="BF53" s="180" t="n">
        <x:v>45467</x:v>
      </x:c>
      <x:c r="BG53" s="130" t="str">
        <x:v>Received</x:v>
      </x:c>
      <x:c r="BH53" s="130" t="str">
        <x:v>Checking</x:v>
      </x:c>
      <x:c r="BI53" s="130" t="str">
        <x:v>Direct Deposit</x:v>
      </x:c>
      <x:c r="BJ53" s="180" t="n">
        <x:v>45467</x:v>
      </x:c>
      <x:c r="BK53" s="130" t="str">
        <x:v>Verified</x:v>
      </x:c>
      <x:c r="BL53" s="180" t="n">
        <x:v>45460</x:v>
      </x:c>
      <x:c r="BM53" s="130" t="str">
        <x:v>L. Harper</x:v>
      </x:c>
      <x:c r="BN53" s="130" t="str">
        <x:v>Day cab tractor</x:v>
      </x:c>
      <x:c r="BO53" s="130" t="str">
        <x:v>Flatbed</x:v>
      </x:c>
      <x:c r="BP53" s="130" t="str">
        <x:v>Toledo, OH</x:v>
      </x:c>
      <x:c r="BQ53" s="130" t="n">
        <x:v>4</x:v>
      </x:c>
      <x:c r="BR53" s="130" t="n">
        <x:v>5</x:v>
      </x:c>
      <x:c r="BS53" s="130" t="n">
        <x:v>4</x:v>
      </x:c>
      <x:c r="BT53" s="130" t="n">
        <x:v>4</x:v>
      </x:c>
      <x:c r="BU53" s="130" t="n">
        <x:v>4</x:v>
      </x:c>
      <x:c r="BV53" s="130" t="n">
        <x:v>5</x:v>
      </x:c>
      <x:c r="BW53" s="130" t="n">
        <x:v>4</x:v>
      </x:c>
      <x:c r="BX53" s="130" t="n">
        <x:v>4</x:v>
      </x:c>
      <x:c r="BY53" s="130" t="n">
        <x:v>4</x:v>
      </x:c>
      <x:c r="BZ53" s="130" t="str">
        <x:v>Pass</x:v>
      </x:c>
      <x:c r="CA53" s="130" t="str">
        <x:v>Air brake restriction applies</x:v>
      </x:c>
      <x:c r="CB53" s="130" t="str">
        <x:v>Passed</x:v>
      </x:c>
      <x:c r="CC53" s="130" t="str">
        <x:v>Enrolled</x:v>
      </x:c>
      <x:c r="CD53" s="130" t="str">
        <x:v>Query Completed</x:v>
      </x:c>
      <x:c r="CE53" s="180" t="n">
        <x:v>46037</x:v>
      </x:c>
      <x:c r="CF53" s="180" t="n">
        <x:v>46218</x:v>
      </x:c>
      <x:c r="CG53" s="130"/>
      <x:c r="CH53" s="130" t="str">
        <x:v>Compliant</x:v>
      </x:c>
      <x:c r="CI53" s="130"/>
      <x:c r="CJ53" s="130" t="str">
        <x:v>Liam</x:v>
      </x:c>
      <x:c r="CK53" s="130" t="str">
        <x:v>Smith</x:v>
      </x:c>
      <x:c r="CL53" s="130" t="str">
        <x:v>OH0000143</x:v>
      </x:c>
      <x:c r="CM53" s="130" t="str">
        <x:v>OH</x:v>
      </x:c>
      <x:c r="CN53" s="130" t="str">
        <x:v>CDL Holder</x:v>
      </x:c>
      <x:c r="CO53" s="130" t="str">
        <x:v>Liam Smith</x:v>
      </x:c>
      <x:c r="CP53" s="180" t="n">
        <x:v>45940</x:v>
      </x:c>
      <x:c r="CQ53" s="180" t="n">
        <x:v>46670</x:v>
      </x:c>
      <x:c r="CR53" s="130" t="str">
        <x:v>(614) 555-0114</x:v>
      </x:c>
      <x:c r="CS53" s="130" t="str">
        <x:v>Dr. Alicia Brooks</x:v>
      </x:c>
      <x:c r="CT53" s="180" t="n">
        <x:v>45940</x:v>
      </x:c>
      <x:c r="CU53" s="130" t="str">
        <x:v>OH-ME-134036</x:v>
      </x:c>
      <x:c r="CV53" s="130" t="str">
        <x:v>ME100008</x:v>
      </x:c>
      <x:c r="CW53" s="130" t="str">
        <x:v>Advanced Practice Nurse</x:v>
      </x:c>
      <x:c r="CX53" s="130" t="str">
        <x:v>OH</x:v>
      </x:c>
      <x:c r="CY53" s="130" t="str">
        <x:v>Federal Motor Carrier Safety Regulations with applicable State variances</x:v>
      </x:c>
      <x:c r="CZ53" s="130"/>
      <x:c r="DA53" s="130" t="str">
        <x:v>No</x:v>
      </x:c>
      <x:c r="DB53" s="130" t="str">
        <x:v>No</x:v>
      </x:c>
      <x:c r="DC53" s="130" t="str">
        <x:v>No</x:v>
      </x:c>
      <x:c r="DD53" s="130" t="str">
        <x:v>Yes</x:v>
      </x:c>
      <x:c r="DE53" s="130" t="str">
        <x:v>No</x:v>
      </x:c>
      <x:c r="DF53" s="130" t="str">
        <x:v>No</x:v>
      </x:c>
      <x:c r="DG53" s="130" t="str">
        <x:v>Jane Doe</x:v>
      </x:c>
      <x:c r="DH53" s="130" t="str">
        <x:v>Sister</x:v>
      </x:c>
      <x:c r="DI53" s="130" t="str">
        <x:v>555-555-5555</x:v>
      </x:c>
      <x:c r="DJ53" s="130" t="str">
        <x:v>No</x:v>
      </x:c>
      <x:c r="DK53" s="130" t="str">
        <x:v>No</x:v>
      </x:c>
      <x:c r="DL53" s="130" t="str">
        <x:v>No</x:v>
      </x:c>
      <x:c r="DM53" s="130" t="str">
        <x:v>No</x:v>
      </x:c>
      <x:c r="DN53" s="130" t="str">
        <x:v>Yes - Appendectomy (2005)</x:v>
      </x:c>
      <x:c r="DO53" s="130" t="str">
        <x:v>20/20</x:v>
      </x:c>
      <x:c r="DP53" s="130" t="str">
        <x:v>20/20</x:v>
      </x:c>
      <x:c r="DQ53" s="130" t="str">
        <x:v>Pass</x:v>
      </x:c>
      <x:c r="DR53" s="130" t="str">
        <x:v>118</x:v>
      </x:c>
      <x:c r="DS53" s="130" t="str">
        <x:v>78</x:v>
      </x:c>
      <x:c r="DT53" s="130" t="str">
        <x:v>72</x:v>
      </x:c>
      <x:c r="DU53" s="130" t="str">
        <x:v>Normal</x:v>
      </x:c>
      <x:c r="DV53" s="180" t="n">
        <x:v>45392</x:v>
      </x:c>
      <x:c r="DW53" s="180" t="n">
        <x:v>45394</x:v>
      </x:c>
      <x:c r="DX53" s="130" t="str">
        <x:v>Negative</x:v>
      </x:c>
      <x:c r="DY53" s="180" t="n">
        <x:v>45397</x:v>
      </x:c>
      <x:c r="DZ53" s="130" t="str">
        <x:v>BOF Fleet Safety &amp; Compliance Policy 2024</x:v>
      </x:c>
      <x:c r="EA53" s="130" t="str">
        <x:v>Complete</x:v>
      </x:c>
      <x:c r="EB53" s="180" t="n">
        <x:v>45413</x:v>
      </x:c>
    </x:row>
    <x:row r="54">
      <x:c r="A54" s="130" t="str">
        <x:v>DRV-008</x:v>
      </x:c>
      <x:c r="B54" s="130" t="str">
        <x:v>Liam Smith</x:v>
      </x:c>
      <x:c r="C54" s="130" t="str">
        <x:v>530 Demo Street, Toledo, OH 43604</x:v>
      </x:c>
      <x:c r="D54" s="130" t="str">
        <x:v>820-555-0100</x:v>
      </x:c>
      <x:c r="E54" s="130" t="str">
        <x:v>***-**-0108</x:v>
      </x:c>
      <x:c r="F54" s="130" t="str">
        <x:v>PNC</x:v>
      </x:c>
      <x:c r="G54" s="130" t="n">
        <x:v>000000108</x:v>
      </x:c>
      <x:c r="H54" s="130" t="n">
        <x:v>999900204</x:v>
      </x:c>
      <x:c r="I54" s="130" t="str">
        <x:v>Driver Application</x:v>
      </x:c>
      <x:c r="J54" s="130" t="str">
        <x:v>VALID</x:v>
      </x:c>
      <x:c r="K54" s="130" t="str">
        <x:v>OH0000128</x:v>
      </x:c>
      <x:c r="L54" s="180" t="n">
        <x:v>46620</x:v>
      </x:c>
      <x:c r="M54" s="180" t="n">
        <x:v>46670</x:v>
      </x:c>
      <x:c r="N54" s="180" t="n">
        <x:v>46452</x:v>
      </x:c>
      <x:c r="O54" s="130"/>
      <x:c r="P54" s="130" t="str">
        <x:v>Blonde</x:v>
      </x:c>
      <x:c r="Q54" s="130" t="str">
        <x:v>Blue</x:v>
      </x:c>
      <x:c r="R54" s="130" t="str">
        <x:v>6'-2"</x:v>
      </x:c>
      <x:c r="S54" s="130" t="n">
        <x:v>194</x:v>
      </x:c>
      <x:c r="T54" s="130" t="str">
        <x:v>M</x:v>
      </x:c>
      <x:c r="U54" s="130" t="n">
        <x:v>23377</x:v>
      </x:c>
      <x:c r="V54" s="130" t="str">
        <x:v>DRV-008.png</x:v>
      </x:c>
      <x:c r="W54" s="130" t="str">
        <x:v>Caucasian</x:v>
      </x:c>
      <x:c r="X54" s="130" t="str">
        <x:v>liamsmith@example.com</x:v>
      </x:c>
      <x:c r="Y54" s="130" t="str">
        <x:v>530 Demo Street</x:v>
      </x:c>
      <x:c r="Z54" s="130" t="str">
        <x:v>Toledo</x:v>
      </x:c>
      <x:c r="AA54" s="130" t="str">
        <x:v>OH</x:v>
      </x:c>
      <x:c r="AB54" s="130" t="n">
        <x:v>43604</x:v>
      </x:c>
      <x:c r="AC54" s="130" t="str">
        <x:v>OH</x:v>
      </x:c>
      <x:c r="AD54" s="130" t="str">
        <x:v>Class A</x:v>
      </x:c>
      <x:c r="AE54" s="180" t="n">
        <x:v>44798</x:v>
      </x:c>
      <x:c r="AF54" s="130" t="str">
        <x:v>T</x:v>
      </x:c>
      <x:c r="AG54" s="130" t="str">
        <x:v>Air brake restriction</x:v>
      </x:c>
      <x:c r="AH54" s="180" t="n">
        <x:v>45940</x:v>
      </x:c>
      <x:c r="AI54" s="130" t="str">
        <x:v>MC-0080823</x:v>
      </x:c>
      <x:c r="AJ54" s="130" t="str">
        <x:v>Dr. Alicia Brooks</x:v>
      </x:c>
      <x:c r="AK54" s="130" t="str">
        <x:v>ME100008</x:v>
      </x:c>
      <x:c r="AL54" s="130" t="str">
        <x:v>Air brake restriction</x:v>
      </x:c>
      <x:c r="AM54" s="130" t="str">
        <x:v>Qualified</x:v>
      </x:c>
      <x:c r="AN54" s="180" t="n">
        <x:v>46422</x:v>
      </x:c>
      <x:c r="AO54" s="130" t="n">
        <x:v>1</x:v>
      </x:c>
      <x:c r="AP54" s="130" t="n">
        <x:v>0</x:v>
      </x:c>
      <x:c r="AQ54" s="130" t="str">
        <x:v>Air brake restriction</x:v>
      </x:c>
      <x:c r="AR54" s="130" t="str">
        <x:v>Clear</x:v>
      </x:c>
      <x:c r="AS54" s="180" t="n">
        <x:v>45467</x:v>
      </x:c>
      <x:c r="AT54" s="130" t="str">
        <x:v>Authorized to Work</x:v>
      </x:c>
      <x:c r="AU54" s="130" t="str">
        <x:v>U.S. Passport</x:v>
      </x:c>
      <x:c r="AV54" s="130"/>
      <x:c r="AW54" s="130"/>
      <x:c r="AX54" s="180" t="n">
        <x:v>45467</x:v>
      </x:c>
      <x:c r="AY54" s="130" t="str">
        <x:v>BOF Onboarding Team</x:v>
      </x:c>
      <x:c r="AZ54" s="130" t="str">
        <x:v>Complete</x:v>
      </x:c>
      <x:c r="BA54" s="130"/>
      <x:c r="BB54" s="130" t="str">
        <x:v>Individual/Sole Proprietor</x:v>
      </x:c>
      <x:c r="BC54" s="130" t="str">
        <x:v>SSN</x:v>
      </x:c>
      <x:c r="BD54" s="130" t="str">
        <x:v>***-**-0108</x:v>
      </x:c>
      <x:c r="BE54" s="130"/>
      <x:c r="BF54" s="180" t="n">
        <x:v>45467</x:v>
      </x:c>
      <x:c r="BG54" s="130" t="str">
        <x:v>Received</x:v>
      </x:c>
      <x:c r="BH54" s="130" t="str">
        <x:v>Checking</x:v>
      </x:c>
      <x:c r="BI54" s="130" t="str">
        <x:v>Direct Deposit</x:v>
      </x:c>
      <x:c r="BJ54" s="180" t="n">
        <x:v>45467</x:v>
      </x:c>
      <x:c r="BK54" s="130" t="str">
        <x:v>Verified</x:v>
      </x:c>
      <x:c r="BL54" s="180" t="n">
        <x:v>45460</x:v>
      </x:c>
      <x:c r="BM54" s="130" t="str">
        <x:v>L. Harper</x:v>
      </x:c>
      <x:c r="BN54" s="130" t="str">
        <x:v>Day cab tractor</x:v>
      </x:c>
      <x:c r="BO54" s="130" t="str">
        <x:v>Flatbed</x:v>
      </x:c>
      <x:c r="BP54" s="130" t="str">
        <x:v>Toledo, OH</x:v>
      </x:c>
      <x:c r="BQ54" s="130" t="n">
        <x:v>4</x:v>
      </x:c>
      <x:c r="BR54" s="130" t="n">
        <x:v>5</x:v>
      </x:c>
      <x:c r="BS54" s="130" t="n">
        <x:v>4</x:v>
      </x:c>
      <x:c r="BT54" s="130" t="n">
        <x:v>4</x:v>
      </x:c>
      <x:c r="BU54" s="130" t="n">
        <x:v>4</x:v>
      </x:c>
      <x:c r="BV54" s="130" t="n">
        <x:v>5</x:v>
      </x:c>
      <x:c r="BW54" s="130" t="n">
        <x:v>4</x:v>
      </x:c>
      <x:c r="BX54" s="130" t="n">
        <x:v>4</x:v>
      </x:c>
      <x:c r="BY54" s="130" t="n">
        <x:v>4</x:v>
      </x:c>
      <x:c r="BZ54" s="130" t="str">
        <x:v>Pass</x:v>
      </x:c>
      <x:c r="CA54" s="130" t="str">
        <x:v>Air brake restriction applies</x:v>
      </x:c>
      <x:c r="CB54" s="130" t="str">
        <x:v>Passed</x:v>
      </x:c>
      <x:c r="CC54" s="130" t="str">
        <x:v>Enrolled</x:v>
      </x:c>
      <x:c r="CD54" s="130" t="str">
        <x:v>Query Completed</x:v>
      </x:c>
      <x:c r="CE54" s="180" t="n">
        <x:v>46037</x:v>
      </x:c>
      <x:c r="CF54" s="180" t="n">
        <x:v>46218</x:v>
      </x:c>
      <x:c r="CG54" s="130"/>
      <x:c r="CH54" s="130" t="str">
        <x:v>Compliant</x:v>
      </x:c>
      <x:c r="CI54" s="130"/>
      <x:c r="CJ54" s="130" t="str">
        <x:v>Liam</x:v>
      </x:c>
      <x:c r="CK54" s="130" t="str">
        <x:v>Smith</x:v>
      </x:c>
      <x:c r="CL54" s="130" t="str">
        <x:v>OH0000144</x:v>
      </x:c>
      <x:c r="CM54" s="130" t="str">
        <x:v>OH</x:v>
      </x:c>
      <x:c r="CN54" s="130" t="str">
        <x:v>CDL Holder</x:v>
      </x:c>
      <x:c r="CO54" s="130" t="str">
        <x:v>Liam Smith</x:v>
      </x:c>
      <x:c r="CP54" s="180" t="n">
        <x:v>45940</x:v>
      </x:c>
      <x:c r="CQ54" s="180" t="n">
        <x:v>46670</x:v>
      </x:c>
      <x:c r="CR54" s="130" t="str">
        <x:v>(614) 555-0114</x:v>
      </x:c>
      <x:c r="CS54" s="130" t="str">
        <x:v>Dr. Alicia Brooks</x:v>
      </x:c>
      <x:c r="CT54" s="180" t="n">
        <x:v>45940</x:v>
      </x:c>
      <x:c r="CU54" s="130" t="str">
        <x:v>OH-ME-134036</x:v>
      </x:c>
      <x:c r="CV54" s="130" t="str">
        <x:v>ME100008</x:v>
      </x:c>
      <x:c r="CW54" s="130" t="str">
        <x:v>Advanced Practice Nurse</x:v>
      </x:c>
      <x:c r="CX54" s="130" t="str">
        <x:v>OH</x:v>
      </x:c>
      <x:c r="CY54" s="130" t="str">
        <x:v>Federal Motor Carrier Safety Regulations with applicable State variances</x:v>
      </x:c>
      <x:c r="CZ54" s="130"/>
      <x:c r="DA54" s="130" t="str">
        <x:v>No</x:v>
      </x:c>
      <x:c r="DB54" s="130" t="str">
        <x:v>No</x:v>
      </x:c>
      <x:c r="DC54" s="130" t="str">
        <x:v>No</x:v>
      </x:c>
      <x:c r="DD54" s="130" t="str">
        <x:v>Yes</x:v>
      </x:c>
      <x:c r="DE54" s="130" t="str">
        <x:v>No</x:v>
      </x:c>
      <x:c r="DF54" s="130" t="str">
        <x:v>No</x:v>
      </x:c>
      <x:c r="DG54" s="130" t="str">
        <x:v>Jane Doe</x:v>
      </x:c>
      <x:c r="DH54" s="130" t="str">
        <x:v>Sister</x:v>
      </x:c>
      <x:c r="DI54" s="130" t="str">
        <x:v>555-555-5555</x:v>
      </x:c>
      <x:c r="DJ54" s="130" t="str">
        <x:v>No</x:v>
      </x:c>
      <x:c r="DK54" s="130" t="str">
        <x:v>No</x:v>
      </x:c>
      <x:c r="DL54" s="130" t="str">
        <x:v>No</x:v>
      </x:c>
      <x:c r="DM54" s="130" t="str">
        <x:v>No</x:v>
      </x:c>
      <x:c r="DN54" s="130" t="str">
        <x:v>Yes - Appendectomy (2005)</x:v>
      </x:c>
      <x:c r="DO54" s="130" t="str">
        <x:v>20/20</x:v>
      </x:c>
      <x:c r="DP54" s="130" t="str">
        <x:v>20/20</x:v>
      </x:c>
      <x:c r="DQ54" s="130" t="str">
        <x:v>Pass</x:v>
      </x:c>
      <x:c r="DR54" s="130" t="str">
        <x:v>118</x:v>
      </x:c>
      <x:c r="DS54" s="130" t="str">
        <x:v>78</x:v>
      </x:c>
      <x:c r="DT54" s="130" t="str">
        <x:v>72</x:v>
      </x:c>
      <x:c r="DU54" s="130" t="str">
        <x:v>Normal</x:v>
      </x:c>
      <x:c r="DV54" s="180" t="n">
        <x:v>45392</x:v>
      </x:c>
      <x:c r="DW54" s="180" t="n">
        <x:v>45394</x:v>
      </x:c>
      <x:c r="DX54" s="130" t="str">
        <x:v>Negative</x:v>
      </x:c>
      <x:c r="DY54" s="180" t="n">
        <x:v>45397</x:v>
      </x:c>
      <x:c r="DZ54" s="130" t="str">
        <x:v>BOF Fleet Safety &amp; Compliance Policy 2024</x:v>
      </x:c>
      <x:c r="EA54" s="130" t="str">
        <x:v>Complete</x:v>
      </x:c>
      <x:c r="EB54" s="180" t="n">
        <x:v>45413</x:v>
      </x:c>
    </x:row>
    <x:row r="55">
      <x:c r="A55" s="130" t="str">
        <x:v>DRV-008</x:v>
      </x:c>
      <x:c r="B55" s="130" t="str">
        <x:v>Liam Smith</x:v>
      </x:c>
      <x:c r="C55" s="130" t="str">
        <x:v>530 Demo Street, Toledo, OH 43604</x:v>
      </x:c>
      <x:c r="D55" s="130" t="str">
        <x:v>820-555-0100</x:v>
      </x:c>
      <x:c r="E55" s="130" t="str">
        <x:v>***-**-0108</x:v>
      </x:c>
      <x:c r="F55" s="130" t="str">
        <x:v>PNC</x:v>
      </x:c>
      <x:c r="G55" s="130" t="n">
        <x:v>000000108</x:v>
      </x:c>
      <x:c r="H55" s="130" t="n">
        <x:v>999900204</x:v>
      </x:c>
      <x:c r="I55" s="130" t="str">
        <x:v>Road Test Certificate</x:v>
      </x:c>
      <x:c r="J55" s="130" t="str">
        <x:v>VALID</x:v>
      </x:c>
      <x:c r="K55" s="130" t="str">
        <x:v>OH0000094</x:v>
      </x:c>
      <x:c r="L55" s="180" t="n">
        <x:v>46620</x:v>
      </x:c>
      <x:c r="M55" s="180" t="n">
        <x:v>46670</x:v>
      </x:c>
      <x:c r="N55" s="180" t="n">
        <x:v>46452</x:v>
      </x:c>
      <x:c r="O55" s="130"/>
      <x:c r="P55" s="130" t="str">
        <x:v>Blonde</x:v>
      </x:c>
      <x:c r="Q55" s="130" t="str">
        <x:v>Blue</x:v>
      </x:c>
      <x:c r="R55" s="130" t="str">
        <x:v>6'-2"</x:v>
      </x:c>
      <x:c r="S55" s="130" t="n">
        <x:v>194</x:v>
      </x:c>
      <x:c r="T55" s="130" t="str">
        <x:v>M</x:v>
      </x:c>
      <x:c r="U55" s="130" t="n">
        <x:v>23377</x:v>
      </x:c>
      <x:c r="V55" s="130" t="str">
        <x:v>DRV-008.png</x:v>
      </x:c>
      <x:c r="W55" s="130" t="str">
        <x:v>Caucasian</x:v>
      </x:c>
      <x:c r="X55" s="130" t="str">
        <x:v>liamsmith@example.com</x:v>
      </x:c>
      <x:c r="Y55" s="130" t="str">
        <x:v>530 Demo Street</x:v>
      </x:c>
      <x:c r="Z55" s="130" t="str">
        <x:v>Toledo</x:v>
      </x:c>
      <x:c r="AA55" s="130" t="str">
        <x:v>OH</x:v>
      </x:c>
      <x:c r="AB55" s="130" t="n">
        <x:v>43604</x:v>
      </x:c>
      <x:c r="AC55" s="130" t="str">
        <x:v>OH</x:v>
      </x:c>
      <x:c r="AD55" s="130" t="str">
        <x:v>Class A</x:v>
      </x:c>
      <x:c r="AE55" s="180" t="n">
        <x:v>44798</x:v>
      </x:c>
      <x:c r="AF55" s="130" t="str">
        <x:v>T</x:v>
      </x:c>
      <x:c r="AG55" s="130" t="str">
        <x:v>Air brake restriction</x:v>
      </x:c>
      <x:c r="AH55" s="180" t="n">
        <x:v>45940</x:v>
      </x:c>
      <x:c r="AI55" s="130" t="str">
        <x:v>MC-0080823</x:v>
      </x:c>
      <x:c r="AJ55" s="130" t="str">
        <x:v>Dr. Alicia Brooks</x:v>
      </x:c>
      <x:c r="AK55" s="130" t="str">
        <x:v>ME100008</x:v>
      </x:c>
      <x:c r="AL55" s="130" t="str">
        <x:v>Air brake restriction</x:v>
      </x:c>
      <x:c r="AM55" s="130" t="str">
        <x:v>Qualified</x:v>
      </x:c>
      <x:c r="AN55" s="180" t="n">
        <x:v>46422</x:v>
      </x:c>
      <x:c r="AO55" s="130" t="n">
        <x:v>1</x:v>
      </x:c>
      <x:c r="AP55" s="130" t="n">
        <x:v>0</x:v>
      </x:c>
      <x:c r="AQ55" s="130" t="str">
        <x:v>Air brake restriction</x:v>
      </x:c>
      <x:c r="AR55" s="130" t="str">
        <x:v>Clear</x:v>
      </x:c>
      <x:c r="AS55" s="180" t="n">
        <x:v>45467</x:v>
      </x:c>
      <x:c r="AT55" s="130" t="str">
        <x:v>Authorized to Work</x:v>
      </x:c>
      <x:c r="AU55" s="130" t="str">
        <x:v>U.S. Passport</x:v>
      </x:c>
      <x:c r="AV55" s="130"/>
      <x:c r="AW55" s="130"/>
      <x:c r="AX55" s="180" t="n">
        <x:v>45467</x:v>
      </x:c>
      <x:c r="AY55" s="130" t="str">
        <x:v>BOF Onboarding Team</x:v>
      </x:c>
      <x:c r="AZ55" s="130" t="str">
        <x:v>Complete</x:v>
      </x:c>
      <x:c r="BA55" s="130"/>
      <x:c r="BB55" s="130" t="str">
        <x:v>Individual/Sole Proprietor</x:v>
      </x:c>
      <x:c r="BC55" s="130" t="str">
        <x:v>SSN</x:v>
      </x:c>
      <x:c r="BD55" s="130" t="str">
        <x:v>***-**-0108</x:v>
      </x:c>
      <x:c r="BE55" s="130"/>
      <x:c r="BF55" s="180" t="n">
        <x:v>45467</x:v>
      </x:c>
      <x:c r="BG55" s="130" t="str">
        <x:v>Received</x:v>
      </x:c>
      <x:c r="BH55" s="130" t="str">
        <x:v>Checking</x:v>
      </x:c>
      <x:c r="BI55" s="130" t="str">
        <x:v>Direct Deposit</x:v>
      </x:c>
      <x:c r="BJ55" s="180" t="n">
        <x:v>45467</x:v>
      </x:c>
      <x:c r="BK55" s="130" t="str">
        <x:v>Verified</x:v>
      </x:c>
      <x:c r="BL55" s="180" t="n">
        <x:v>45460</x:v>
      </x:c>
      <x:c r="BM55" s="130" t="str">
        <x:v>L. Harper</x:v>
      </x:c>
      <x:c r="BN55" s="130" t="str">
        <x:v>Day cab tractor</x:v>
      </x:c>
      <x:c r="BO55" s="130" t="str">
        <x:v>Flatbed</x:v>
      </x:c>
      <x:c r="BP55" s="130" t="str">
        <x:v>Toledo, OH</x:v>
      </x:c>
      <x:c r="BQ55" s="130" t="n">
        <x:v>4</x:v>
      </x:c>
      <x:c r="BR55" s="130" t="n">
        <x:v>5</x:v>
      </x:c>
      <x:c r="BS55" s="130" t="n">
        <x:v>4</x:v>
      </x:c>
      <x:c r="BT55" s="130" t="n">
        <x:v>4</x:v>
      </x:c>
      <x:c r="BU55" s="130" t="n">
        <x:v>4</x:v>
      </x:c>
      <x:c r="BV55" s="130" t="n">
        <x:v>5</x:v>
      </x:c>
      <x:c r="BW55" s="130" t="n">
        <x:v>4</x:v>
      </x:c>
      <x:c r="BX55" s="130" t="n">
        <x:v>4</x:v>
      </x:c>
      <x:c r="BY55" s="130" t="n">
        <x:v>4</x:v>
      </x:c>
      <x:c r="BZ55" s="130" t="str">
        <x:v>Pass</x:v>
      </x:c>
      <x:c r="CA55" s="130" t="str">
        <x:v>Air brake restriction applies</x:v>
      </x:c>
      <x:c r="CB55" s="130" t="str">
        <x:v>Passed</x:v>
      </x:c>
      <x:c r="CC55" s="130" t="str">
        <x:v>Enrolled</x:v>
      </x:c>
      <x:c r="CD55" s="130" t="str">
        <x:v>Query Completed</x:v>
      </x:c>
      <x:c r="CE55" s="180" t="n">
        <x:v>46037</x:v>
      </x:c>
      <x:c r="CF55" s="180" t="n">
        <x:v>46218</x:v>
      </x:c>
      <x:c r="CG55" s="130"/>
      <x:c r="CH55" s="130" t="str">
        <x:v>Compliant</x:v>
      </x:c>
      <x:c r="CI55" s="130"/>
      <x:c r="CJ55" s="130" t="str">
        <x:v>Liam</x:v>
      </x:c>
      <x:c r="CK55" s="130" t="str">
        <x:v>Smith</x:v>
      </x:c>
      <x:c r="CL55" s="130" t="str">
        <x:v>OH0000145</x:v>
      </x:c>
      <x:c r="CM55" s="130" t="str">
        <x:v>OH</x:v>
      </x:c>
      <x:c r="CN55" s="130" t="str">
        <x:v>CDL Holder</x:v>
      </x:c>
      <x:c r="CO55" s="130" t="str">
        <x:v>Liam Smith</x:v>
      </x:c>
      <x:c r="CP55" s="180" t="n">
        <x:v>45940</x:v>
      </x:c>
      <x:c r="CQ55" s="180" t="n">
        <x:v>46670</x:v>
      </x:c>
      <x:c r="CR55" s="130" t="str">
        <x:v>(614) 555-0114</x:v>
      </x:c>
      <x:c r="CS55" s="130" t="str">
        <x:v>Dr. Alicia Brooks</x:v>
      </x:c>
      <x:c r="CT55" s="180" t="n">
        <x:v>45940</x:v>
      </x:c>
      <x:c r="CU55" s="130" t="str">
        <x:v>OH-ME-134036</x:v>
      </x:c>
      <x:c r="CV55" s="130" t="str">
        <x:v>ME100008</x:v>
      </x:c>
      <x:c r="CW55" s="130" t="str">
        <x:v>Advanced Practice Nurse</x:v>
      </x:c>
      <x:c r="CX55" s="130" t="str">
        <x:v>OH</x:v>
      </x:c>
      <x:c r="CY55" s="130" t="str">
        <x:v>Federal Motor Carrier Safety Regulations with applicable State variances</x:v>
      </x:c>
      <x:c r="CZ55" s="130"/>
      <x:c r="DA55" s="130" t="str">
        <x:v>No</x:v>
      </x:c>
      <x:c r="DB55" s="130" t="str">
        <x:v>No</x:v>
      </x:c>
      <x:c r="DC55" s="130" t="str">
        <x:v>No</x:v>
      </x:c>
      <x:c r="DD55" s="130" t="str">
        <x:v>Yes</x:v>
      </x:c>
      <x:c r="DE55" s="130" t="str">
        <x:v>No</x:v>
      </x:c>
      <x:c r="DF55" s="130" t="str">
        <x:v>No</x:v>
      </x:c>
      <x:c r="DG55" s="130" t="str">
        <x:v>Jane Doe</x:v>
      </x:c>
      <x:c r="DH55" s="130" t="str">
        <x:v>Sister</x:v>
      </x:c>
      <x:c r="DI55" s="130" t="str">
        <x:v>555-555-5555</x:v>
      </x:c>
      <x:c r="DJ55" s="130" t="str">
        <x:v>No</x:v>
      </x:c>
      <x:c r="DK55" s="130" t="str">
        <x:v>No</x:v>
      </x:c>
      <x:c r="DL55" s="130" t="str">
        <x:v>No</x:v>
      </x:c>
      <x:c r="DM55" s="130" t="str">
        <x:v>No</x:v>
      </x:c>
      <x:c r="DN55" s="130" t="str">
        <x:v>Yes - Appendectomy (2005)</x:v>
      </x:c>
      <x:c r="DO55" s="130" t="str">
        <x:v>20/20</x:v>
      </x:c>
      <x:c r="DP55" s="130" t="str">
        <x:v>20/20</x:v>
      </x:c>
      <x:c r="DQ55" s="130" t="str">
        <x:v>Pass</x:v>
      </x:c>
      <x:c r="DR55" s="130" t="str">
        <x:v>118</x:v>
      </x:c>
      <x:c r="DS55" s="130" t="str">
        <x:v>78</x:v>
      </x:c>
      <x:c r="DT55" s="130" t="str">
        <x:v>72</x:v>
      </x:c>
      <x:c r="DU55" s="130" t="str">
        <x:v>Normal</x:v>
      </x:c>
      <x:c r="DV55" s="180" t="n">
        <x:v>45392</x:v>
      </x:c>
      <x:c r="DW55" s="180" t="n">
        <x:v>45394</x:v>
      </x:c>
      <x:c r="DX55" s="130" t="str">
        <x:v>Negative</x:v>
      </x:c>
      <x:c r="DY55" s="180" t="n">
        <x:v>45397</x:v>
      </x:c>
      <x:c r="DZ55" s="130" t="str">
        <x:v>BOF Fleet Safety &amp; Compliance Policy 2024</x:v>
      </x:c>
      <x:c r="EA55" s="130" t="str">
        <x:v>Complete</x:v>
      </x:c>
      <x:c r="EB55" s="180" t="n">
        <x:v>45413</x:v>
      </x:c>
    </x:row>
    <x:row r="56">
      <x:c r="A56" s="130" t="str">
        <x:v>DRV-008</x:v>
      </x:c>
      <x:c r="B56" s="130" t="str">
        <x:v>Liam Smith</x:v>
      </x:c>
      <x:c r="C56" s="130" t="str">
        <x:v>530 Demo Street, Toledo, OH 43604</x:v>
      </x:c>
      <x:c r="D56" s="130" t="str">
        <x:v>820-555-0100</x:v>
      </x:c>
      <x:c r="E56" s="130" t="str">
        <x:v>***-**-0108</x:v>
      </x:c>
      <x:c r="F56" s="130" t="str">
        <x:v>PNC</x:v>
      </x:c>
      <x:c r="G56" s="130" t="n">
        <x:v>000000108</x:v>
      </x:c>
      <x:c r="H56" s="130" t="n">
        <x:v>999900204</x:v>
      </x:c>
      <x:c r="I56" s="130" t="str">
        <x:v>Incident/Accident Report</x:v>
      </x:c>
      <x:c r="J56" s="130" t="str">
        <x:v>VALID</x:v>
      </x:c>
      <x:c r="K56" s="130" t="str">
        <x:v>OH0000098</x:v>
      </x:c>
      <x:c r="L56" s="180" t="n">
        <x:v>46620</x:v>
      </x:c>
      <x:c r="M56" s="180" t="n">
        <x:v>46670</x:v>
      </x:c>
      <x:c r="N56" s="180" t="n">
        <x:v>46452</x:v>
      </x:c>
      <x:c r="O56" s="130" t="str">
        <x:v>No major incidents recorded in last 90 days.</x:v>
      </x:c>
      <x:c r="P56" s="130" t="str">
        <x:v>Blonde</x:v>
      </x:c>
      <x:c r="Q56" s="130" t="str">
        <x:v>Blue</x:v>
      </x:c>
      <x:c r="R56" s="130" t="str">
        <x:v>6'-2"</x:v>
      </x:c>
      <x:c r="S56" s="130" t="n">
        <x:v>194</x:v>
      </x:c>
      <x:c r="T56" s="130" t="str">
        <x:v>M</x:v>
      </x:c>
      <x:c r="U56" s="130" t="n">
        <x:v>23377</x:v>
      </x:c>
      <x:c r="V56" s="130" t="str">
        <x:v>DRV-008.png</x:v>
      </x:c>
      <x:c r="W56" s="130" t="str">
        <x:v>Caucasian</x:v>
      </x:c>
      <x:c r="X56" s="130" t="str">
        <x:v>liamsmith@example.com</x:v>
      </x:c>
      <x:c r="Y56" s="130" t="str">
        <x:v>530 Demo Street</x:v>
      </x:c>
      <x:c r="Z56" s="130" t="str">
        <x:v>Toledo</x:v>
      </x:c>
      <x:c r="AA56" s="130" t="str">
        <x:v>OH</x:v>
      </x:c>
      <x:c r="AB56" s="130" t="n">
        <x:v>43604</x:v>
      </x:c>
      <x:c r="AC56" s="130" t="str">
        <x:v>OH</x:v>
      </x:c>
      <x:c r="AD56" s="130" t="str">
        <x:v>Class A</x:v>
      </x:c>
      <x:c r="AE56" s="180" t="n">
        <x:v>44798</x:v>
      </x:c>
      <x:c r="AF56" s="130" t="str">
        <x:v>T</x:v>
      </x:c>
      <x:c r="AG56" s="130" t="str">
        <x:v>Air brake restriction</x:v>
      </x:c>
      <x:c r="AH56" s="180" t="n">
        <x:v>45940</x:v>
      </x:c>
      <x:c r="AI56" s="130" t="str">
        <x:v>MC-0080823</x:v>
      </x:c>
      <x:c r="AJ56" s="130" t="str">
        <x:v>Dr. Alicia Brooks</x:v>
      </x:c>
      <x:c r="AK56" s="130" t="str">
        <x:v>ME100008</x:v>
      </x:c>
      <x:c r="AL56" s="130" t="str">
        <x:v>Air brake restriction</x:v>
      </x:c>
      <x:c r="AM56" s="130" t="str">
        <x:v>Qualified</x:v>
      </x:c>
      <x:c r="AN56" s="180" t="n">
        <x:v>46422</x:v>
      </x:c>
      <x:c r="AO56" s="130" t="n">
        <x:v>1</x:v>
      </x:c>
      <x:c r="AP56" s="130" t="n">
        <x:v>0</x:v>
      </x:c>
      <x:c r="AQ56" s="130" t="str">
        <x:v>Air brake restriction</x:v>
      </x:c>
      <x:c r="AR56" s="130" t="str">
        <x:v>Clear</x:v>
      </x:c>
      <x:c r="AS56" s="180" t="n">
        <x:v>45467</x:v>
      </x:c>
      <x:c r="AT56" s="130" t="str">
        <x:v>Authorized to Work</x:v>
      </x:c>
      <x:c r="AU56" s="130" t="str">
        <x:v>U.S. Passport</x:v>
      </x:c>
      <x:c r="AV56" s="130"/>
      <x:c r="AW56" s="130"/>
      <x:c r="AX56" s="180" t="n">
        <x:v>45467</x:v>
      </x:c>
      <x:c r="AY56" s="130" t="str">
        <x:v>BOF Onboarding Team</x:v>
      </x:c>
      <x:c r="AZ56" s="130" t="str">
        <x:v>Complete</x:v>
      </x:c>
      <x:c r="BA56" s="130"/>
      <x:c r="BB56" s="130" t="str">
        <x:v>Individual/Sole Proprietor</x:v>
      </x:c>
      <x:c r="BC56" s="130" t="str">
        <x:v>SSN</x:v>
      </x:c>
      <x:c r="BD56" s="130" t="str">
        <x:v>***-**-0108</x:v>
      </x:c>
      <x:c r="BE56" s="130"/>
      <x:c r="BF56" s="180" t="n">
        <x:v>45467</x:v>
      </x:c>
      <x:c r="BG56" s="130" t="str">
        <x:v>Received</x:v>
      </x:c>
      <x:c r="BH56" s="130" t="str">
        <x:v>Checking</x:v>
      </x:c>
      <x:c r="BI56" s="130" t="str">
        <x:v>Direct Deposit</x:v>
      </x:c>
      <x:c r="BJ56" s="180" t="n">
        <x:v>45467</x:v>
      </x:c>
      <x:c r="BK56" s="130" t="str">
        <x:v>Verified</x:v>
      </x:c>
      <x:c r="BL56" s="180" t="n">
        <x:v>45460</x:v>
      </x:c>
      <x:c r="BM56" s="130" t="str">
        <x:v>L. Harper</x:v>
      </x:c>
      <x:c r="BN56" s="130" t="str">
        <x:v>Day cab tractor</x:v>
      </x:c>
      <x:c r="BO56" s="130" t="str">
        <x:v>Flatbed</x:v>
      </x:c>
      <x:c r="BP56" s="130" t="str">
        <x:v>Toledo, OH</x:v>
      </x:c>
      <x:c r="BQ56" s="130" t="n">
        <x:v>4</x:v>
      </x:c>
      <x:c r="BR56" s="130" t="n">
        <x:v>5</x:v>
      </x:c>
      <x:c r="BS56" s="130" t="n">
        <x:v>4</x:v>
      </x:c>
      <x:c r="BT56" s="130" t="n">
        <x:v>4</x:v>
      </x:c>
      <x:c r="BU56" s="130" t="n">
        <x:v>4</x:v>
      </x:c>
      <x:c r="BV56" s="130" t="n">
        <x:v>5</x:v>
      </x:c>
      <x:c r="BW56" s="130" t="n">
        <x:v>4</x:v>
      </x:c>
      <x:c r="BX56" s="130" t="n">
        <x:v>4</x:v>
      </x:c>
      <x:c r="BY56" s="130" t="n">
        <x:v>4</x:v>
      </x:c>
      <x:c r="BZ56" s="130" t="str">
        <x:v>Pass</x:v>
      </x:c>
      <x:c r="CA56" s="130" t="str">
        <x:v>Air brake restriction applies</x:v>
      </x:c>
      <x:c r="CB56" s="130" t="str">
        <x:v>Passed</x:v>
      </x:c>
      <x:c r="CC56" s="130" t="str">
        <x:v>Enrolled</x:v>
      </x:c>
      <x:c r="CD56" s="130" t="str">
        <x:v>Query Completed</x:v>
      </x:c>
      <x:c r="CE56" s="180" t="n">
        <x:v>46037</x:v>
      </x:c>
      <x:c r="CF56" s="180" t="n">
        <x:v>46218</x:v>
      </x:c>
      <x:c r="CG56" s="130"/>
      <x:c r="CH56" s="130" t="str">
        <x:v>Compliant</x:v>
      </x:c>
      <x:c r="CI56" s="130"/>
      <x:c r="CJ56" s="130" t="str">
        <x:v>Liam</x:v>
      </x:c>
      <x:c r="CK56" s="130" t="str">
        <x:v>Smith</x:v>
      </x:c>
      <x:c r="CL56" s="130" t="str">
        <x:v>OH0000146</x:v>
      </x:c>
      <x:c r="CM56" s="130" t="str">
        <x:v>OH</x:v>
      </x:c>
      <x:c r="CN56" s="130" t="str">
        <x:v>CDL Holder</x:v>
      </x:c>
      <x:c r="CO56" s="130" t="str">
        <x:v>Liam Smith</x:v>
      </x:c>
      <x:c r="CP56" s="180" t="n">
        <x:v>45940</x:v>
      </x:c>
      <x:c r="CQ56" s="180" t="n">
        <x:v>46670</x:v>
      </x:c>
      <x:c r="CR56" s="130" t="str">
        <x:v>(614) 555-0114</x:v>
      </x:c>
      <x:c r="CS56" s="130" t="str">
        <x:v>Dr. Alicia Brooks</x:v>
      </x:c>
      <x:c r="CT56" s="180" t="n">
        <x:v>45940</x:v>
      </x:c>
      <x:c r="CU56" s="130" t="str">
        <x:v>OH-ME-134036</x:v>
      </x:c>
      <x:c r="CV56" s="130" t="str">
        <x:v>ME100008</x:v>
      </x:c>
      <x:c r="CW56" s="130" t="str">
        <x:v>Advanced Practice Nurse</x:v>
      </x:c>
      <x:c r="CX56" s="130" t="str">
        <x:v>OH</x:v>
      </x:c>
      <x:c r="CY56" s="130" t="str">
        <x:v>Federal Motor Carrier Safety Regulations with applicable State variances</x:v>
      </x:c>
      <x:c r="CZ56" s="130"/>
      <x:c r="DA56" s="130" t="str">
        <x:v>No</x:v>
      </x:c>
      <x:c r="DB56" s="130" t="str">
        <x:v>No</x:v>
      </x:c>
      <x:c r="DC56" s="130" t="str">
        <x:v>No</x:v>
      </x:c>
      <x:c r="DD56" s="130" t="str">
        <x:v>Yes</x:v>
      </x:c>
      <x:c r="DE56" s="130" t="str">
        <x:v>No</x:v>
      </x:c>
      <x:c r="DF56" s="130" t="str">
        <x:v>No</x:v>
      </x:c>
      <x:c r="DG56" s="130" t="str">
        <x:v>Jane Doe</x:v>
      </x:c>
      <x:c r="DH56" s="130" t="str">
        <x:v>Sister</x:v>
      </x:c>
      <x:c r="DI56" s="130" t="str">
        <x:v>555-555-5555</x:v>
      </x:c>
      <x:c r="DJ56" s="130" t="str">
        <x:v>No</x:v>
      </x:c>
      <x:c r="DK56" s="130" t="str">
        <x:v>No</x:v>
      </x:c>
      <x:c r="DL56" s="130" t="str">
        <x:v>No</x:v>
      </x:c>
      <x:c r="DM56" s="130" t="str">
        <x:v>No</x:v>
      </x:c>
      <x:c r="DN56" s="130" t="str">
        <x:v>Yes - Appendectomy (2005)</x:v>
      </x:c>
      <x:c r="DO56" s="130" t="str">
        <x:v>20/20</x:v>
      </x:c>
      <x:c r="DP56" s="130" t="str">
        <x:v>20/20</x:v>
      </x:c>
      <x:c r="DQ56" s="130" t="str">
        <x:v>Pass</x:v>
      </x:c>
      <x:c r="DR56" s="130" t="str">
        <x:v>118</x:v>
      </x:c>
      <x:c r="DS56" s="130" t="str">
        <x:v>78</x:v>
      </x:c>
      <x:c r="DT56" s="130" t="str">
        <x:v>72</x:v>
      </x:c>
      <x:c r="DU56" s="130" t="str">
        <x:v>Normal</x:v>
      </x:c>
      <x:c r="DV56" s="180" t="n">
        <x:v>45392</x:v>
      </x:c>
      <x:c r="DW56" s="180" t="n">
        <x:v>45394</x:v>
      </x:c>
      <x:c r="DX56" s="130" t="str">
        <x:v>Negative</x:v>
      </x:c>
      <x:c r="DY56" s="180" t="n">
        <x:v>45397</x:v>
      </x:c>
      <x:c r="DZ56" s="130" t="str">
        <x:v>BOF Fleet Safety &amp; Compliance Policy 2024</x:v>
      </x:c>
      <x:c r="EA56" s="130" t="str">
        <x:v>Complete</x:v>
      </x:c>
      <x:c r="EB56" s="180" t="n">
        <x:v>45413</x:v>
      </x:c>
    </x:row>
    <x:row r="57">
      <x:c r="A57" s="130" t="str">
        <x:v>DRV-008</x:v>
      </x:c>
      <x:c r="B57" s="130" t="str">
        <x:v>Liam Smith</x:v>
      </x:c>
      <x:c r="C57" s="130" t="str">
        <x:v>530 Demo Street, Toledo, OH 43604</x:v>
      </x:c>
      <x:c r="D57" s="130" t="str">
        <x:v>820-555-0100</x:v>
      </x:c>
      <x:c r="E57" s="130" t="str">
        <x:v>***-**-0108</x:v>
      </x:c>
      <x:c r="F57" s="130" t="str">
        <x:v>PNC</x:v>
      </x:c>
      <x:c r="G57" s="130" t="n">
        <x:v>000000108</x:v>
      </x:c>
      <x:c r="H57" s="130" t="n">
        <x:v>999900204</x:v>
      </x:c>
      <x:c r="I57" s="130" t="str">
        <x:v>Direct Deposit Form</x:v>
      </x:c>
      <x:c r="J57" s="130" t="str">
        <x:v>VALID</x:v>
      </x:c>
      <x:c r="K57" s="130" t="str">
        <x:v>OH0000150</x:v>
      </x:c>
      <x:c r="L57" s="180" t="n">
        <x:v>46620</x:v>
      </x:c>
      <x:c r="M57" s="180" t="n">
        <x:v>46670</x:v>
      </x:c>
      <x:c r="N57" s="180" t="n">
        <x:v>46452</x:v>
      </x:c>
      <x:c r="O57" s="130"/>
      <x:c r="P57" s="130" t="str">
        <x:v>Blonde</x:v>
      </x:c>
      <x:c r="Q57" s="130" t="str">
        <x:v>Blue</x:v>
      </x:c>
      <x:c r="R57" s="130" t="str">
        <x:v>6'-2"</x:v>
      </x:c>
      <x:c r="S57" s="130" t="n">
        <x:v>194</x:v>
      </x:c>
      <x:c r="T57" s="130" t="str">
        <x:v>M</x:v>
      </x:c>
      <x:c r="U57" s="130" t="n">
        <x:v>23377</x:v>
      </x:c>
      <x:c r="V57" s="130" t="str">
        <x:v>DRV-008.png</x:v>
      </x:c>
      <x:c r="W57" s="130" t="str">
        <x:v>Caucasian</x:v>
      </x:c>
      <x:c r="X57" s="130" t="str">
        <x:v>liamsmith@example.com</x:v>
      </x:c>
      <x:c r="Y57" s="130" t="str">
        <x:v>530 Demo Street</x:v>
      </x:c>
      <x:c r="Z57" s="130" t="str">
        <x:v>Toledo</x:v>
      </x:c>
      <x:c r="AA57" s="130" t="str">
        <x:v>OH</x:v>
      </x:c>
      <x:c r="AB57" s="130" t="n">
        <x:v>43604</x:v>
      </x:c>
      <x:c r="AC57" s="130" t="str">
        <x:v>OH</x:v>
      </x:c>
      <x:c r="AD57" s="130" t="str">
        <x:v>Class A</x:v>
      </x:c>
      <x:c r="AE57" s="180" t="n">
        <x:v>44798</x:v>
      </x:c>
      <x:c r="AF57" s="130" t="str">
        <x:v>T</x:v>
      </x:c>
      <x:c r="AG57" s="130" t="str">
        <x:v>Air brake restriction</x:v>
      </x:c>
      <x:c r="AH57" s="180" t="n">
        <x:v>45940</x:v>
      </x:c>
      <x:c r="AI57" s="130" t="str">
        <x:v>MC-0080823</x:v>
      </x:c>
      <x:c r="AJ57" s="130" t="str">
        <x:v>Dr. Alicia Brooks</x:v>
      </x:c>
      <x:c r="AK57" s="130" t="str">
        <x:v>ME100008</x:v>
      </x:c>
      <x:c r="AL57" s="130" t="str">
        <x:v>Air brake restriction</x:v>
      </x:c>
      <x:c r="AM57" s="130" t="str">
        <x:v>Qualified</x:v>
      </x:c>
      <x:c r="AN57" s="180" t="n">
        <x:v>46422</x:v>
      </x:c>
      <x:c r="AO57" s="130" t="n">
        <x:v>1</x:v>
      </x:c>
      <x:c r="AP57" s="130" t="n">
        <x:v>0</x:v>
      </x:c>
      <x:c r="AQ57" s="130" t="str">
        <x:v>Air brake restriction</x:v>
      </x:c>
      <x:c r="AR57" s="130" t="str">
        <x:v>Clear</x:v>
      </x:c>
      <x:c r="AS57" s="180" t="n">
        <x:v>45467</x:v>
      </x:c>
      <x:c r="AT57" s="130" t="str">
        <x:v>Authorized to Work</x:v>
      </x:c>
      <x:c r="AU57" s="130" t="str">
        <x:v>U.S. Passport</x:v>
      </x:c>
      <x:c r="AV57" s="130"/>
      <x:c r="AW57" s="130"/>
      <x:c r="AX57" s="180" t="n">
        <x:v>45467</x:v>
      </x:c>
      <x:c r="AY57" s="130" t="str">
        <x:v>BOF Onboarding Team</x:v>
      </x:c>
      <x:c r="AZ57" s="130" t="str">
        <x:v>Complete</x:v>
      </x:c>
      <x:c r="BA57" s="130"/>
      <x:c r="BB57" s="130" t="str">
        <x:v>Individual/Sole Proprietor</x:v>
      </x:c>
      <x:c r="BC57" s="130" t="str">
        <x:v>SSN</x:v>
      </x:c>
      <x:c r="BD57" s="130" t="str">
        <x:v>***-**-0108</x:v>
      </x:c>
      <x:c r="BE57" s="130"/>
      <x:c r="BF57" s="180" t="n">
        <x:v>45467</x:v>
      </x:c>
      <x:c r="BG57" s="130" t="str">
        <x:v>Received</x:v>
      </x:c>
      <x:c r="BH57" s="130" t="str">
        <x:v>Checking</x:v>
      </x:c>
      <x:c r="BI57" s="130" t="str">
        <x:v>Direct Deposit</x:v>
      </x:c>
      <x:c r="BJ57" s="180" t="n">
        <x:v>45467</x:v>
      </x:c>
      <x:c r="BK57" s="130" t="str">
        <x:v>Verified</x:v>
      </x:c>
      <x:c r="BL57" s="180" t="n">
        <x:v>45460</x:v>
      </x:c>
      <x:c r="BM57" s="130" t="str">
        <x:v>L. Harper</x:v>
      </x:c>
      <x:c r="BN57" s="130" t="str">
        <x:v>Day cab tractor</x:v>
      </x:c>
      <x:c r="BO57" s="130" t="str">
        <x:v>Flatbed</x:v>
      </x:c>
      <x:c r="BP57" s="130" t="str">
        <x:v>Toledo, OH</x:v>
      </x:c>
      <x:c r="BQ57" s="130" t="n">
        <x:v>4</x:v>
      </x:c>
      <x:c r="BR57" s="130" t="n">
        <x:v>5</x:v>
      </x:c>
      <x:c r="BS57" s="130" t="n">
        <x:v>4</x:v>
      </x:c>
      <x:c r="BT57" s="130" t="n">
        <x:v>4</x:v>
      </x:c>
      <x:c r="BU57" s="130" t="n">
        <x:v>4</x:v>
      </x:c>
      <x:c r="BV57" s="130" t="n">
        <x:v>5</x:v>
      </x:c>
      <x:c r="BW57" s="130" t="n">
        <x:v>4</x:v>
      </x:c>
      <x:c r="BX57" s="130" t="n">
        <x:v>4</x:v>
      </x:c>
      <x:c r="BY57" s="130" t="n">
        <x:v>4</x:v>
      </x:c>
      <x:c r="BZ57" s="130" t="str">
        <x:v>Pass</x:v>
      </x:c>
      <x:c r="CA57" s="130" t="str">
        <x:v>Air brake restriction applies</x:v>
      </x:c>
      <x:c r="CB57" s="130" t="str">
        <x:v>Passed</x:v>
      </x:c>
      <x:c r="CC57" s="130" t="str">
        <x:v>Enrolled</x:v>
      </x:c>
      <x:c r="CD57" s="130" t="str">
        <x:v>Query Completed</x:v>
      </x:c>
      <x:c r="CE57" s="180" t="n">
        <x:v>46037</x:v>
      </x:c>
      <x:c r="CF57" s="180" t="n">
        <x:v>46218</x:v>
      </x:c>
      <x:c r="CG57" s="130"/>
      <x:c r="CH57" s="130" t="str">
        <x:v>Compliant</x:v>
      </x:c>
      <x:c r="CI57" s="130"/>
      <x:c r="CJ57" s="130" t="str">
        <x:v>Liam</x:v>
      </x:c>
      <x:c r="CK57" s="130" t="str">
        <x:v>Smith</x:v>
      </x:c>
      <x:c r="CL57" s="130" t="str">
        <x:v>OH0000147</x:v>
      </x:c>
      <x:c r="CM57" s="130" t="str">
        <x:v>OH</x:v>
      </x:c>
      <x:c r="CN57" s="130" t="str">
        <x:v>CDL Holder</x:v>
      </x:c>
      <x:c r="CO57" s="130" t="str">
        <x:v>Liam Smith</x:v>
      </x:c>
      <x:c r="CP57" s="180" t="n">
        <x:v>45940</x:v>
      </x:c>
      <x:c r="CQ57" s="180" t="n">
        <x:v>46670</x:v>
      </x:c>
      <x:c r="CR57" s="130" t="str">
        <x:v>(614) 555-0114</x:v>
      </x:c>
      <x:c r="CS57" s="130" t="str">
        <x:v>Dr. Alicia Brooks</x:v>
      </x:c>
      <x:c r="CT57" s="180" t="n">
        <x:v>45940</x:v>
      </x:c>
      <x:c r="CU57" s="130" t="str">
        <x:v>OH-ME-134036</x:v>
      </x:c>
      <x:c r="CV57" s="130" t="str">
        <x:v>ME100008</x:v>
      </x:c>
      <x:c r="CW57" s="130" t="str">
        <x:v>Advanced Practice Nurse</x:v>
      </x:c>
      <x:c r="CX57" s="130" t="str">
        <x:v>OH</x:v>
      </x:c>
      <x:c r="CY57" s="130" t="str">
        <x:v>Federal Motor Carrier Safety Regulations with applicable State variances</x:v>
      </x:c>
      <x:c r="CZ57" s="130"/>
      <x:c r="DA57" s="130" t="str">
        <x:v>No</x:v>
      </x:c>
      <x:c r="DB57" s="130" t="str">
        <x:v>No</x:v>
      </x:c>
      <x:c r="DC57" s="130" t="str">
        <x:v>No</x:v>
      </x:c>
      <x:c r="DD57" s="130" t="str">
        <x:v>Yes</x:v>
      </x:c>
      <x:c r="DE57" s="130" t="str">
        <x:v>No</x:v>
      </x:c>
      <x:c r="DF57" s="130" t="str">
        <x:v>No</x:v>
      </x:c>
      <x:c r="DG57" s="130" t="str">
        <x:v>Jane Doe</x:v>
      </x:c>
      <x:c r="DH57" s="130" t="str">
        <x:v>Sister</x:v>
      </x:c>
      <x:c r="DI57" s="130" t="str">
        <x:v>555-555-5555</x:v>
      </x:c>
      <x:c r="DJ57" s="130" t="str">
        <x:v>No</x:v>
      </x:c>
      <x:c r="DK57" s="130" t="str">
        <x:v>No</x:v>
      </x:c>
      <x:c r="DL57" s="130" t="str">
        <x:v>No</x:v>
      </x:c>
      <x:c r="DM57" s="130" t="str">
        <x:v>No</x:v>
      </x:c>
      <x:c r="DN57" s="130" t="str">
        <x:v>Yes - Appendectomy (2005)</x:v>
      </x:c>
      <x:c r="DO57" s="130" t="str">
        <x:v>20/20</x:v>
      </x:c>
      <x:c r="DP57" s="130" t="str">
        <x:v>20/20</x:v>
      </x:c>
      <x:c r="DQ57" s="130" t="str">
        <x:v>Pass</x:v>
      </x:c>
      <x:c r="DR57" s="130" t="str">
        <x:v>118</x:v>
      </x:c>
      <x:c r="DS57" s="130" t="str">
        <x:v>78</x:v>
      </x:c>
      <x:c r="DT57" s="130" t="str">
        <x:v>72</x:v>
      </x:c>
      <x:c r="DU57" s="130" t="str">
        <x:v>Normal</x:v>
      </x:c>
      <x:c r="DV57" s="180" t="n">
        <x:v>45392</x:v>
      </x:c>
      <x:c r="DW57" s="180" t="n">
        <x:v>45394</x:v>
      </x:c>
      <x:c r="DX57" s="130" t="str">
        <x:v>Negative</x:v>
      </x:c>
      <x:c r="DY57" s="180" t="n">
        <x:v>45397</x:v>
      </x:c>
      <x:c r="DZ57" s="130" t="str">
        <x:v>BOF Fleet Safety &amp; Compliance Policy 2024</x:v>
      </x:c>
      <x:c r="EA57" s="130" t="str">
        <x:v>Complete</x:v>
      </x:c>
      <x:c r="EB57" s="180" t="n">
        <x:v>45413</x:v>
      </x:c>
    </x:row>
    <x:row r="58">
      <x:c r="A58" s="130" t="str">
        <x:v>DRV-009</x:v>
      </x:c>
      <x:c r="B58" s="130" t="str">
        <x:v>Emma Brown</x:v>
      </x:c>
      <x:c r="C58" s="130" t="str">
        <x:v>630 Demo Street, Columbus, OH 43215</x:v>
      </x:c>
      <x:c r="D58" s="130" t="str">
        <x:v>206-555-0103</x:v>
      </x:c>
      <x:c r="E58" s="130" t="str">
        <x:v>***-**-0124</x:v>
      </x:c>
      <x:c r="F58" s="130" t="str">
        <x:v>Chase</x:v>
      </x:c>
      <x:c r="G58" s="130" t="n">
        <x:v>000000103</x:v>
      </x:c>
      <x:c r="H58" s="130" t="n">
        <x:v>999900210</x:v>
      </x:c>
      <x:c r="I58" s="130" t="str">
        <x:v>CDL Summary</x:v>
      </x:c>
      <x:c r="J58" s="130" t="str">
        <x:v>VALID</x:v>
      </x:c>
      <x:c r="K58" s="130" t="str">
        <x:v>OH0000104</x:v>
      </x:c>
      <x:c r="L58" s="180" t="n">
        <x:v>46424</x:v>
      </x:c>
      <x:c r="M58" s="180" t="n">
        <x:v>46645</x:v>
      </x:c>
      <x:c r="N58" s="180" t="n">
        <x:v>46451</x:v>
      </x:c>
      <x:c r="O58" s="130"/>
      <x:c r="P58" s="130" t="str">
        <x:v>Black</x:v>
      </x:c>
      <x:c r="Q58" s="130" t="str">
        <x:v>Brown</x:v>
      </x:c>
      <x:c r="R58" s="130" t="str">
        <x:v>5'-4"</x:v>
      </x:c>
      <x:c r="S58" s="130" t="n">
        <x:v>144</x:v>
      </x:c>
      <x:c r="T58" s="130" t="str">
        <x:v>F</x:v>
      </x:c>
      <x:c r="U58" s="130" t="n">
        <x:v>30682</x:v>
      </x:c>
      <x:c r="V58" s="130" t="str">
        <x:v>DRV-009.png</x:v>
      </x:c>
      <x:c r="W58" s="130" t="str">
        <x:v>Caucasian</x:v>
      </x:c>
      <x:c r="X58" s="130" t="str">
        <x:v>emmabrown@example.com</x:v>
      </x:c>
      <x:c r="Y58" s="130" t="str">
        <x:v>630 Demo Street</x:v>
      </x:c>
      <x:c r="Z58" s="130" t="str">
        <x:v>Columbus</x:v>
      </x:c>
      <x:c r="AA58" s="130" t="str">
        <x:v>OH</x:v>
      </x:c>
      <x:c r="AB58" s="130" t="n">
        <x:v>43215</x:v>
      </x:c>
      <x:c r="AC58" s="130" t="str">
        <x:v>OH</x:v>
      </x:c>
      <x:c r="AD58" s="130" t="str">
        <x:v>Class B</x:v>
      </x:c>
      <x:c r="AE58" s="180" t="n">
        <x:v>44602</x:v>
      </x:c>
      <x:c r="AF58" s="130" t="str">
        <x:v>P</x:v>
      </x:c>
      <x:c r="AG58" s="130" t="str">
        <x:v>Corrective lenses</x:v>
      </x:c>
      <x:c r="AH58" s="180" t="n">
        <x:v>45915</x:v>
      </x:c>
      <x:c r="AI58" s="130" t="str">
        <x:v>MC-0091016</x:v>
      </x:c>
      <x:c r="AJ58" s="130" t="str">
        <x:v>Dr. David Yang</x:v>
      </x:c>
      <x:c r="AK58" s="130" t="str">
        <x:v>ME100009</x:v>
      </x:c>
      <x:c r="AL58" s="130"/>
      <x:c r="AM58" s="130" t="str">
        <x:v>Qualified</x:v>
      </x:c>
      <x:c r="AN58" s="180" t="n">
        <x:v>46421</x:v>
      </x:c>
      <x:c r="AO58" s="130" t="n">
        <x:v>0</x:v>
      </x:c>
      <x:c r="AP58" s="130" t="n">
        <x:v>0</x:v>
      </x:c>
      <x:c r="AQ58" s="130" t="str">
        <x:v>Corrective lenses</x:v>
      </x:c>
      <x:c r="AR58" s="130" t="str">
        <x:v>Clear</x:v>
      </x:c>
      <x:c r="AS58" s="180" t="n">
        <x:v>45502</x:v>
      </x:c>
      <x:c r="AT58" s="130" t="str">
        <x:v>Authorized to Work</x:v>
      </x:c>
      <x:c r="AU58" s="130" t="str">
        <x:v>U.S. Passport</x:v>
      </x:c>
      <x:c r="AV58" s="130"/>
      <x:c r="AW58" s="130"/>
      <x:c r="AX58" s="180" t="n">
        <x:v>45502</x:v>
      </x:c>
      <x:c r="AY58" s="130" t="str">
        <x:v>BOF Onboarding Team</x:v>
      </x:c>
      <x:c r="AZ58" s="130" t="str">
        <x:v>Complete</x:v>
      </x:c>
      <x:c r="BA58" s="130"/>
      <x:c r="BB58" s="130" t="str">
        <x:v>Individual/Sole Proprietor</x:v>
      </x:c>
      <x:c r="BC58" s="130" t="str">
        <x:v>SSN</x:v>
      </x:c>
      <x:c r="BD58" s="130" t="str">
        <x:v>***-**-0124</x:v>
      </x:c>
      <x:c r="BE58" s="130"/>
      <x:c r="BF58" s="180" t="n">
        <x:v>45502</x:v>
      </x:c>
      <x:c r="BG58" s="130" t="str">
        <x:v>Received</x:v>
      </x:c>
      <x:c r="BH58" s="130" t="str">
        <x:v>Savings</x:v>
      </x:c>
      <x:c r="BI58" s="130" t="str">
        <x:v>Direct Deposit</x:v>
      </x:c>
      <x:c r="BJ58" s="180" t="n">
        <x:v>45502</x:v>
      </x:c>
      <x:c r="BK58" s="130" t="str">
        <x:v>Verified</x:v>
      </x:c>
      <x:c r="BL58" s="180" t="n">
        <x:v>45495</x:v>
      </x:c>
      <x:c r="BM58" s="130" t="str">
        <x:v>J. Alvarez</x:v>
      </x:c>
      <x:c r="BN58" s="130" t="str">
        <x:v>Straight truck</x:v>
      </x:c>
      <x:c r="BO58" s="130" t="str">
        <x:v>Straight truck</x:v>
      </x:c>
      <x:c r="BP58" s="130" t="str">
        <x:v>Columbus, OH</x:v>
      </x:c>
      <x:c r="BQ58" s="130" t="n">
        <x:v>5</x:v>
      </x:c>
      <x:c r="BR58" s="130" t="n">
        <x:v>5</x:v>
      </x:c>
      <x:c r="BS58" s="130" t="n">
        <x:v>4</x:v>
      </x:c>
      <x:c r="BT58" s="130" t="n">
        <x:v>5</x:v>
      </x:c>
      <x:c r="BU58" s="130" t="n">
        <x:v>5</x:v>
      </x:c>
      <x:c r="BV58" s="130" t="n">
        <x:v>5</x:v>
      </x:c>
      <x:c r="BW58" s="130"/>
      <x:c r="BX58" s="130" t="n">
        <x:v>5</x:v>
      </x:c>
      <x:c r="BY58" s="130" t="n">
        <x:v>5</x:v>
      </x:c>
      <x:c r="BZ58" s="130" t="str">
        <x:v>Pass</x:v>
      </x:c>
      <x:c r="CA58" s="130" t="str">
        <x:v>Straight truck route only</x:v>
      </x:c>
      <x:c r="CB58" s="130" t="str">
        <x:v>Passed</x:v>
      </x:c>
      <x:c r="CC58" s="130" t="str">
        <x:v>Enrolled</x:v>
      </x:c>
      <x:c r="CD58" s="130" t="str">
        <x:v>Query Completed</x:v>
      </x:c>
      <x:c r="CE58" s="180" t="n">
        <x:v>46037</x:v>
      </x:c>
      <x:c r="CF58" s="180" t="n">
        <x:v>46218</x:v>
      </x:c>
      <x:c r="CG58" s="130"/>
      <x:c r="CH58" s="130" t="str">
        <x:v>Compliant</x:v>
      </x:c>
      <x:c r="CI58" s="130"/>
      <x:c r="CJ58" s="130" t="str">
        <x:v>Emma</x:v>
      </x:c>
      <x:c r="CK58" s="130" t="str">
        <x:v>Brown</x:v>
      </x:c>
      <x:c r="CL58" s="130" t="str">
        <x:v>OH0000104</x:v>
      </x:c>
      <x:c r="CM58" s="130" t="str">
        <x:v>OH</x:v>
      </x:c>
      <x:c r="CN58" s="130" t="str">
        <x:v>CDL Holder</x:v>
      </x:c>
      <x:c r="CO58" s="130" t="str">
        <x:v>Emma Brown</x:v>
      </x:c>
      <x:c r="CP58" s="180" t="n">
        <x:v>45915</x:v>
      </x:c>
      <x:c r="CQ58" s="180" t="n">
        <x:v>46645</x:v>
      </x:c>
      <x:c r="CR58" s="130" t="str">
        <x:v>(614) 555-0113</x:v>
      </x:c>
      <x:c r="CS58" s="130" t="str">
        <x:v>Dr. David Yang</x:v>
      </x:c>
      <x:c r="CT58" s="180" t="n">
        <x:v>45915</x:v>
      </x:c>
      <x:c r="CU58" s="130" t="str">
        <x:v>OH-ME-556547</x:v>
      </x:c>
      <x:c r="CV58" s="130" t="str">
        <x:v>ME100009</x:v>
      </x:c>
      <x:c r="CW58" s="130" t="str">
        <x:v>Physician Assistant</x:v>
      </x:c>
      <x:c r="CX58" s="130" t="str">
        <x:v>OH</x:v>
      </x:c>
      <x:c r="CY58" s="130" t="str">
        <x:v>Federal Motor Carrier Safety Regulations</x:v>
      </x:c>
      <x:c r="CZ58" s="130"/>
      <x:c r="DA58" s="130" t="str">
        <x:v>No</x:v>
      </x:c>
      <x:c r="DB58" s="130" t="str">
        <x:v>No</x:v>
      </x:c>
      <x:c r="DC58" s="130" t="str">
        <x:v>No</x:v>
      </x:c>
      <x:c r="DD58" s="130" t="str">
        <x:v>No</x:v>
      </x:c>
      <x:c r="DE58" s="130" t="str">
        <x:v>No</x:v>
      </x:c>
      <x:c r="DF58" s="130" t="str">
        <x:v>No</x:v>
      </x:c>
      <x:c r="DG58" s="130" t="str">
        <x:v>Jane Doe</x:v>
      </x:c>
      <x:c r="DH58" s="130" t="str">
        <x:v>Sister</x:v>
      </x:c>
      <x:c r="DI58" s="130" t="str">
        <x:v>555-555-5555</x:v>
      </x:c>
      <x:c r="DJ58" s="130" t="str">
        <x:v>No</x:v>
      </x:c>
      <x:c r="DK58" s="130" t="str">
        <x:v>No</x:v>
      </x:c>
      <x:c r="DL58" s="130" t="str">
        <x:v>No</x:v>
      </x:c>
      <x:c r="DM58" s="130" t="str">
        <x:v>No</x:v>
      </x:c>
      <x:c r="DN58" s="130" t="str">
        <x:v>Yes - Appendectomy (2005)</x:v>
      </x:c>
      <x:c r="DO58" s="130" t="str">
        <x:v>20/20</x:v>
      </x:c>
      <x:c r="DP58" s="130" t="str">
        <x:v>20/20</x:v>
      </x:c>
      <x:c r="DQ58" s="130" t="str">
        <x:v>Pass</x:v>
      </x:c>
      <x:c r="DR58" s="130" t="str">
        <x:v>118</x:v>
      </x:c>
      <x:c r="DS58" s="130" t="str">
        <x:v>78</x:v>
      </x:c>
      <x:c r="DT58" s="130" t="str">
        <x:v>72</x:v>
      </x:c>
      <x:c r="DU58" s="130" t="str">
        <x:v>Normal</x:v>
      </x:c>
      <x:c r="DV58" s="180" t="n">
        <x:v>45392</x:v>
      </x:c>
      <x:c r="DW58" s="180" t="n">
        <x:v>45394</x:v>
      </x:c>
      <x:c r="DX58" s="130" t="str">
        <x:v>Negative</x:v>
      </x:c>
      <x:c r="DY58" s="180" t="n">
        <x:v>45397</x:v>
      </x:c>
      <x:c r="DZ58" s="130" t="str">
        <x:v>BOF Fleet Safety &amp; Compliance Policy 2024</x:v>
      </x:c>
      <x:c r="EA58" s="130" t="str">
        <x:v>Complete</x:v>
      </x:c>
      <x:c r="EB58" s="180" t="n">
        <x:v>45413</x:v>
      </x:c>
    </x:row>
    <x:row r="59">
      <x:c r="A59" s="130" t="str">
        <x:v>DRV-009</x:v>
      </x:c>
      <x:c r="B59" s="130" t="str">
        <x:v>Emma Brown</x:v>
      </x:c>
      <x:c r="C59" s="130" t="str">
        <x:v>630 Demo Street, Columbus, OH 43215</x:v>
      </x:c>
      <x:c r="D59" s="130" t="str">
        <x:v>206-555-0103</x:v>
      </x:c>
      <x:c r="E59" s="130" t="str">
        <x:v>***-**-0124</x:v>
      </x:c>
      <x:c r="F59" s="130" t="str">
        <x:v>Chase</x:v>
      </x:c>
      <x:c r="G59" s="130" t="n">
        <x:v>000000103</x:v>
      </x:c>
      <x:c r="H59" s="130" t="n">
        <x:v>999900210</x:v>
      </x:c>
      <x:c r="I59" s="130" t="str">
        <x:v>Medical Certification</x:v>
      </x:c>
      <x:c r="J59" s="130" t="str">
        <x:v>VALID</x:v>
      </x:c>
      <x:c r="K59" s="130" t="str">
        <x:v>OH0000083</x:v>
      </x:c>
      <x:c r="L59" s="180" t="n">
        <x:v>46424</x:v>
      </x:c>
      <x:c r="M59" s="180" t="n">
        <x:v>46645</x:v>
      </x:c>
      <x:c r="N59" s="180" t="n">
        <x:v>46451</x:v>
      </x:c>
      <x:c r="O59" s="130"/>
      <x:c r="P59" s="130" t="str">
        <x:v>Black</x:v>
      </x:c>
      <x:c r="Q59" s="130" t="str">
        <x:v>Brown</x:v>
      </x:c>
      <x:c r="R59" s="130" t="str">
        <x:v>5'-4"</x:v>
      </x:c>
      <x:c r="S59" s="130" t="n">
        <x:v>144</x:v>
      </x:c>
      <x:c r="T59" s="130" t="str">
        <x:v>F</x:v>
      </x:c>
      <x:c r="U59" s="130" t="n">
        <x:v>30682</x:v>
      </x:c>
      <x:c r="V59" s="130" t="str">
        <x:v>DRV-009.png</x:v>
      </x:c>
      <x:c r="W59" s="130" t="str">
        <x:v>Caucasian</x:v>
      </x:c>
      <x:c r="X59" s="130" t="str">
        <x:v>emmabrown@example.com</x:v>
      </x:c>
      <x:c r="Y59" s="130" t="str">
        <x:v>630 Demo Street</x:v>
      </x:c>
      <x:c r="Z59" s="130" t="str">
        <x:v>Columbus</x:v>
      </x:c>
      <x:c r="AA59" s="130" t="str">
        <x:v>OH</x:v>
      </x:c>
      <x:c r="AB59" s="130" t="n">
        <x:v>43215</x:v>
      </x:c>
      <x:c r="AC59" s="130" t="str">
        <x:v>OH</x:v>
      </x:c>
      <x:c r="AD59" s="130" t="str">
        <x:v>Class B</x:v>
      </x:c>
      <x:c r="AE59" s="180" t="n">
        <x:v>44602</x:v>
      </x:c>
      <x:c r="AF59" s="130" t="str">
        <x:v>P</x:v>
      </x:c>
      <x:c r="AG59" s="130" t="str">
        <x:v>Corrective lenses</x:v>
      </x:c>
      <x:c r="AH59" s="180" t="n">
        <x:v>45915</x:v>
      </x:c>
      <x:c r="AI59" s="130" t="str">
        <x:v>MC-0091016</x:v>
      </x:c>
      <x:c r="AJ59" s="130" t="str">
        <x:v>Dr. David Yang</x:v>
      </x:c>
      <x:c r="AK59" s="130" t="str">
        <x:v>ME100009</x:v>
      </x:c>
      <x:c r="AL59" s="130"/>
      <x:c r="AM59" s="130" t="str">
        <x:v>Qualified</x:v>
      </x:c>
      <x:c r="AN59" s="180" t="n">
        <x:v>46421</x:v>
      </x:c>
      <x:c r="AO59" s="130" t="n">
        <x:v>0</x:v>
      </x:c>
      <x:c r="AP59" s="130" t="n">
        <x:v>0</x:v>
      </x:c>
      <x:c r="AQ59" s="130" t="str">
        <x:v>Corrective lenses</x:v>
      </x:c>
      <x:c r="AR59" s="130" t="str">
        <x:v>Clear</x:v>
      </x:c>
      <x:c r="AS59" s="180" t="n">
        <x:v>45502</x:v>
      </x:c>
      <x:c r="AT59" s="130" t="str">
        <x:v>Authorized to Work</x:v>
      </x:c>
      <x:c r="AU59" s="130" t="str">
        <x:v>U.S. Passport</x:v>
      </x:c>
      <x:c r="AV59" s="130"/>
      <x:c r="AW59" s="130"/>
      <x:c r="AX59" s="180" t="n">
        <x:v>45502</x:v>
      </x:c>
      <x:c r="AY59" s="130" t="str">
        <x:v>BOF Onboarding Team</x:v>
      </x:c>
      <x:c r="AZ59" s="130" t="str">
        <x:v>Complete</x:v>
      </x:c>
      <x:c r="BA59" s="130"/>
      <x:c r="BB59" s="130" t="str">
        <x:v>Individual/Sole Proprietor</x:v>
      </x:c>
      <x:c r="BC59" s="130" t="str">
        <x:v>SSN</x:v>
      </x:c>
      <x:c r="BD59" s="130" t="str">
        <x:v>***-**-0124</x:v>
      </x:c>
      <x:c r="BE59" s="130"/>
      <x:c r="BF59" s="180" t="n">
        <x:v>45502</x:v>
      </x:c>
      <x:c r="BG59" s="130" t="str">
        <x:v>Received</x:v>
      </x:c>
      <x:c r="BH59" s="130" t="str">
        <x:v>Savings</x:v>
      </x:c>
      <x:c r="BI59" s="130" t="str">
        <x:v>Direct Deposit</x:v>
      </x:c>
      <x:c r="BJ59" s="180" t="n">
        <x:v>45502</x:v>
      </x:c>
      <x:c r="BK59" s="130" t="str">
        <x:v>Verified</x:v>
      </x:c>
      <x:c r="BL59" s="180" t="n">
        <x:v>45495</x:v>
      </x:c>
      <x:c r="BM59" s="130" t="str">
        <x:v>J. Alvarez</x:v>
      </x:c>
      <x:c r="BN59" s="130" t="str">
        <x:v>Straight truck</x:v>
      </x:c>
      <x:c r="BO59" s="130" t="str">
        <x:v>Straight truck</x:v>
      </x:c>
      <x:c r="BP59" s="130" t="str">
        <x:v>Columbus, OH</x:v>
      </x:c>
      <x:c r="BQ59" s="130" t="n">
        <x:v>5</x:v>
      </x:c>
      <x:c r="BR59" s="130" t="n">
        <x:v>5</x:v>
      </x:c>
      <x:c r="BS59" s="130" t="n">
        <x:v>4</x:v>
      </x:c>
      <x:c r="BT59" s="130" t="n">
        <x:v>5</x:v>
      </x:c>
      <x:c r="BU59" s="130" t="n">
        <x:v>5</x:v>
      </x:c>
      <x:c r="BV59" s="130" t="n">
        <x:v>5</x:v>
      </x:c>
      <x:c r="BW59" s="130"/>
      <x:c r="BX59" s="130" t="n">
        <x:v>5</x:v>
      </x:c>
      <x:c r="BY59" s="130" t="n">
        <x:v>5</x:v>
      </x:c>
      <x:c r="BZ59" s="130" t="str">
        <x:v>Pass</x:v>
      </x:c>
      <x:c r="CA59" s="130" t="str">
        <x:v>Straight truck route only</x:v>
      </x:c>
      <x:c r="CB59" s="130" t="str">
        <x:v>Passed</x:v>
      </x:c>
      <x:c r="CC59" s="130" t="str">
        <x:v>Enrolled</x:v>
      </x:c>
      <x:c r="CD59" s="130" t="str">
        <x:v>Query Completed</x:v>
      </x:c>
      <x:c r="CE59" s="180" t="n">
        <x:v>46037</x:v>
      </x:c>
      <x:c r="CF59" s="180" t="n">
        <x:v>46218</x:v>
      </x:c>
      <x:c r="CG59" s="130"/>
      <x:c r="CH59" s="130" t="str">
        <x:v>Compliant</x:v>
      </x:c>
      <x:c r="CI59" s="130"/>
      <x:c r="CJ59" s="130" t="str">
        <x:v>Emma</x:v>
      </x:c>
      <x:c r="CK59" s="130" t="str">
        <x:v>Brown</x:v>
      </x:c>
      <x:c r="CL59" s="130" t="str">
        <x:v>OH0000105</x:v>
      </x:c>
      <x:c r="CM59" s="130" t="str">
        <x:v>OH</x:v>
      </x:c>
      <x:c r="CN59" s="130" t="str">
        <x:v>CDL Holder</x:v>
      </x:c>
      <x:c r="CO59" s="130" t="str">
        <x:v>Emma Brown</x:v>
      </x:c>
      <x:c r="CP59" s="180" t="n">
        <x:v>45915</x:v>
      </x:c>
      <x:c r="CQ59" s="180" t="n">
        <x:v>46645</x:v>
      </x:c>
      <x:c r="CR59" s="130" t="str">
        <x:v>(614) 555-0113</x:v>
      </x:c>
      <x:c r="CS59" s="130" t="str">
        <x:v>Dr. David Yang</x:v>
      </x:c>
      <x:c r="CT59" s="180" t="n">
        <x:v>45915</x:v>
      </x:c>
      <x:c r="CU59" s="130" t="str">
        <x:v>OH-ME-556547</x:v>
      </x:c>
      <x:c r="CV59" s="130" t="str">
        <x:v>ME100009</x:v>
      </x:c>
      <x:c r="CW59" s="130" t="str">
        <x:v>Physician Assistant</x:v>
      </x:c>
      <x:c r="CX59" s="130" t="str">
        <x:v>OH</x:v>
      </x:c>
      <x:c r="CY59" s="130" t="str">
        <x:v>Federal Motor Carrier Safety Regulations</x:v>
      </x:c>
      <x:c r="CZ59" s="130"/>
      <x:c r="DA59" s="130" t="str">
        <x:v>No</x:v>
      </x:c>
      <x:c r="DB59" s="130" t="str">
        <x:v>No</x:v>
      </x:c>
      <x:c r="DC59" s="130" t="str">
        <x:v>No</x:v>
      </x:c>
      <x:c r="DD59" s="130" t="str">
        <x:v>No</x:v>
      </x:c>
      <x:c r="DE59" s="130" t="str">
        <x:v>No</x:v>
      </x:c>
      <x:c r="DF59" s="130" t="str">
        <x:v>No</x:v>
      </x:c>
      <x:c r="DG59" s="130" t="str">
        <x:v>Jane Doe</x:v>
      </x:c>
      <x:c r="DH59" s="130" t="str">
        <x:v>Sister</x:v>
      </x:c>
      <x:c r="DI59" s="130" t="str">
        <x:v>555-555-5555</x:v>
      </x:c>
      <x:c r="DJ59" s="130" t="str">
        <x:v>No</x:v>
      </x:c>
      <x:c r="DK59" s="130" t="str">
        <x:v>No</x:v>
      </x:c>
      <x:c r="DL59" s="130" t="str">
        <x:v>No</x:v>
      </x:c>
      <x:c r="DM59" s="130" t="str">
        <x:v>No</x:v>
      </x:c>
      <x:c r="DN59" s="130" t="str">
        <x:v>Yes - Appendectomy (2005)</x:v>
      </x:c>
      <x:c r="DO59" s="130" t="str">
        <x:v>20/20</x:v>
      </x:c>
      <x:c r="DP59" s="130" t="str">
        <x:v>20/20</x:v>
      </x:c>
      <x:c r="DQ59" s="130" t="str">
        <x:v>Pass</x:v>
      </x:c>
      <x:c r="DR59" s="130" t="str">
        <x:v>118</x:v>
      </x:c>
      <x:c r="DS59" s="130" t="str">
        <x:v>78</x:v>
      </x:c>
      <x:c r="DT59" s="130" t="str">
        <x:v>72</x:v>
      </x:c>
      <x:c r="DU59" s="130" t="str">
        <x:v>Normal</x:v>
      </x:c>
      <x:c r="DV59" s="180" t="n">
        <x:v>45392</x:v>
      </x:c>
      <x:c r="DW59" s="180" t="n">
        <x:v>45394</x:v>
      </x:c>
      <x:c r="DX59" s="130" t="str">
        <x:v>Negative</x:v>
      </x:c>
      <x:c r="DY59" s="180" t="n">
        <x:v>45397</x:v>
      </x:c>
      <x:c r="DZ59" s="130" t="str">
        <x:v>BOF Fleet Safety &amp; Compliance Policy 2024</x:v>
      </x:c>
      <x:c r="EA59" s="130" t="str">
        <x:v>Complete</x:v>
      </x:c>
      <x:c r="EB59" s="180" t="n">
        <x:v>45413</x:v>
      </x:c>
    </x:row>
    <x:row r="60">
      <x:c r="A60" s="130" t="str">
        <x:v>DRV-009</x:v>
      </x:c>
      <x:c r="B60" s="130" t="str">
        <x:v>Emma Brown</x:v>
      </x:c>
      <x:c r="C60" s="130" t="str">
        <x:v>630 Demo Street, Columbus, OH 43215</x:v>
      </x:c>
      <x:c r="D60" s="130" t="str">
        <x:v>206-555-0103</x:v>
      </x:c>
      <x:c r="E60" s="130" t="str">
        <x:v>***-**-0124</x:v>
      </x:c>
      <x:c r="F60" s="130" t="str">
        <x:v>Chase</x:v>
      </x:c>
      <x:c r="G60" s="130" t="n">
        <x:v>000000103</x:v>
      </x:c>
      <x:c r="H60" s="130" t="n">
        <x:v>999900210</x:v>
      </x:c>
      <x:c r="I60" s="130" t="str">
        <x:v>MVR Background Report</x:v>
      </x:c>
      <x:c r="J60" s="130" t="str">
        <x:v>VALID</x:v>
      </x:c>
      <x:c r="K60" s="130" t="str">
        <x:v>OH0000100</x:v>
      </x:c>
      <x:c r="L60" s="180" t="n">
        <x:v>46424</x:v>
      </x:c>
      <x:c r="M60" s="180" t="n">
        <x:v>46645</x:v>
      </x:c>
      <x:c r="N60" s="180" t="n">
        <x:v>46451</x:v>
      </x:c>
      <x:c r="O60" s="130"/>
      <x:c r="P60" s="130" t="str">
        <x:v>Black</x:v>
      </x:c>
      <x:c r="Q60" s="130" t="str">
        <x:v>Brown</x:v>
      </x:c>
      <x:c r="R60" s="130" t="str">
        <x:v>5'-4"</x:v>
      </x:c>
      <x:c r="S60" s="130" t="n">
        <x:v>144</x:v>
      </x:c>
      <x:c r="T60" s="130" t="str">
        <x:v>F</x:v>
      </x:c>
      <x:c r="U60" s="130" t="n">
        <x:v>30682</x:v>
      </x:c>
      <x:c r="V60" s="130" t="str">
        <x:v>DRV-009.png</x:v>
      </x:c>
      <x:c r="W60" s="130" t="str">
        <x:v>Caucasian</x:v>
      </x:c>
      <x:c r="X60" s="130" t="str">
        <x:v>emmabrown@example.com</x:v>
      </x:c>
      <x:c r="Y60" s="130" t="str">
        <x:v>630 Demo Street</x:v>
      </x:c>
      <x:c r="Z60" s="130" t="str">
        <x:v>Columbus</x:v>
      </x:c>
      <x:c r="AA60" s="130" t="str">
        <x:v>OH</x:v>
      </x:c>
      <x:c r="AB60" s="130" t="n">
        <x:v>43215</x:v>
      </x:c>
      <x:c r="AC60" s="130" t="str">
        <x:v>OH</x:v>
      </x:c>
      <x:c r="AD60" s="130" t="str">
        <x:v>Class B</x:v>
      </x:c>
      <x:c r="AE60" s="180" t="n">
        <x:v>44602</x:v>
      </x:c>
      <x:c r="AF60" s="130" t="str">
        <x:v>P</x:v>
      </x:c>
      <x:c r="AG60" s="130" t="str">
        <x:v>Corrective lenses</x:v>
      </x:c>
      <x:c r="AH60" s="180" t="n">
        <x:v>45915</x:v>
      </x:c>
      <x:c r="AI60" s="130" t="str">
        <x:v>MC-0091016</x:v>
      </x:c>
      <x:c r="AJ60" s="130" t="str">
        <x:v>Dr. David Yang</x:v>
      </x:c>
      <x:c r="AK60" s="130" t="str">
        <x:v>ME100009</x:v>
      </x:c>
      <x:c r="AL60" s="130"/>
      <x:c r="AM60" s="130" t="str">
        <x:v>Qualified</x:v>
      </x:c>
      <x:c r="AN60" s="180" t="n">
        <x:v>46421</x:v>
      </x:c>
      <x:c r="AO60" s="130" t="n">
        <x:v>0</x:v>
      </x:c>
      <x:c r="AP60" s="130" t="n">
        <x:v>0</x:v>
      </x:c>
      <x:c r="AQ60" s="130" t="str">
        <x:v>Corrective lenses</x:v>
      </x:c>
      <x:c r="AR60" s="130" t="str">
        <x:v>Clear</x:v>
      </x:c>
      <x:c r="AS60" s="180" t="n">
        <x:v>45502</x:v>
      </x:c>
      <x:c r="AT60" s="130" t="str">
        <x:v>Authorized to Work</x:v>
      </x:c>
      <x:c r="AU60" s="130" t="str">
        <x:v>U.S. Passport</x:v>
      </x:c>
      <x:c r="AV60" s="130"/>
      <x:c r="AW60" s="130"/>
      <x:c r="AX60" s="180" t="n">
        <x:v>45502</x:v>
      </x:c>
      <x:c r="AY60" s="130" t="str">
        <x:v>BOF Onboarding Team</x:v>
      </x:c>
      <x:c r="AZ60" s="130" t="str">
        <x:v>Complete</x:v>
      </x:c>
      <x:c r="BA60" s="130"/>
      <x:c r="BB60" s="130" t="str">
        <x:v>Individual/Sole Proprietor</x:v>
      </x:c>
      <x:c r="BC60" s="130" t="str">
        <x:v>SSN</x:v>
      </x:c>
      <x:c r="BD60" s="130" t="str">
        <x:v>***-**-0124</x:v>
      </x:c>
      <x:c r="BE60" s="130"/>
      <x:c r="BF60" s="180" t="n">
        <x:v>45502</x:v>
      </x:c>
      <x:c r="BG60" s="130" t="str">
        <x:v>Received</x:v>
      </x:c>
      <x:c r="BH60" s="130" t="str">
        <x:v>Savings</x:v>
      </x:c>
      <x:c r="BI60" s="130" t="str">
        <x:v>Direct Deposit</x:v>
      </x:c>
      <x:c r="BJ60" s="180" t="n">
        <x:v>45502</x:v>
      </x:c>
      <x:c r="BK60" s="130" t="str">
        <x:v>Verified</x:v>
      </x:c>
      <x:c r="BL60" s="180" t="n">
        <x:v>45495</x:v>
      </x:c>
      <x:c r="BM60" s="130" t="str">
        <x:v>J. Alvarez</x:v>
      </x:c>
      <x:c r="BN60" s="130" t="str">
        <x:v>Straight truck</x:v>
      </x:c>
      <x:c r="BO60" s="130" t="str">
        <x:v>Straight truck</x:v>
      </x:c>
      <x:c r="BP60" s="130" t="str">
        <x:v>Columbus, OH</x:v>
      </x:c>
      <x:c r="BQ60" s="130" t="n">
        <x:v>5</x:v>
      </x:c>
      <x:c r="BR60" s="130" t="n">
        <x:v>5</x:v>
      </x:c>
      <x:c r="BS60" s="130" t="n">
        <x:v>4</x:v>
      </x:c>
      <x:c r="BT60" s="130" t="n">
        <x:v>5</x:v>
      </x:c>
      <x:c r="BU60" s="130" t="n">
        <x:v>5</x:v>
      </x:c>
      <x:c r="BV60" s="130" t="n">
        <x:v>5</x:v>
      </x:c>
      <x:c r="BW60" s="130"/>
      <x:c r="BX60" s="130" t="n">
        <x:v>5</x:v>
      </x:c>
      <x:c r="BY60" s="130" t="n">
        <x:v>5</x:v>
      </x:c>
      <x:c r="BZ60" s="130" t="str">
        <x:v>Pass</x:v>
      </x:c>
      <x:c r="CA60" s="130" t="str">
        <x:v>Straight truck route only</x:v>
      </x:c>
      <x:c r="CB60" s="130" t="str">
        <x:v>Passed</x:v>
      </x:c>
      <x:c r="CC60" s="130" t="str">
        <x:v>Enrolled</x:v>
      </x:c>
      <x:c r="CD60" s="130" t="str">
        <x:v>Query Completed</x:v>
      </x:c>
      <x:c r="CE60" s="180" t="n">
        <x:v>46037</x:v>
      </x:c>
      <x:c r="CF60" s="180" t="n">
        <x:v>46218</x:v>
      </x:c>
      <x:c r="CG60" s="130"/>
      <x:c r="CH60" s="130" t="str">
        <x:v>Compliant</x:v>
      </x:c>
      <x:c r="CI60" s="130"/>
      <x:c r="CJ60" s="130" t="str">
        <x:v>Emma</x:v>
      </x:c>
      <x:c r="CK60" s="130" t="str">
        <x:v>Brown</x:v>
      </x:c>
      <x:c r="CL60" s="130" t="str">
        <x:v>OH0000106</x:v>
      </x:c>
      <x:c r="CM60" s="130" t="str">
        <x:v>OH</x:v>
      </x:c>
      <x:c r="CN60" s="130" t="str">
        <x:v>CDL Holder</x:v>
      </x:c>
      <x:c r="CO60" s="130" t="str">
        <x:v>Emma Brown</x:v>
      </x:c>
      <x:c r="CP60" s="180" t="n">
        <x:v>45915</x:v>
      </x:c>
      <x:c r="CQ60" s="180" t="n">
        <x:v>46645</x:v>
      </x:c>
      <x:c r="CR60" s="130" t="str">
        <x:v>(614) 555-0113</x:v>
      </x:c>
      <x:c r="CS60" s="130" t="str">
        <x:v>Dr. David Yang</x:v>
      </x:c>
      <x:c r="CT60" s="180" t="n">
        <x:v>45915</x:v>
      </x:c>
      <x:c r="CU60" s="130" t="str">
        <x:v>OH-ME-556547</x:v>
      </x:c>
      <x:c r="CV60" s="130" t="str">
        <x:v>ME100009</x:v>
      </x:c>
      <x:c r="CW60" s="130" t="str">
        <x:v>Physician Assistant</x:v>
      </x:c>
      <x:c r="CX60" s="130" t="str">
        <x:v>OH</x:v>
      </x:c>
      <x:c r="CY60" s="130" t="str">
        <x:v>Federal Motor Carrier Safety Regulations</x:v>
      </x:c>
      <x:c r="CZ60" s="130"/>
      <x:c r="DA60" s="130" t="str">
        <x:v>No</x:v>
      </x:c>
      <x:c r="DB60" s="130" t="str">
        <x:v>No</x:v>
      </x:c>
      <x:c r="DC60" s="130" t="str">
        <x:v>No</x:v>
      </x:c>
      <x:c r="DD60" s="130" t="str">
        <x:v>No</x:v>
      </x:c>
      <x:c r="DE60" s="130" t="str">
        <x:v>No</x:v>
      </x:c>
      <x:c r="DF60" s="130" t="str">
        <x:v>No</x:v>
      </x:c>
      <x:c r="DG60" s="130" t="str">
        <x:v>Jane Doe</x:v>
      </x:c>
      <x:c r="DH60" s="130" t="str">
        <x:v>Sister</x:v>
      </x:c>
      <x:c r="DI60" s="130" t="str">
        <x:v>555-555-5555</x:v>
      </x:c>
      <x:c r="DJ60" s="130" t="str">
        <x:v>No</x:v>
      </x:c>
      <x:c r="DK60" s="130" t="str">
        <x:v>No</x:v>
      </x:c>
      <x:c r="DL60" s="130" t="str">
        <x:v>No</x:v>
      </x:c>
      <x:c r="DM60" s="130" t="str">
        <x:v>No</x:v>
      </x:c>
      <x:c r="DN60" s="130" t="str">
        <x:v>Yes - Appendectomy (2005)</x:v>
      </x:c>
      <x:c r="DO60" s="130" t="str">
        <x:v>20/20</x:v>
      </x:c>
      <x:c r="DP60" s="130" t="str">
        <x:v>20/20</x:v>
      </x:c>
      <x:c r="DQ60" s="130" t="str">
        <x:v>Pass</x:v>
      </x:c>
      <x:c r="DR60" s="130" t="str">
        <x:v>118</x:v>
      </x:c>
      <x:c r="DS60" s="130" t="str">
        <x:v>78</x:v>
      </x:c>
      <x:c r="DT60" s="130" t="str">
        <x:v>72</x:v>
      </x:c>
      <x:c r="DU60" s="130" t="str">
        <x:v>Normal</x:v>
      </x:c>
      <x:c r="DV60" s="180" t="n">
        <x:v>45392</x:v>
      </x:c>
      <x:c r="DW60" s="180" t="n">
        <x:v>45394</x:v>
      </x:c>
      <x:c r="DX60" s="130" t="str">
        <x:v>Negative</x:v>
      </x:c>
      <x:c r="DY60" s="180" t="n">
        <x:v>45397</x:v>
      </x:c>
      <x:c r="DZ60" s="130" t="str">
        <x:v>BOF Fleet Safety &amp; Compliance Policy 2024</x:v>
      </x:c>
      <x:c r="EA60" s="130" t="str">
        <x:v>Complete</x:v>
      </x:c>
      <x:c r="EB60" s="180" t="n">
        <x:v>45413</x:v>
      </x:c>
    </x:row>
    <x:row r="61">
      <x:c r="A61" s="130" t="str">
        <x:v>DRV-009</x:v>
      </x:c>
      <x:c r="B61" s="130" t="str">
        <x:v>Emma Brown</x:v>
      </x:c>
      <x:c r="C61" s="130" t="str">
        <x:v>630 Demo Street, Columbus, OH 43215</x:v>
      </x:c>
      <x:c r="D61" s="130" t="str">
        <x:v>206-555-0103</x:v>
      </x:c>
      <x:c r="E61" s="130" t="str">
        <x:v>***-**-0124</x:v>
      </x:c>
      <x:c r="F61" s="130" t="str">
        <x:v>Chase</x:v>
      </x:c>
      <x:c r="G61" s="130" t="n">
        <x:v>000000103</x:v>
      </x:c>
      <x:c r="H61" s="130" t="n">
        <x:v>999900210</x:v>
      </x:c>
      <x:c r="I61" s="130" t="str">
        <x:v>Driver Application</x:v>
      </x:c>
      <x:c r="J61" s="130" t="str">
        <x:v>VALID</x:v>
      </x:c>
      <x:c r="K61" s="130" t="str">
        <x:v>OH0000148</x:v>
      </x:c>
      <x:c r="L61" s="180" t="n">
        <x:v>46424</x:v>
      </x:c>
      <x:c r="M61" s="180" t="n">
        <x:v>46645</x:v>
      </x:c>
      <x:c r="N61" s="180" t="n">
        <x:v>46451</x:v>
      </x:c>
      <x:c r="O61" s="130"/>
      <x:c r="P61" s="130" t="str">
        <x:v>Black</x:v>
      </x:c>
      <x:c r="Q61" s="130" t="str">
        <x:v>Brown</x:v>
      </x:c>
      <x:c r="R61" s="130" t="str">
        <x:v>5'-4"</x:v>
      </x:c>
      <x:c r="S61" s="130" t="n">
        <x:v>144</x:v>
      </x:c>
      <x:c r="T61" s="130" t="str">
        <x:v>F</x:v>
      </x:c>
      <x:c r="U61" s="130" t="n">
        <x:v>30682</x:v>
      </x:c>
      <x:c r="V61" s="130" t="str">
        <x:v>DRV-009.png</x:v>
      </x:c>
      <x:c r="W61" s="130" t="str">
        <x:v>Caucasian</x:v>
      </x:c>
      <x:c r="X61" s="130" t="str">
        <x:v>emmabrown@example.com</x:v>
      </x:c>
      <x:c r="Y61" s="130" t="str">
        <x:v>630 Demo Street</x:v>
      </x:c>
      <x:c r="Z61" s="130" t="str">
        <x:v>Columbus</x:v>
      </x:c>
      <x:c r="AA61" s="130" t="str">
        <x:v>OH</x:v>
      </x:c>
      <x:c r="AB61" s="130" t="n">
        <x:v>43215</x:v>
      </x:c>
      <x:c r="AC61" s="130" t="str">
        <x:v>OH</x:v>
      </x:c>
      <x:c r="AD61" s="130" t="str">
        <x:v>Class B</x:v>
      </x:c>
      <x:c r="AE61" s="180" t="n">
        <x:v>44602</x:v>
      </x:c>
      <x:c r="AF61" s="130" t="str">
        <x:v>P</x:v>
      </x:c>
      <x:c r="AG61" s="130" t="str">
        <x:v>Corrective lenses</x:v>
      </x:c>
      <x:c r="AH61" s="180" t="n">
        <x:v>45915</x:v>
      </x:c>
      <x:c r="AI61" s="130" t="str">
        <x:v>MC-0091016</x:v>
      </x:c>
      <x:c r="AJ61" s="130" t="str">
        <x:v>Dr. David Yang</x:v>
      </x:c>
      <x:c r="AK61" s="130" t="str">
        <x:v>ME100009</x:v>
      </x:c>
      <x:c r="AL61" s="130"/>
      <x:c r="AM61" s="130" t="str">
        <x:v>Qualified</x:v>
      </x:c>
      <x:c r="AN61" s="180" t="n">
        <x:v>46421</x:v>
      </x:c>
      <x:c r="AO61" s="130" t="n">
        <x:v>0</x:v>
      </x:c>
      <x:c r="AP61" s="130" t="n">
        <x:v>0</x:v>
      </x:c>
      <x:c r="AQ61" s="130" t="str">
        <x:v>Corrective lenses</x:v>
      </x:c>
      <x:c r="AR61" s="130" t="str">
        <x:v>Clear</x:v>
      </x:c>
      <x:c r="AS61" s="180" t="n">
        <x:v>45502</x:v>
      </x:c>
      <x:c r="AT61" s="130" t="str">
        <x:v>Authorized to Work</x:v>
      </x:c>
      <x:c r="AU61" s="130" t="str">
        <x:v>U.S. Passport</x:v>
      </x:c>
      <x:c r="AV61" s="130"/>
      <x:c r="AW61" s="130"/>
      <x:c r="AX61" s="180" t="n">
        <x:v>45502</x:v>
      </x:c>
      <x:c r="AY61" s="130" t="str">
        <x:v>BOF Onboarding Team</x:v>
      </x:c>
      <x:c r="AZ61" s="130" t="str">
        <x:v>Complete</x:v>
      </x:c>
      <x:c r="BA61" s="130"/>
      <x:c r="BB61" s="130" t="str">
        <x:v>Individual/Sole Proprietor</x:v>
      </x:c>
      <x:c r="BC61" s="130" t="str">
        <x:v>SSN</x:v>
      </x:c>
      <x:c r="BD61" s="130" t="str">
        <x:v>***-**-0124</x:v>
      </x:c>
      <x:c r="BE61" s="130"/>
      <x:c r="BF61" s="180" t="n">
        <x:v>45502</x:v>
      </x:c>
      <x:c r="BG61" s="130" t="str">
        <x:v>Received</x:v>
      </x:c>
      <x:c r="BH61" s="130" t="str">
        <x:v>Savings</x:v>
      </x:c>
      <x:c r="BI61" s="130" t="str">
        <x:v>Direct Deposit</x:v>
      </x:c>
      <x:c r="BJ61" s="180" t="n">
        <x:v>45502</x:v>
      </x:c>
      <x:c r="BK61" s="130" t="str">
        <x:v>Verified</x:v>
      </x:c>
      <x:c r="BL61" s="180" t="n">
        <x:v>45495</x:v>
      </x:c>
      <x:c r="BM61" s="130" t="str">
        <x:v>J. Alvarez</x:v>
      </x:c>
      <x:c r="BN61" s="130" t="str">
        <x:v>Straight truck</x:v>
      </x:c>
      <x:c r="BO61" s="130" t="str">
        <x:v>Straight truck</x:v>
      </x:c>
      <x:c r="BP61" s="130" t="str">
        <x:v>Columbus, OH</x:v>
      </x:c>
      <x:c r="BQ61" s="130" t="n">
        <x:v>5</x:v>
      </x:c>
      <x:c r="BR61" s="130" t="n">
        <x:v>5</x:v>
      </x:c>
      <x:c r="BS61" s="130" t="n">
        <x:v>4</x:v>
      </x:c>
      <x:c r="BT61" s="130" t="n">
        <x:v>5</x:v>
      </x:c>
      <x:c r="BU61" s="130" t="n">
        <x:v>5</x:v>
      </x:c>
      <x:c r="BV61" s="130" t="n">
        <x:v>5</x:v>
      </x:c>
      <x:c r="BW61" s="130"/>
      <x:c r="BX61" s="130" t="n">
        <x:v>5</x:v>
      </x:c>
      <x:c r="BY61" s="130" t="n">
        <x:v>5</x:v>
      </x:c>
      <x:c r="BZ61" s="130" t="str">
        <x:v>Pass</x:v>
      </x:c>
      <x:c r="CA61" s="130" t="str">
        <x:v>Straight truck route only</x:v>
      </x:c>
      <x:c r="CB61" s="130" t="str">
        <x:v>Passed</x:v>
      </x:c>
      <x:c r="CC61" s="130" t="str">
        <x:v>Enrolled</x:v>
      </x:c>
      <x:c r="CD61" s="130" t="str">
        <x:v>Query Completed</x:v>
      </x:c>
      <x:c r="CE61" s="180" t="n">
        <x:v>46037</x:v>
      </x:c>
      <x:c r="CF61" s="180" t="n">
        <x:v>46218</x:v>
      </x:c>
      <x:c r="CG61" s="130"/>
      <x:c r="CH61" s="130" t="str">
        <x:v>Compliant</x:v>
      </x:c>
      <x:c r="CI61" s="130"/>
      <x:c r="CJ61" s="130" t="str">
        <x:v>Emma</x:v>
      </x:c>
      <x:c r="CK61" s="130" t="str">
        <x:v>Brown</x:v>
      </x:c>
      <x:c r="CL61" s="130" t="str">
        <x:v>OH0000107</x:v>
      </x:c>
      <x:c r="CM61" s="130" t="str">
        <x:v>OH</x:v>
      </x:c>
      <x:c r="CN61" s="130" t="str">
        <x:v>CDL Holder</x:v>
      </x:c>
      <x:c r="CO61" s="130" t="str">
        <x:v>Emma Brown</x:v>
      </x:c>
      <x:c r="CP61" s="180" t="n">
        <x:v>45915</x:v>
      </x:c>
      <x:c r="CQ61" s="180" t="n">
        <x:v>46645</x:v>
      </x:c>
      <x:c r="CR61" s="130" t="str">
        <x:v>(614) 555-0113</x:v>
      </x:c>
      <x:c r="CS61" s="130" t="str">
        <x:v>Dr. David Yang</x:v>
      </x:c>
      <x:c r="CT61" s="180" t="n">
        <x:v>45915</x:v>
      </x:c>
      <x:c r="CU61" s="130" t="str">
        <x:v>OH-ME-556547</x:v>
      </x:c>
      <x:c r="CV61" s="130" t="str">
        <x:v>ME100009</x:v>
      </x:c>
      <x:c r="CW61" s="130" t="str">
        <x:v>Physician Assistant</x:v>
      </x:c>
      <x:c r="CX61" s="130" t="str">
        <x:v>OH</x:v>
      </x:c>
      <x:c r="CY61" s="130" t="str">
        <x:v>Federal Motor Carrier Safety Regulations</x:v>
      </x:c>
      <x:c r="CZ61" s="130"/>
      <x:c r="DA61" s="130" t="str">
        <x:v>No</x:v>
      </x:c>
      <x:c r="DB61" s="130" t="str">
        <x:v>No</x:v>
      </x:c>
      <x:c r="DC61" s="130" t="str">
        <x:v>No</x:v>
      </x:c>
      <x:c r="DD61" s="130" t="str">
        <x:v>No</x:v>
      </x:c>
      <x:c r="DE61" s="130" t="str">
        <x:v>No</x:v>
      </x:c>
      <x:c r="DF61" s="130" t="str">
        <x:v>No</x:v>
      </x:c>
      <x:c r="DG61" s="130" t="str">
        <x:v>Jane Doe</x:v>
      </x:c>
      <x:c r="DH61" s="130" t="str">
        <x:v>Sister</x:v>
      </x:c>
      <x:c r="DI61" s="130" t="str">
        <x:v>555-555-5555</x:v>
      </x:c>
      <x:c r="DJ61" s="130" t="str">
        <x:v>No</x:v>
      </x:c>
      <x:c r="DK61" s="130" t="str">
        <x:v>No</x:v>
      </x:c>
      <x:c r="DL61" s="130" t="str">
        <x:v>No</x:v>
      </x:c>
      <x:c r="DM61" s="130" t="str">
        <x:v>No</x:v>
      </x:c>
      <x:c r="DN61" s="130" t="str">
        <x:v>Yes - Appendectomy (2005)</x:v>
      </x:c>
      <x:c r="DO61" s="130" t="str">
        <x:v>20/20</x:v>
      </x:c>
      <x:c r="DP61" s="130" t="str">
        <x:v>20/20</x:v>
      </x:c>
      <x:c r="DQ61" s="130" t="str">
        <x:v>Pass</x:v>
      </x:c>
      <x:c r="DR61" s="130" t="str">
        <x:v>118</x:v>
      </x:c>
      <x:c r="DS61" s="130" t="str">
        <x:v>78</x:v>
      </x:c>
      <x:c r="DT61" s="130" t="str">
        <x:v>72</x:v>
      </x:c>
      <x:c r="DU61" s="130" t="str">
        <x:v>Normal</x:v>
      </x:c>
      <x:c r="DV61" s="180" t="n">
        <x:v>45392</x:v>
      </x:c>
      <x:c r="DW61" s="180" t="n">
        <x:v>45394</x:v>
      </x:c>
      <x:c r="DX61" s="130" t="str">
        <x:v>Negative</x:v>
      </x:c>
      <x:c r="DY61" s="180" t="n">
        <x:v>45397</x:v>
      </x:c>
      <x:c r="DZ61" s="130" t="str">
        <x:v>BOF Fleet Safety &amp; Compliance Policy 2024</x:v>
      </x:c>
      <x:c r="EA61" s="130" t="str">
        <x:v>Complete</x:v>
      </x:c>
      <x:c r="EB61" s="180" t="n">
        <x:v>45413</x:v>
      </x:c>
    </x:row>
    <x:row r="62">
      <x:c r="A62" s="130" t="str">
        <x:v>DRV-009</x:v>
      </x:c>
      <x:c r="B62" s="130" t="str">
        <x:v>Emma Brown</x:v>
      </x:c>
      <x:c r="C62" s="130" t="str">
        <x:v>630 Demo Street, Columbus, OH 43215</x:v>
      </x:c>
      <x:c r="D62" s="130" t="str">
        <x:v>206-555-0103</x:v>
      </x:c>
      <x:c r="E62" s="130" t="str">
        <x:v>***-**-0124</x:v>
      </x:c>
      <x:c r="F62" s="130" t="str">
        <x:v>Chase</x:v>
      </x:c>
      <x:c r="G62" s="130" t="n">
        <x:v>000000103</x:v>
      </x:c>
      <x:c r="H62" s="130" t="n">
        <x:v>999900210</x:v>
      </x:c>
      <x:c r="I62" s="130" t="str">
        <x:v>Road Test Certificate</x:v>
      </x:c>
      <x:c r="J62" s="130" t="str">
        <x:v>VALID</x:v>
      </x:c>
      <x:c r="K62" s="130" t="str">
        <x:v>OH0000122</x:v>
      </x:c>
      <x:c r="L62" s="180" t="n">
        <x:v>46424</x:v>
      </x:c>
      <x:c r="M62" s="180" t="n">
        <x:v>46645</x:v>
      </x:c>
      <x:c r="N62" s="180" t="n">
        <x:v>46451</x:v>
      </x:c>
      <x:c r="O62" s="130"/>
      <x:c r="P62" s="130" t="str">
        <x:v>Black</x:v>
      </x:c>
      <x:c r="Q62" s="130" t="str">
        <x:v>Brown</x:v>
      </x:c>
      <x:c r="R62" s="130" t="str">
        <x:v>5'-4"</x:v>
      </x:c>
      <x:c r="S62" s="130" t="n">
        <x:v>144</x:v>
      </x:c>
      <x:c r="T62" s="130" t="str">
        <x:v>F</x:v>
      </x:c>
      <x:c r="U62" s="130" t="n">
        <x:v>30682</x:v>
      </x:c>
      <x:c r="V62" s="130" t="str">
        <x:v>DRV-009.png</x:v>
      </x:c>
      <x:c r="W62" s="130" t="str">
        <x:v>Caucasian</x:v>
      </x:c>
      <x:c r="X62" s="130" t="str">
        <x:v>emmabrown@example.com</x:v>
      </x:c>
      <x:c r="Y62" s="130" t="str">
        <x:v>630 Demo Street</x:v>
      </x:c>
      <x:c r="Z62" s="130" t="str">
        <x:v>Columbus</x:v>
      </x:c>
      <x:c r="AA62" s="130" t="str">
        <x:v>OH</x:v>
      </x:c>
      <x:c r="AB62" s="130" t="n">
        <x:v>43215</x:v>
      </x:c>
      <x:c r="AC62" s="130" t="str">
        <x:v>OH</x:v>
      </x:c>
      <x:c r="AD62" s="130" t="str">
        <x:v>Class B</x:v>
      </x:c>
      <x:c r="AE62" s="180" t="n">
        <x:v>44602</x:v>
      </x:c>
      <x:c r="AF62" s="130" t="str">
        <x:v>P</x:v>
      </x:c>
      <x:c r="AG62" s="130" t="str">
        <x:v>Corrective lenses</x:v>
      </x:c>
      <x:c r="AH62" s="180" t="n">
        <x:v>45915</x:v>
      </x:c>
      <x:c r="AI62" s="130" t="str">
        <x:v>MC-0091016</x:v>
      </x:c>
      <x:c r="AJ62" s="130" t="str">
        <x:v>Dr. David Yang</x:v>
      </x:c>
      <x:c r="AK62" s="130" t="str">
        <x:v>ME100009</x:v>
      </x:c>
      <x:c r="AL62" s="130"/>
      <x:c r="AM62" s="130" t="str">
        <x:v>Qualified</x:v>
      </x:c>
      <x:c r="AN62" s="180" t="n">
        <x:v>46421</x:v>
      </x:c>
      <x:c r="AO62" s="130" t="n">
        <x:v>0</x:v>
      </x:c>
      <x:c r="AP62" s="130" t="n">
        <x:v>0</x:v>
      </x:c>
      <x:c r="AQ62" s="130" t="str">
        <x:v>Corrective lenses</x:v>
      </x:c>
      <x:c r="AR62" s="130" t="str">
        <x:v>Clear</x:v>
      </x:c>
      <x:c r="AS62" s="180" t="n">
        <x:v>45502</x:v>
      </x:c>
      <x:c r="AT62" s="130" t="str">
        <x:v>Authorized to Work</x:v>
      </x:c>
      <x:c r="AU62" s="130" t="str">
        <x:v>U.S. Passport</x:v>
      </x:c>
      <x:c r="AV62" s="130"/>
      <x:c r="AW62" s="130"/>
      <x:c r="AX62" s="180" t="n">
        <x:v>45502</x:v>
      </x:c>
      <x:c r="AY62" s="130" t="str">
        <x:v>BOF Onboarding Team</x:v>
      </x:c>
      <x:c r="AZ62" s="130" t="str">
        <x:v>Complete</x:v>
      </x:c>
      <x:c r="BA62" s="130"/>
      <x:c r="BB62" s="130" t="str">
        <x:v>Individual/Sole Proprietor</x:v>
      </x:c>
      <x:c r="BC62" s="130" t="str">
        <x:v>SSN</x:v>
      </x:c>
      <x:c r="BD62" s="130" t="str">
        <x:v>***-**-0124</x:v>
      </x:c>
      <x:c r="BE62" s="130"/>
      <x:c r="BF62" s="180" t="n">
        <x:v>45502</x:v>
      </x:c>
      <x:c r="BG62" s="130" t="str">
        <x:v>Received</x:v>
      </x:c>
      <x:c r="BH62" s="130" t="str">
        <x:v>Savings</x:v>
      </x:c>
      <x:c r="BI62" s="130" t="str">
        <x:v>Direct Deposit</x:v>
      </x:c>
      <x:c r="BJ62" s="180" t="n">
        <x:v>45502</x:v>
      </x:c>
      <x:c r="BK62" s="130" t="str">
        <x:v>Verified</x:v>
      </x:c>
      <x:c r="BL62" s="180" t="n">
        <x:v>45495</x:v>
      </x:c>
      <x:c r="BM62" s="130" t="str">
        <x:v>J. Alvarez</x:v>
      </x:c>
      <x:c r="BN62" s="130" t="str">
        <x:v>Straight truck</x:v>
      </x:c>
      <x:c r="BO62" s="130" t="str">
        <x:v>Straight truck</x:v>
      </x:c>
      <x:c r="BP62" s="130" t="str">
        <x:v>Columbus, OH</x:v>
      </x:c>
      <x:c r="BQ62" s="130" t="n">
        <x:v>5</x:v>
      </x:c>
      <x:c r="BR62" s="130" t="n">
        <x:v>5</x:v>
      </x:c>
      <x:c r="BS62" s="130" t="n">
        <x:v>4</x:v>
      </x:c>
      <x:c r="BT62" s="130" t="n">
        <x:v>5</x:v>
      </x:c>
      <x:c r="BU62" s="130" t="n">
        <x:v>5</x:v>
      </x:c>
      <x:c r="BV62" s="130" t="n">
        <x:v>5</x:v>
      </x:c>
      <x:c r="BW62" s="130"/>
      <x:c r="BX62" s="130" t="n">
        <x:v>5</x:v>
      </x:c>
      <x:c r="BY62" s="130" t="n">
        <x:v>5</x:v>
      </x:c>
      <x:c r="BZ62" s="130" t="str">
        <x:v>Pass</x:v>
      </x:c>
      <x:c r="CA62" s="130" t="str">
        <x:v>Straight truck route only</x:v>
      </x:c>
      <x:c r="CB62" s="130" t="str">
        <x:v>Passed</x:v>
      </x:c>
      <x:c r="CC62" s="130" t="str">
        <x:v>Enrolled</x:v>
      </x:c>
      <x:c r="CD62" s="130" t="str">
        <x:v>Query Completed</x:v>
      </x:c>
      <x:c r="CE62" s="180" t="n">
        <x:v>46037</x:v>
      </x:c>
      <x:c r="CF62" s="180" t="n">
        <x:v>46218</x:v>
      </x:c>
      <x:c r="CG62" s="130"/>
      <x:c r="CH62" s="130" t="str">
        <x:v>Compliant</x:v>
      </x:c>
      <x:c r="CI62" s="130"/>
      <x:c r="CJ62" s="130" t="str">
        <x:v>Emma</x:v>
      </x:c>
      <x:c r="CK62" s="130" t="str">
        <x:v>Brown</x:v>
      </x:c>
      <x:c r="CL62" s="130" t="str">
        <x:v>OH0000108</x:v>
      </x:c>
      <x:c r="CM62" s="130" t="str">
        <x:v>OH</x:v>
      </x:c>
      <x:c r="CN62" s="130" t="str">
        <x:v>CDL Holder</x:v>
      </x:c>
      <x:c r="CO62" s="130" t="str">
        <x:v>Emma Brown</x:v>
      </x:c>
      <x:c r="CP62" s="180" t="n">
        <x:v>45915</x:v>
      </x:c>
      <x:c r="CQ62" s="180" t="n">
        <x:v>46645</x:v>
      </x:c>
      <x:c r="CR62" s="130" t="str">
        <x:v>(614) 555-0113</x:v>
      </x:c>
      <x:c r="CS62" s="130" t="str">
        <x:v>Dr. David Yang</x:v>
      </x:c>
      <x:c r="CT62" s="180" t="n">
        <x:v>45915</x:v>
      </x:c>
      <x:c r="CU62" s="130" t="str">
        <x:v>OH-ME-556547</x:v>
      </x:c>
      <x:c r="CV62" s="130" t="str">
        <x:v>ME100009</x:v>
      </x:c>
      <x:c r="CW62" s="130" t="str">
        <x:v>Physician Assistant</x:v>
      </x:c>
      <x:c r="CX62" s="130" t="str">
        <x:v>OH</x:v>
      </x:c>
      <x:c r="CY62" s="130" t="str">
        <x:v>Federal Motor Carrier Safety Regulations</x:v>
      </x:c>
      <x:c r="CZ62" s="130"/>
      <x:c r="DA62" s="130" t="str">
        <x:v>No</x:v>
      </x:c>
      <x:c r="DB62" s="130" t="str">
        <x:v>No</x:v>
      </x:c>
      <x:c r="DC62" s="130" t="str">
        <x:v>No</x:v>
      </x:c>
      <x:c r="DD62" s="130" t="str">
        <x:v>No</x:v>
      </x:c>
      <x:c r="DE62" s="130" t="str">
        <x:v>No</x:v>
      </x:c>
      <x:c r="DF62" s="130" t="str">
        <x:v>No</x:v>
      </x:c>
      <x:c r="DG62" s="130" t="str">
        <x:v>Jane Doe</x:v>
      </x:c>
      <x:c r="DH62" s="130" t="str">
        <x:v>Sister</x:v>
      </x:c>
      <x:c r="DI62" s="130" t="str">
        <x:v>555-555-5555</x:v>
      </x:c>
      <x:c r="DJ62" s="130" t="str">
        <x:v>No</x:v>
      </x:c>
      <x:c r="DK62" s="130" t="str">
        <x:v>No</x:v>
      </x:c>
      <x:c r="DL62" s="130" t="str">
        <x:v>No</x:v>
      </x:c>
      <x:c r="DM62" s="130" t="str">
        <x:v>No</x:v>
      </x:c>
      <x:c r="DN62" s="130" t="str">
        <x:v>Yes - Appendectomy (2005)</x:v>
      </x:c>
      <x:c r="DO62" s="130" t="str">
        <x:v>20/20</x:v>
      </x:c>
      <x:c r="DP62" s="130" t="str">
        <x:v>20/20</x:v>
      </x:c>
      <x:c r="DQ62" s="130" t="str">
        <x:v>Pass</x:v>
      </x:c>
      <x:c r="DR62" s="130" t="str">
        <x:v>118</x:v>
      </x:c>
      <x:c r="DS62" s="130" t="str">
        <x:v>78</x:v>
      </x:c>
      <x:c r="DT62" s="130" t="str">
        <x:v>72</x:v>
      </x:c>
      <x:c r="DU62" s="130" t="str">
        <x:v>Normal</x:v>
      </x:c>
      <x:c r="DV62" s="180" t="n">
        <x:v>45392</x:v>
      </x:c>
      <x:c r="DW62" s="180" t="n">
        <x:v>45394</x:v>
      </x:c>
      <x:c r="DX62" s="130" t="str">
        <x:v>Negative</x:v>
      </x:c>
      <x:c r="DY62" s="180" t="n">
        <x:v>45397</x:v>
      </x:c>
      <x:c r="DZ62" s="130" t="str">
        <x:v>BOF Fleet Safety &amp; Compliance Policy 2024</x:v>
      </x:c>
      <x:c r="EA62" s="130" t="str">
        <x:v>Complete</x:v>
      </x:c>
      <x:c r="EB62" s="180" t="n">
        <x:v>45413</x:v>
      </x:c>
    </x:row>
    <x:row r="63">
      <x:c r="A63" s="130" t="str">
        <x:v>DRV-009</x:v>
      </x:c>
      <x:c r="B63" s="130" t="str">
        <x:v>Emma Brown</x:v>
      </x:c>
      <x:c r="C63" s="130" t="str">
        <x:v>630 Demo Street, Columbus, OH 43215</x:v>
      </x:c>
      <x:c r="D63" s="130" t="str">
        <x:v>206-555-0103</x:v>
      </x:c>
      <x:c r="E63" s="130" t="str">
        <x:v>***-**-0124</x:v>
      </x:c>
      <x:c r="F63" s="130" t="str">
        <x:v>Chase</x:v>
      </x:c>
      <x:c r="G63" s="130" t="n">
        <x:v>000000103</x:v>
      </x:c>
      <x:c r="H63" s="130" t="n">
        <x:v>999900210</x:v>
      </x:c>
      <x:c r="I63" s="130" t="str">
        <x:v>Incident/Accident Report</x:v>
      </x:c>
      <x:c r="J63" s="130" t="str">
        <x:v>VALID</x:v>
      </x:c>
      <x:c r="K63" s="130" t="str">
        <x:v>OH0000096</x:v>
      </x:c>
      <x:c r="L63" s="180" t="n">
        <x:v>46424</x:v>
      </x:c>
      <x:c r="M63" s="180" t="n">
        <x:v>46645</x:v>
      </x:c>
      <x:c r="N63" s="180" t="n">
        <x:v>46451</x:v>
      </x:c>
      <x:c r="O63" s="130" t="str">
        <x:v>No major incidents recorded in last 90 days.</x:v>
      </x:c>
      <x:c r="P63" s="130" t="str">
        <x:v>Black</x:v>
      </x:c>
      <x:c r="Q63" s="130" t="str">
        <x:v>Brown</x:v>
      </x:c>
      <x:c r="R63" s="130" t="str">
        <x:v>5'-4"</x:v>
      </x:c>
      <x:c r="S63" s="130" t="n">
        <x:v>144</x:v>
      </x:c>
      <x:c r="T63" s="130" t="str">
        <x:v>F</x:v>
      </x:c>
      <x:c r="U63" s="130" t="n">
        <x:v>30682</x:v>
      </x:c>
      <x:c r="V63" s="130" t="str">
        <x:v>DRV-009.png</x:v>
      </x:c>
      <x:c r="W63" s="130" t="str">
        <x:v>Caucasian</x:v>
      </x:c>
      <x:c r="X63" s="130" t="str">
        <x:v>emmabrown@example.com</x:v>
      </x:c>
      <x:c r="Y63" s="130" t="str">
        <x:v>630 Demo Street</x:v>
      </x:c>
      <x:c r="Z63" s="130" t="str">
        <x:v>Columbus</x:v>
      </x:c>
      <x:c r="AA63" s="130" t="str">
        <x:v>OH</x:v>
      </x:c>
      <x:c r="AB63" s="130" t="n">
        <x:v>43215</x:v>
      </x:c>
      <x:c r="AC63" s="130" t="str">
        <x:v>OH</x:v>
      </x:c>
      <x:c r="AD63" s="130" t="str">
        <x:v>Class B</x:v>
      </x:c>
      <x:c r="AE63" s="180" t="n">
        <x:v>44602</x:v>
      </x:c>
      <x:c r="AF63" s="130" t="str">
        <x:v>P</x:v>
      </x:c>
      <x:c r="AG63" s="130" t="str">
        <x:v>Corrective lenses</x:v>
      </x:c>
      <x:c r="AH63" s="180" t="n">
        <x:v>45915</x:v>
      </x:c>
      <x:c r="AI63" s="130" t="str">
        <x:v>MC-0091016</x:v>
      </x:c>
      <x:c r="AJ63" s="130" t="str">
        <x:v>Dr. David Yang</x:v>
      </x:c>
      <x:c r="AK63" s="130" t="str">
        <x:v>ME100009</x:v>
      </x:c>
      <x:c r="AL63" s="130"/>
      <x:c r="AM63" s="130" t="str">
        <x:v>Qualified</x:v>
      </x:c>
      <x:c r="AN63" s="180" t="n">
        <x:v>46421</x:v>
      </x:c>
      <x:c r="AO63" s="130" t="n">
        <x:v>0</x:v>
      </x:c>
      <x:c r="AP63" s="130" t="n">
        <x:v>0</x:v>
      </x:c>
      <x:c r="AQ63" s="130" t="str">
        <x:v>Corrective lenses</x:v>
      </x:c>
      <x:c r="AR63" s="130" t="str">
        <x:v>Clear</x:v>
      </x:c>
      <x:c r="AS63" s="180" t="n">
        <x:v>45502</x:v>
      </x:c>
      <x:c r="AT63" s="130" t="str">
        <x:v>Authorized to Work</x:v>
      </x:c>
      <x:c r="AU63" s="130" t="str">
        <x:v>U.S. Passport</x:v>
      </x:c>
      <x:c r="AV63" s="130"/>
      <x:c r="AW63" s="130"/>
      <x:c r="AX63" s="180" t="n">
        <x:v>45502</x:v>
      </x:c>
      <x:c r="AY63" s="130" t="str">
        <x:v>BOF Onboarding Team</x:v>
      </x:c>
      <x:c r="AZ63" s="130" t="str">
        <x:v>Complete</x:v>
      </x:c>
      <x:c r="BA63" s="130"/>
      <x:c r="BB63" s="130" t="str">
        <x:v>Individual/Sole Proprietor</x:v>
      </x:c>
      <x:c r="BC63" s="130" t="str">
        <x:v>SSN</x:v>
      </x:c>
      <x:c r="BD63" s="130" t="str">
        <x:v>***-**-0124</x:v>
      </x:c>
      <x:c r="BE63" s="130"/>
      <x:c r="BF63" s="180" t="n">
        <x:v>45502</x:v>
      </x:c>
      <x:c r="BG63" s="130" t="str">
        <x:v>Received</x:v>
      </x:c>
      <x:c r="BH63" s="130" t="str">
        <x:v>Savings</x:v>
      </x:c>
      <x:c r="BI63" s="130" t="str">
        <x:v>Direct Deposit</x:v>
      </x:c>
      <x:c r="BJ63" s="180" t="n">
        <x:v>45502</x:v>
      </x:c>
      <x:c r="BK63" s="130" t="str">
        <x:v>Verified</x:v>
      </x:c>
      <x:c r="BL63" s="180" t="n">
        <x:v>45495</x:v>
      </x:c>
      <x:c r="BM63" s="130" t="str">
        <x:v>J. Alvarez</x:v>
      </x:c>
      <x:c r="BN63" s="130" t="str">
        <x:v>Straight truck</x:v>
      </x:c>
      <x:c r="BO63" s="130" t="str">
        <x:v>Straight truck</x:v>
      </x:c>
      <x:c r="BP63" s="130" t="str">
        <x:v>Columbus, OH</x:v>
      </x:c>
      <x:c r="BQ63" s="130" t="n">
        <x:v>5</x:v>
      </x:c>
      <x:c r="BR63" s="130" t="n">
        <x:v>5</x:v>
      </x:c>
      <x:c r="BS63" s="130" t="n">
        <x:v>4</x:v>
      </x:c>
      <x:c r="BT63" s="130" t="n">
        <x:v>5</x:v>
      </x:c>
      <x:c r="BU63" s="130" t="n">
        <x:v>5</x:v>
      </x:c>
      <x:c r="BV63" s="130" t="n">
        <x:v>5</x:v>
      </x:c>
      <x:c r="BW63" s="130"/>
      <x:c r="BX63" s="130" t="n">
        <x:v>5</x:v>
      </x:c>
      <x:c r="BY63" s="130" t="n">
        <x:v>5</x:v>
      </x:c>
      <x:c r="BZ63" s="130" t="str">
        <x:v>Pass</x:v>
      </x:c>
      <x:c r="CA63" s="130" t="str">
        <x:v>Straight truck route only</x:v>
      </x:c>
      <x:c r="CB63" s="130" t="str">
        <x:v>Passed</x:v>
      </x:c>
      <x:c r="CC63" s="130" t="str">
        <x:v>Enrolled</x:v>
      </x:c>
      <x:c r="CD63" s="130" t="str">
        <x:v>Query Completed</x:v>
      </x:c>
      <x:c r="CE63" s="180" t="n">
        <x:v>46037</x:v>
      </x:c>
      <x:c r="CF63" s="180" t="n">
        <x:v>46218</x:v>
      </x:c>
      <x:c r="CG63" s="130"/>
      <x:c r="CH63" s="130" t="str">
        <x:v>Compliant</x:v>
      </x:c>
      <x:c r="CI63" s="130"/>
      <x:c r="CJ63" s="130" t="str">
        <x:v>Emma</x:v>
      </x:c>
      <x:c r="CK63" s="130" t="str">
        <x:v>Brown</x:v>
      </x:c>
      <x:c r="CL63" s="130" t="str">
        <x:v>OH0000109</x:v>
      </x:c>
      <x:c r="CM63" s="130" t="str">
        <x:v>OH</x:v>
      </x:c>
      <x:c r="CN63" s="130" t="str">
        <x:v>CDL Holder</x:v>
      </x:c>
      <x:c r="CO63" s="130" t="str">
        <x:v>Emma Brown</x:v>
      </x:c>
      <x:c r="CP63" s="180" t="n">
        <x:v>45915</x:v>
      </x:c>
      <x:c r="CQ63" s="180" t="n">
        <x:v>46645</x:v>
      </x:c>
      <x:c r="CR63" s="130" t="str">
        <x:v>(614) 555-0113</x:v>
      </x:c>
      <x:c r="CS63" s="130" t="str">
        <x:v>Dr. David Yang</x:v>
      </x:c>
      <x:c r="CT63" s="180" t="n">
        <x:v>45915</x:v>
      </x:c>
      <x:c r="CU63" s="130" t="str">
        <x:v>OH-ME-556547</x:v>
      </x:c>
      <x:c r="CV63" s="130" t="str">
        <x:v>ME100009</x:v>
      </x:c>
      <x:c r="CW63" s="130" t="str">
        <x:v>Physician Assistant</x:v>
      </x:c>
      <x:c r="CX63" s="130" t="str">
        <x:v>OH</x:v>
      </x:c>
      <x:c r="CY63" s="130" t="str">
        <x:v>Federal Motor Carrier Safety Regulations</x:v>
      </x:c>
      <x:c r="CZ63" s="130"/>
      <x:c r="DA63" s="130" t="str">
        <x:v>No</x:v>
      </x:c>
      <x:c r="DB63" s="130" t="str">
        <x:v>No</x:v>
      </x:c>
      <x:c r="DC63" s="130" t="str">
        <x:v>No</x:v>
      </x:c>
      <x:c r="DD63" s="130" t="str">
        <x:v>No</x:v>
      </x:c>
      <x:c r="DE63" s="130" t="str">
        <x:v>No</x:v>
      </x:c>
      <x:c r="DF63" s="130" t="str">
        <x:v>No</x:v>
      </x:c>
      <x:c r="DG63" s="130" t="str">
        <x:v>Jane Doe</x:v>
      </x:c>
      <x:c r="DH63" s="130" t="str">
        <x:v>Sister</x:v>
      </x:c>
      <x:c r="DI63" s="130" t="str">
        <x:v>555-555-5555</x:v>
      </x:c>
      <x:c r="DJ63" s="130" t="str">
        <x:v>No</x:v>
      </x:c>
      <x:c r="DK63" s="130" t="str">
        <x:v>No</x:v>
      </x:c>
      <x:c r="DL63" s="130" t="str">
        <x:v>No</x:v>
      </x:c>
      <x:c r="DM63" s="130" t="str">
        <x:v>No</x:v>
      </x:c>
      <x:c r="DN63" s="130" t="str">
        <x:v>Yes - Appendectomy (2005)</x:v>
      </x:c>
      <x:c r="DO63" s="130" t="str">
        <x:v>20/20</x:v>
      </x:c>
      <x:c r="DP63" s="130" t="str">
        <x:v>20/20</x:v>
      </x:c>
      <x:c r="DQ63" s="130" t="str">
        <x:v>Pass</x:v>
      </x:c>
      <x:c r="DR63" s="130" t="str">
        <x:v>118</x:v>
      </x:c>
      <x:c r="DS63" s="130" t="str">
        <x:v>78</x:v>
      </x:c>
      <x:c r="DT63" s="130" t="str">
        <x:v>72</x:v>
      </x:c>
      <x:c r="DU63" s="130" t="str">
        <x:v>Normal</x:v>
      </x:c>
      <x:c r="DV63" s="180" t="n">
        <x:v>45392</x:v>
      </x:c>
      <x:c r="DW63" s="180" t="n">
        <x:v>45394</x:v>
      </x:c>
      <x:c r="DX63" s="130" t="str">
        <x:v>Negative</x:v>
      </x:c>
      <x:c r="DY63" s="180" t="n">
        <x:v>45397</x:v>
      </x:c>
      <x:c r="DZ63" s="130" t="str">
        <x:v>BOF Fleet Safety &amp; Compliance Policy 2024</x:v>
      </x:c>
      <x:c r="EA63" s="130" t="str">
        <x:v>Complete</x:v>
      </x:c>
      <x:c r="EB63" s="180" t="n">
        <x:v>45413</x:v>
      </x:c>
    </x:row>
    <x:row r="64">
      <x:c r="A64" s="130" t="str">
        <x:v>DRV-009</x:v>
      </x:c>
      <x:c r="B64" s="130" t="str">
        <x:v>Emma Brown</x:v>
      </x:c>
      <x:c r="C64" s="130" t="str">
        <x:v>630 Demo Street, Columbus, OH 43215</x:v>
      </x:c>
      <x:c r="D64" s="130" t="str">
        <x:v>206-555-0103</x:v>
      </x:c>
      <x:c r="E64" s="130" t="str">
        <x:v>***-**-0124</x:v>
      </x:c>
      <x:c r="F64" s="130" t="str">
        <x:v>Chase</x:v>
      </x:c>
      <x:c r="G64" s="130" t="n">
        <x:v>000000103</x:v>
      </x:c>
      <x:c r="H64" s="130" t="n">
        <x:v>999900210</x:v>
      </x:c>
      <x:c r="I64" s="130" t="str">
        <x:v>Direct Deposit Form</x:v>
      </x:c>
      <x:c r="J64" s="130" t="str">
        <x:v>VALID</x:v>
      </x:c>
      <x:c r="K64" s="130" t="str">
        <x:v>OH0000140</x:v>
      </x:c>
      <x:c r="L64" s="180" t="n">
        <x:v>46424</x:v>
      </x:c>
      <x:c r="M64" s="180" t="n">
        <x:v>46645</x:v>
      </x:c>
      <x:c r="N64" s="180" t="n">
        <x:v>46451</x:v>
      </x:c>
      <x:c r="O64" s="130"/>
      <x:c r="P64" s="130" t="str">
        <x:v>Black</x:v>
      </x:c>
      <x:c r="Q64" s="130" t="str">
        <x:v>Brown</x:v>
      </x:c>
      <x:c r="R64" s="130" t="str">
        <x:v>5'-4"</x:v>
      </x:c>
      <x:c r="S64" s="130" t="n">
        <x:v>144</x:v>
      </x:c>
      <x:c r="T64" s="130" t="str">
        <x:v>F</x:v>
      </x:c>
      <x:c r="U64" s="130" t="n">
        <x:v>30682</x:v>
      </x:c>
      <x:c r="V64" s="130" t="str">
        <x:v>DRV-009.png</x:v>
      </x:c>
      <x:c r="W64" s="130" t="str">
        <x:v>Caucasian</x:v>
      </x:c>
      <x:c r="X64" s="130" t="str">
        <x:v>emmabrown@example.com</x:v>
      </x:c>
      <x:c r="Y64" s="130" t="str">
        <x:v>630 Demo Street</x:v>
      </x:c>
      <x:c r="Z64" s="130" t="str">
        <x:v>Columbus</x:v>
      </x:c>
      <x:c r="AA64" s="130" t="str">
        <x:v>OH</x:v>
      </x:c>
      <x:c r="AB64" s="130" t="n">
        <x:v>43215</x:v>
      </x:c>
      <x:c r="AC64" s="130" t="str">
        <x:v>OH</x:v>
      </x:c>
      <x:c r="AD64" s="130" t="str">
        <x:v>Class B</x:v>
      </x:c>
      <x:c r="AE64" s="180" t="n">
        <x:v>44602</x:v>
      </x:c>
      <x:c r="AF64" s="130" t="str">
        <x:v>P</x:v>
      </x:c>
      <x:c r="AG64" s="130" t="str">
        <x:v>Corrective lenses</x:v>
      </x:c>
      <x:c r="AH64" s="180" t="n">
        <x:v>45915</x:v>
      </x:c>
      <x:c r="AI64" s="130" t="str">
        <x:v>MC-0091016</x:v>
      </x:c>
      <x:c r="AJ64" s="130" t="str">
        <x:v>Dr. David Yang</x:v>
      </x:c>
      <x:c r="AK64" s="130" t="str">
        <x:v>ME100009</x:v>
      </x:c>
      <x:c r="AL64" s="130"/>
      <x:c r="AM64" s="130" t="str">
        <x:v>Qualified</x:v>
      </x:c>
      <x:c r="AN64" s="180" t="n">
        <x:v>46421</x:v>
      </x:c>
      <x:c r="AO64" s="130" t="n">
        <x:v>0</x:v>
      </x:c>
      <x:c r="AP64" s="130" t="n">
        <x:v>0</x:v>
      </x:c>
      <x:c r="AQ64" s="130" t="str">
        <x:v>Corrective lenses</x:v>
      </x:c>
      <x:c r="AR64" s="130" t="str">
        <x:v>Clear</x:v>
      </x:c>
      <x:c r="AS64" s="180" t="n">
        <x:v>45502</x:v>
      </x:c>
      <x:c r="AT64" s="130" t="str">
        <x:v>Authorized to Work</x:v>
      </x:c>
      <x:c r="AU64" s="130" t="str">
        <x:v>U.S. Passport</x:v>
      </x:c>
      <x:c r="AV64" s="130"/>
      <x:c r="AW64" s="130"/>
      <x:c r="AX64" s="180" t="n">
        <x:v>45502</x:v>
      </x:c>
      <x:c r="AY64" s="130" t="str">
        <x:v>BOF Onboarding Team</x:v>
      </x:c>
      <x:c r="AZ64" s="130" t="str">
        <x:v>Complete</x:v>
      </x:c>
      <x:c r="BA64" s="130"/>
      <x:c r="BB64" s="130" t="str">
        <x:v>Individual/Sole Proprietor</x:v>
      </x:c>
      <x:c r="BC64" s="130" t="str">
        <x:v>SSN</x:v>
      </x:c>
      <x:c r="BD64" s="130" t="str">
        <x:v>***-**-0124</x:v>
      </x:c>
      <x:c r="BE64" s="130"/>
      <x:c r="BF64" s="180" t="n">
        <x:v>45502</x:v>
      </x:c>
      <x:c r="BG64" s="130" t="str">
        <x:v>Received</x:v>
      </x:c>
      <x:c r="BH64" s="130" t="str">
        <x:v>Savings</x:v>
      </x:c>
      <x:c r="BI64" s="130" t="str">
        <x:v>Direct Deposit</x:v>
      </x:c>
      <x:c r="BJ64" s="180" t="n">
        <x:v>45502</x:v>
      </x:c>
      <x:c r="BK64" s="130" t="str">
        <x:v>Verified</x:v>
      </x:c>
      <x:c r="BL64" s="180" t="n">
        <x:v>45495</x:v>
      </x:c>
      <x:c r="BM64" s="130" t="str">
        <x:v>J. Alvarez</x:v>
      </x:c>
      <x:c r="BN64" s="130" t="str">
        <x:v>Straight truck</x:v>
      </x:c>
      <x:c r="BO64" s="130" t="str">
        <x:v>Straight truck</x:v>
      </x:c>
      <x:c r="BP64" s="130" t="str">
        <x:v>Columbus, OH</x:v>
      </x:c>
      <x:c r="BQ64" s="130" t="n">
        <x:v>5</x:v>
      </x:c>
      <x:c r="BR64" s="130" t="n">
        <x:v>5</x:v>
      </x:c>
      <x:c r="BS64" s="130" t="n">
        <x:v>4</x:v>
      </x:c>
      <x:c r="BT64" s="130" t="n">
        <x:v>5</x:v>
      </x:c>
      <x:c r="BU64" s="130" t="n">
        <x:v>5</x:v>
      </x:c>
      <x:c r="BV64" s="130" t="n">
        <x:v>5</x:v>
      </x:c>
      <x:c r="BW64" s="130"/>
      <x:c r="BX64" s="130" t="n">
        <x:v>5</x:v>
      </x:c>
      <x:c r="BY64" s="130" t="n">
        <x:v>5</x:v>
      </x:c>
      <x:c r="BZ64" s="130" t="str">
        <x:v>Pass</x:v>
      </x:c>
      <x:c r="CA64" s="130" t="str">
        <x:v>Straight truck route only</x:v>
      </x:c>
      <x:c r="CB64" s="130" t="str">
        <x:v>Passed</x:v>
      </x:c>
      <x:c r="CC64" s="130" t="str">
        <x:v>Enrolled</x:v>
      </x:c>
      <x:c r="CD64" s="130" t="str">
        <x:v>Query Completed</x:v>
      </x:c>
      <x:c r="CE64" s="180" t="n">
        <x:v>46037</x:v>
      </x:c>
      <x:c r="CF64" s="180" t="n">
        <x:v>46218</x:v>
      </x:c>
      <x:c r="CG64" s="130"/>
      <x:c r="CH64" s="130" t="str">
        <x:v>Compliant</x:v>
      </x:c>
      <x:c r="CI64" s="130"/>
      <x:c r="CJ64" s="130" t="str">
        <x:v>Emma</x:v>
      </x:c>
      <x:c r="CK64" s="130" t="str">
        <x:v>Brown</x:v>
      </x:c>
      <x:c r="CL64" s="130" t="str">
        <x:v>OH0000110</x:v>
      </x:c>
      <x:c r="CM64" s="130" t="str">
        <x:v>OH</x:v>
      </x:c>
      <x:c r="CN64" s="130" t="str">
        <x:v>CDL Holder</x:v>
      </x:c>
      <x:c r="CO64" s="130" t="str">
        <x:v>Emma Brown</x:v>
      </x:c>
      <x:c r="CP64" s="180" t="n">
        <x:v>45915</x:v>
      </x:c>
      <x:c r="CQ64" s="180" t="n">
        <x:v>46645</x:v>
      </x:c>
      <x:c r="CR64" s="130" t="str">
        <x:v>(614) 555-0113</x:v>
      </x:c>
      <x:c r="CS64" s="130" t="str">
        <x:v>Dr. David Yang</x:v>
      </x:c>
      <x:c r="CT64" s="180" t="n">
        <x:v>45915</x:v>
      </x:c>
      <x:c r="CU64" s="130" t="str">
        <x:v>OH-ME-556547</x:v>
      </x:c>
      <x:c r="CV64" s="130" t="str">
        <x:v>ME100009</x:v>
      </x:c>
      <x:c r="CW64" s="130" t="str">
        <x:v>Physician Assistant</x:v>
      </x:c>
      <x:c r="CX64" s="130" t="str">
        <x:v>OH</x:v>
      </x:c>
      <x:c r="CY64" s="130" t="str">
        <x:v>Federal Motor Carrier Safety Regulations</x:v>
      </x:c>
      <x:c r="CZ64" s="130"/>
      <x:c r="DA64" s="130" t="str">
        <x:v>No</x:v>
      </x:c>
      <x:c r="DB64" s="130" t="str">
        <x:v>No</x:v>
      </x:c>
      <x:c r="DC64" s="130" t="str">
        <x:v>No</x:v>
      </x:c>
      <x:c r="DD64" s="130" t="str">
        <x:v>No</x:v>
      </x:c>
      <x:c r="DE64" s="130" t="str">
        <x:v>No</x:v>
      </x:c>
      <x:c r="DF64" s="130" t="str">
        <x:v>No</x:v>
      </x:c>
      <x:c r="DG64" s="130" t="str">
        <x:v>Jane Doe</x:v>
      </x:c>
      <x:c r="DH64" s="130" t="str">
        <x:v>Sister</x:v>
      </x:c>
      <x:c r="DI64" s="130" t="str">
        <x:v>555-555-5555</x:v>
      </x:c>
      <x:c r="DJ64" s="130" t="str">
        <x:v>No</x:v>
      </x:c>
      <x:c r="DK64" s="130" t="str">
        <x:v>No</x:v>
      </x:c>
      <x:c r="DL64" s="130" t="str">
        <x:v>No</x:v>
      </x:c>
      <x:c r="DM64" s="130" t="str">
        <x:v>No</x:v>
      </x:c>
      <x:c r="DN64" s="130" t="str">
        <x:v>Yes - Appendectomy (2005)</x:v>
      </x:c>
      <x:c r="DO64" s="130" t="str">
        <x:v>20/20</x:v>
      </x:c>
      <x:c r="DP64" s="130" t="str">
        <x:v>20/20</x:v>
      </x:c>
      <x:c r="DQ64" s="130" t="str">
        <x:v>Pass</x:v>
      </x:c>
      <x:c r="DR64" s="130" t="str">
        <x:v>118</x:v>
      </x:c>
      <x:c r="DS64" s="130" t="str">
        <x:v>78</x:v>
      </x:c>
      <x:c r="DT64" s="130" t="str">
        <x:v>72</x:v>
      </x:c>
      <x:c r="DU64" s="130" t="str">
        <x:v>Normal</x:v>
      </x:c>
      <x:c r="DV64" s="180" t="n">
        <x:v>45392</x:v>
      </x:c>
      <x:c r="DW64" s="180" t="n">
        <x:v>45394</x:v>
      </x:c>
      <x:c r="DX64" s="130" t="str">
        <x:v>Negative</x:v>
      </x:c>
      <x:c r="DY64" s="180" t="n">
        <x:v>45397</x:v>
      </x:c>
      <x:c r="DZ64" s="130" t="str">
        <x:v>BOF Fleet Safety &amp; Compliance Policy 2024</x:v>
      </x:c>
      <x:c r="EA64" s="130" t="str">
        <x:v>Complete</x:v>
      </x:c>
      <x:c r="EB64" s="180" t="n">
        <x:v>45413</x:v>
      </x:c>
    </x:row>
    <x:row r="65">
      <x:c r="A65" s="130" t="str">
        <x:v>DRV-010</x:v>
      </x:c>
      <x:c r="B65" s="130" t="str">
        <x:v>Noah Wilson</x:v>
      </x:c>
      <x:c r="C65" s="130" t="str">
        <x:v>130 Demo Street, Chicago, IL 60603</x:v>
      </x:c>
      <x:c r="D65" s="130" t="str">
        <x:v>582-555-0100</x:v>
      </x:c>
      <x:c r="E65" s="130" t="str">
        <x:v>***-**-0112</x:v>
      </x:c>
      <x:c r="F65" s="130" t="str">
        <x:v>Chase</x:v>
      </x:c>
      <x:c r="G65" s="130" t="n">
        <x:v>000000106</x:v>
      </x:c>
      <x:c r="H65" s="130" t="n">
        <x:v>999900208</x:v>
      </x:c>
      <x:c r="I65" s="130" t="str">
        <x:v>CDL Summary</x:v>
      </x:c>
      <x:c r="J65" s="130" t="str">
        <x:v>VALID</x:v>
      </x:c>
      <x:c r="K65" s="130" t="str">
        <x:v>IL0000049</x:v>
      </x:c>
      <x:c r="L65" s="180" t="n">
        <x:v>46647</x:v>
      </x:c>
      <x:c r="M65" s="180" t="n">
        <x:v>46752</x:v>
      </x:c>
      <x:c r="N65" s="180" t="n">
        <x:v>46481</x:v>
      </x:c>
      <x:c r="O65" s="130"/>
      <x:c r="P65" s="130" t="str">
        <x:v>Black</x:v>
      </x:c>
      <x:c r="Q65" s="130" t="str">
        <x:v>Hazel</x:v>
      </x:c>
      <x:c r="R65" s="130" t="str">
        <x:v>6'-3"</x:v>
      </x:c>
      <x:c r="S65" s="130" t="n">
        <x:v>219</x:v>
      </x:c>
      <x:c r="T65" s="130" t="str">
        <x:v>M</x:v>
      </x:c>
      <x:c r="U65" s="130" t="n">
        <x:v>24108</x:v>
      </x:c>
      <x:c r="V65" s="130" t="str">
        <x:v>DRV-010.png</x:v>
      </x:c>
      <x:c r="W65" s="130" t="str">
        <x:v>Black</x:v>
      </x:c>
      <x:c r="X65" s="130" t="str">
        <x:v>nwilson@example.com</x:v>
      </x:c>
      <x:c r="Y65" s="130" t="str">
        <x:v>130 Demo Street</x:v>
      </x:c>
      <x:c r="Z65" s="130" t="str">
        <x:v>Chicago</x:v>
      </x:c>
      <x:c r="AA65" s="130" t="str">
        <x:v>IL</x:v>
      </x:c>
      <x:c r="AB65" s="130" t="n">
        <x:v>60603</x:v>
      </x:c>
      <x:c r="AC65" s="130" t="str">
        <x:v>IL</x:v>
      </x:c>
      <x:c r="AD65" s="130" t="str">
        <x:v>Class A</x:v>
      </x:c>
      <x:c r="AE65" s="180" t="n">
        <x:v>44825</x:v>
      </x:c>
      <x:c r="AF65" s="130" t="str">
        <x:v>H,N</x:v>
      </x:c>
      <x:c r="AG65" s="130"/>
      <x:c r="AH65" s="180" t="n">
        <x:v>46022</x:v>
      </x:c>
      <x:c r="AI65" s="130" t="str">
        <x:v>MC-0100911</x:v>
      </x:c>
      <x:c r="AJ65" s="130" t="str">
        <x:v>Dr. Shannon Cole</x:v>
      </x:c>
      <x:c r="AK65" s="130" t="str">
        <x:v>ME100010</x:v>
      </x:c>
      <x:c r="AL65" s="130"/>
      <x:c r="AM65" s="130" t="str">
        <x:v>Qualified</x:v>
      </x:c>
      <x:c r="AN65" s="180" t="n">
        <x:v>46451</x:v>
      </x:c>
      <x:c r="AO65" s="130" t="n">
        <x:v>1</x:v>
      </x:c>
      <x:c r="AP65" s="130" t="n">
        <x:v>0</x:v>
      </x:c>
      <x:c r="AQ65" s="130"/>
      <x:c r="AR65" s="130" t="str">
        <x:v>Clear</x:v>
      </x:c>
      <x:c r="AS65" s="180" t="n">
        <x:v>45523</x:v>
      </x:c>
      <x:c r="AT65" s="130" t="str">
        <x:v>Authorized to Work</x:v>
      </x:c>
      <x:c r="AU65" s="130" t="str">
        <x:v>U.S. Passport</x:v>
      </x:c>
      <x:c r="AV65" s="130"/>
      <x:c r="AW65" s="130"/>
      <x:c r="AX65" s="180" t="n">
        <x:v>45523</x:v>
      </x:c>
      <x:c r="AY65" s="130" t="str">
        <x:v>BOF Onboarding Team</x:v>
      </x:c>
      <x:c r="AZ65" s="130" t="str">
        <x:v>Complete</x:v>
      </x:c>
      <x:c r="BA65" s="130"/>
      <x:c r="BB65" s="130" t="str">
        <x:v>Individual/Sole Proprietor</x:v>
      </x:c>
      <x:c r="BC65" s="130" t="str">
        <x:v>SSN</x:v>
      </x:c>
      <x:c r="BD65" s="130" t="str">
        <x:v>***-**-0112</x:v>
      </x:c>
      <x:c r="BE65" s="130"/>
      <x:c r="BF65" s="180" t="n">
        <x:v>45523</x:v>
      </x:c>
      <x:c r="BG65" s="130" t="str">
        <x:v>Received</x:v>
      </x:c>
      <x:c r="BH65" s="130" t="str">
        <x:v>Checking</x:v>
      </x:c>
      <x:c r="BI65" s="130" t="str">
        <x:v>Direct Deposit</x:v>
      </x:c>
      <x:c r="BJ65" s="180" t="n">
        <x:v>45523</x:v>
      </x:c>
      <x:c r="BK65" s="130" t="str">
        <x:v>Verified</x:v>
      </x:c>
      <x:c r="BL65" s="180" t="n">
        <x:v>45516</x:v>
      </x:c>
      <x:c r="BM65" s="130" t="str">
        <x:v>P. Mitchell</x:v>
      </x:c>
      <x:c r="BN65" s="130" t="str">
        <x:v>Sleeper tractor</x:v>
      </x:c>
      <x:c r="BO65" s="130" t="str">
        <x:v>53 ft reefer</x:v>
      </x:c>
      <x:c r="BP65" s="130" t="str">
        <x:v>Chicago, IL</x:v>
      </x:c>
      <x:c r="BQ65" s="130" t="n">
        <x:v>4</x:v>
      </x:c>
      <x:c r="BR65" s="130" t="n">
        <x:v>5</x:v>
      </x:c>
      <x:c r="BS65" s="130" t="n">
        <x:v>4</x:v>
      </x:c>
      <x:c r="BT65" s="130" t="n">
        <x:v>4</x:v>
      </x:c>
      <x:c r="BU65" s="130" t="n">
        <x:v>5</x:v>
      </x:c>
      <x:c r="BV65" s="130" t="n">
        <x:v>5</x:v>
      </x:c>
      <x:c r="BW65" s="130" t="n">
        <x:v>4</x:v>
      </x:c>
      <x:c r="BX65" s="130" t="n">
        <x:v>5</x:v>
      </x:c>
      <x:c r="BY65" s="130" t="n">
        <x:v>4</x:v>
      </x:c>
      <x:c r="BZ65" s="130" t="str">
        <x:v>Pass</x:v>
      </x:c>
      <x:c r="CA65" s="130"/>
      <x:c r="CB65" s="130" t="str">
        <x:v>Passed</x:v>
      </x:c>
      <x:c r="CC65" s="130" t="str">
        <x:v>Enrolled</x:v>
      </x:c>
      <x:c r="CD65" s="130" t="str">
        <x:v>Query Completed</x:v>
      </x:c>
      <x:c r="CE65" s="180" t="n">
        <x:v>46037</x:v>
      </x:c>
      <x:c r="CF65" s="180" t="n">
        <x:v>46218</x:v>
      </x:c>
      <x:c r="CG65" s="130"/>
      <x:c r="CH65" s="130" t="str">
        <x:v>Compliant</x:v>
      </x:c>
      <x:c r="CI65" s="130"/>
      <x:c r="CJ65" s="130" t="str">
        <x:v>Noah</x:v>
      </x:c>
      <x:c r="CK65" s="130" t="str">
        <x:v>Wilson</x:v>
      </x:c>
      <x:c r="CL65" s="130" t="str">
        <x:v>IL0000049</x:v>
      </x:c>
      <x:c r="CM65" s="130" t="str">
        <x:v>IL</x:v>
      </x:c>
      <x:c r="CN65" s="130" t="str">
        <x:v>CDL Holder</x:v>
      </x:c>
      <x:c r="CO65" s="130" t="str">
        <x:v>Noah Wilson</x:v>
      </x:c>
      <x:c r="CP65" s="180" t="n">
        <x:v>46022</x:v>
      </x:c>
      <x:c r="CQ65" s="180" t="n">
        <x:v>46752</x:v>
      </x:c>
      <x:c r="CR65" s="130" t="str">
        <x:v>(312) 555-0109</x:v>
      </x:c>
      <x:c r="CS65" s="130" t="str">
        <x:v>Dr. Shannon Cole</x:v>
      </x:c>
      <x:c r="CT65" s="180" t="n">
        <x:v>46022</x:v>
      </x:c>
      <x:c r="CU65" s="130" t="str">
        <x:v>IL-ME-366300</x:v>
      </x:c>
      <x:c r="CV65" s="130" t="str">
        <x:v>ME100010</x:v>
      </x:c>
      <x:c r="CW65" s="130" t="str">
        <x:v>DO</x:v>
      </x:c>
      <x:c r="CX65" s="130" t="str">
        <x:v>IL</x:v>
      </x:c>
      <x:c r="CY65" s="130" t="str">
        <x:v>Federal Motor Carrier Safety Regulations</x:v>
      </x:c>
      <x:c r="CZ65" s="130"/>
      <x:c r="DA65" s="130" t="str">
        <x:v>No</x:v>
      </x:c>
      <x:c r="DB65" s="130" t="str">
        <x:v>No</x:v>
      </x:c>
      <x:c r="DC65" s="130" t="str">
        <x:v>No</x:v>
      </x:c>
      <x:c r="DD65" s="130" t="str">
        <x:v>No</x:v>
      </x:c>
      <x:c r="DE65" s="130" t="str">
        <x:v>No</x:v>
      </x:c>
      <x:c r="DF65" s="130" t="str">
        <x:v>No</x:v>
      </x:c>
      <x:c r="DG65" s="130" t="str">
        <x:v>Jane Doe</x:v>
      </x:c>
      <x:c r="DH65" s="130" t="str">
        <x:v>Sister</x:v>
      </x:c>
      <x:c r="DI65" s="130" t="str">
        <x:v>555-555-5555</x:v>
      </x:c>
      <x:c r="DJ65" s="130" t="str">
        <x:v>No</x:v>
      </x:c>
      <x:c r="DK65" s="130" t="str">
        <x:v>No</x:v>
      </x:c>
      <x:c r="DL65" s="130" t="str">
        <x:v>No</x:v>
      </x:c>
      <x:c r="DM65" s="130" t="str">
        <x:v>No</x:v>
      </x:c>
      <x:c r="DN65" s="130" t="str">
        <x:v>Yes - Appendectomy (2005)</x:v>
      </x:c>
      <x:c r="DO65" s="130" t="str">
        <x:v>20/20</x:v>
      </x:c>
      <x:c r="DP65" s="130" t="str">
        <x:v>20/20</x:v>
      </x:c>
      <x:c r="DQ65" s="130" t="str">
        <x:v>Pass</x:v>
      </x:c>
      <x:c r="DR65" s="130" t="str">
        <x:v>118</x:v>
      </x:c>
      <x:c r="DS65" s="130" t="str">
        <x:v>78</x:v>
      </x:c>
      <x:c r="DT65" s="130" t="str">
        <x:v>72</x:v>
      </x:c>
      <x:c r="DU65" s="130" t="str">
        <x:v>Normal</x:v>
      </x:c>
      <x:c r="DV65" s="180" t="n">
        <x:v>45392</x:v>
      </x:c>
      <x:c r="DW65" s="180" t="n">
        <x:v>45394</x:v>
      </x:c>
      <x:c r="DX65" s="130" t="str">
        <x:v>Negative</x:v>
      </x:c>
      <x:c r="DY65" s="180" t="n">
        <x:v>45397</x:v>
      </x:c>
      <x:c r="DZ65" s="130" t="str">
        <x:v>BOF Fleet Safety &amp; Compliance Policy 2024</x:v>
      </x:c>
      <x:c r="EA65" s="130" t="str">
        <x:v>Complete</x:v>
      </x:c>
      <x:c r="EB65" s="180" t="n">
        <x:v>45413</x:v>
      </x:c>
    </x:row>
    <x:row r="66">
      <x:c r="A66" s="130" t="str">
        <x:v>DRV-010</x:v>
      </x:c>
      <x:c r="B66" s="130" t="str">
        <x:v>Noah Wilson</x:v>
      </x:c>
      <x:c r="C66" s="130" t="str">
        <x:v>130 Demo Street, Chicago, IL 60603</x:v>
      </x:c>
      <x:c r="D66" s="130" t="str">
        <x:v>582-555-0100</x:v>
      </x:c>
      <x:c r="E66" s="130" t="str">
        <x:v>***-**-0112</x:v>
      </x:c>
      <x:c r="F66" s="130" t="str">
        <x:v>Chase</x:v>
      </x:c>
      <x:c r="G66" s="130" t="n">
        <x:v>000000106</x:v>
      </x:c>
      <x:c r="H66" s="130" t="n">
        <x:v>999900208</x:v>
      </x:c>
      <x:c r="I66" s="130" t="str">
        <x:v>Medical Certification</x:v>
      </x:c>
      <x:c r="J66" s="130" t="str">
        <x:v>VALID</x:v>
      </x:c>
      <x:c r="K66" s="130" t="str">
        <x:v>IL0000037</x:v>
      </x:c>
      <x:c r="L66" s="180" t="n">
        <x:v>46647</x:v>
      </x:c>
      <x:c r="M66" s="180" t="n">
        <x:v>46752</x:v>
      </x:c>
      <x:c r="N66" s="180" t="n">
        <x:v>46481</x:v>
      </x:c>
      <x:c r="O66" s="130"/>
      <x:c r="P66" s="130" t="str">
        <x:v>Black</x:v>
      </x:c>
      <x:c r="Q66" s="130" t="str">
        <x:v>Hazel</x:v>
      </x:c>
      <x:c r="R66" s="130" t="str">
        <x:v>6'-3"</x:v>
      </x:c>
      <x:c r="S66" s="130" t="n">
        <x:v>219</x:v>
      </x:c>
      <x:c r="T66" s="130" t="str">
        <x:v>M</x:v>
      </x:c>
      <x:c r="U66" s="130" t="n">
        <x:v>24108</x:v>
      </x:c>
      <x:c r="V66" s="130" t="str">
        <x:v>DRV-010.png</x:v>
      </x:c>
      <x:c r="W66" s="130" t="str">
        <x:v>Black</x:v>
      </x:c>
      <x:c r="X66" s="130" t="str">
        <x:v>nwilson@example.com</x:v>
      </x:c>
      <x:c r="Y66" s="130" t="str">
        <x:v>130 Demo Street</x:v>
      </x:c>
      <x:c r="Z66" s="130" t="str">
        <x:v>Chicago</x:v>
      </x:c>
      <x:c r="AA66" s="130" t="str">
        <x:v>IL</x:v>
      </x:c>
      <x:c r="AB66" s="130" t="n">
        <x:v>60603</x:v>
      </x:c>
      <x:c r="AC66" s="130" t="str">
        <x:v>IL</x:v>
      </x:c>
      <x:c r="AD66" s="130" t="str">
        <x:v>Class A</x:v>
      </x:c>
      <x:c r="AE66" s="180" t="n">
        <x:v>44825</x:v>
      </x:c>
      <x:c r="AF66" s="130" t="str">
        <x:v>H,N</x:v>
      </x:c>
      <x:c r="AG66" s="130"/>
      <x:c r="AH66" s="180" t="n">
        <x:v>46022</x:v>
      </x:c>
      <x:c r="AI66" s="130" t="str">
        <x:v>MC-0100911</x:v>
      </x:c>
      <x:c r="AJ66" s="130" t="str">
        <x:v>Dr. Shannon Cole</x:v>
      </x:c>
      <x:c r="AK66" s="130" t="str">
        <x:v>ME100010</x:v>
      </x:c>
      <x:c r="AL66" s="130"/>
      <x:c r="AM66" s="130" t="str">
        <x:v>Qualified</x:v>
      </x:c>
      <x:c r="AN66" s="180" t="n">
        <x:v>46451</x:v>
      </x:c>
      <x:c r="AO66" s="130" t="n">
        <x:v>1</x:v>
      </x:c>
      <x:c r="AP66" s="130" t="n">
        <x:v>0</x:v>
      </x:c>
      <x:c r="AQ66" s="130"/>
      <x:c r="AR66" s="130" t="str">
        <x:v>Clear</x:v>
      </x:c>
      <x:c r="AS66" s="180" t="n">
        <x:v>45523</x:v>
      </x:c>
      <x:c r="AT66" s="130" t="str">
        <x:v>Authorized to Work</x:v>
      </x:c>
      <x:c r="AU66" s="130" t="str">
        <x:v>U.S. Passport</x:v>
      </x:c>
      <x:c r="AV66" s="130"/>
      <x:c r="AW66" s="130"/>
      <x:c r="AX66" s="180" t="n">
        <x:v>45523</x:v>
      </x:c>
      <x:c r="AY66" s="130" t="str">
        <x:v>BOF Onboarding Team</x:v>
      </x:c>
      <x:c r="AZ66" s="130" t="str">
        <x:v>Complete</x:v>
      </x:c>
      <x:c r="BA66" s="130"/>
      <x:c r="BB66" s="130" t="str">
        <x:v>Individual/Sole Proprietor</x:v>
      </x:c>
      <x:c r="BC66" s="130" t="str">
        <x:v>SSN</x:v>
      </x:c>
      <x:c r="BD66" s="130" t="str">
        <x:v>***-**-0112</x:v>
      </x:c>
      <x:c r="BE66" s="130"/>
      <x:c r="BF66" s="180" t="n">
        <x:v>45523</x:v>
      </x:c>
      <x:c r="BG66" s="130" t="str">
        <x:v>Received</x:v>
      </x:c>
      <x:c r="BH66" s="130" t="str">
        <x:v>Checking</x:v>
      </x:c>
      <x:c r="BI66" s="130" t="str">
        <x:v>Direct Deposit</x:v>
      </x:c>
      <x:c r="BJ66" s="180" t="n">
        <x:v>45523</x:v>
      </x:c>
      <x:c r="BK66" s="130" t="str">
        <x:v>Verified</x:v>
      </x:c>
      <x:c r="BL66" s="180" t="n">
        <x:v>45516</x:v>
      </x:c>
      <x:c r="BM66" s="130" t="str">
        <x:v>P. Mitchell</x:v>
      </x:c>
      <x:c r="BN66" s="130" t="str">
        <x:v>Sleeper tractor</x:v>
      </x:c>
      <x:c r="BO66" s="130" t="str">
        <x:v>53 ft reefer</x:v>
      </x:c>
      <x:c r="BP66" s="130" t="str">
        <x:v>Chicago, IL</x:v>
      </x:c>
      <x:c r="BQ66" s="130" t="n">
        <x:v>4</x:v>
      </x:c>
      <x:c r="BR66" s="130" t="n">
        <x:v>5</x:v>
      </x:c>
      <x:c r="BS66" s="130" t="n">
        <x:v>4</x:v>
      </x:c>
      <x:c r="BT66" s="130" t="n">
        <x:v>4</x:v>
      </x:c>
      <x:c r="BU66" s="130" t="n">
        <x:v>5</x:v>
      </x:c>
      <x:c r="BV66" s="130" t="n">
        <x:v>5</x:v>
      </x:c>
      <x:c r="BW66" s="130" t="n">
        <x:v>4</x:v>
      </x:c>
      <x:c r="BX66" s="130" t="n">
        <x:v>5</x:v>
      </x:c>
      <x:c r="BY66" s="130" t="n">
        <x:v>4</x:v>
      </x:c>
      <x:c r="BZ66" s="130" t="str">
        <x:v>Pass</x:v>
      </x:c>
      <x:c r="CA66" s="130"/>
      <x:c r="CB66" s="130" t="str">
        <x:v>Passed</x:v>
      </x:c>
      <x:c r="CC66" s="130" t="str">
        <x:v>Enrolled</x:v>
      </x:c>
      <x:c r="CD66" s="130" t="str">
        <x:v>Query Completed</x:v>
      </x:c>
      <x:c r="CE66" s="180" t="n">
        <x:v>46037</x:v>
      </x:c>
      <x:c r="CF66" s="180" t="n">
        <x:v>46218</x:v>
      </x:c>
      <x:c r="CG66" s="130"/>
      <x:c r="CH66" s="130" t="str">
        <x:v>Compliant</x:v>
      </x:c>
      <x:c r="CI66" s="130"/>
      <x:c r="CJ66" s="130" t="str">
        <x:v>Noah</x:v>
      </x:c>
      <x:c r="CK66" s="130" t="str">
        <x:v>Wilson</x:v>
      </x:c>
      <x:c r="CL66" s="130" t="str">
        <x:v>IL0000050</x:v>
      </x:c>
      <x:c r="CM66" s="130" t="str">
        <x:v>IL</x:v>
      </x:c>
      <x:c r="CN66" s="130" t="str">
        <x:v>CDL Holder</x:v>
      </x:c>
      <x:c r="CO66" s="130" t="str">
        <x:v>Noah Wilson</x:v>
      </x:c>
      <x:c r="CP66" s="180" t="n">
        <x:v>46022</x:v>
      </x:c>
      <x:c r="CQ66" s="180" t="n">
        <x:v>46752</x:v>
      </x:c>
      <x:c r="CR66" s="130" t="str">
        <x:v>(312) 555-0109</x:v>
      </x:c>
      <x:c r="CS66" s="130" t="str">
        <x:v>Dr. Shannon Cole</x:v>
      </x:c>
      <x:c r="CT66" s="180" t="n">
        <x:v>46022</x:v>
      </x:c>
      <x:c r="CU66" s="130" t="str">
        <x:v>IL-ME-366300</x:v>
      </x:c>
      <x:c r="CV66" s="130" t="str">
        <x:v>ME100010</x:v>
      </x:c>
      <x:c r="CW66" s="130" t="str">
        <x:v>DO</x:v>
      </x:c>
      <x:c r="CX66" s="130" t="str">
        <x:v>IL</x:v>
      </x:c>
      <x:c r="CY66" s="130" t="str">
        <x:v>Federal Motor Carrier Safety Regulations</x:v>
      </x:c>
      <x:c r="CZ66" s="130"/>
      <x:c r="DA66" s="130" t="str">
        <x:v>No</x:v>
      </x:c>
      <x:c r="DB66" s="130" t="str">
        <x:v>No</x:v>
      </x:c>
      <x:c r="DC66" s="130" t="str">
        <x:v>No</x:v>
      </x:c>
      <x:c r="DD66" s="130" t="str">
        <x:v>No</x:v>
      </x:c>
      <x:c r="DE66" s="130" t="str">
        <x:v>No</x:v>
      </x:c>
      <x:c r="DF66" s="130" t="str">
        <x:v>No</x:v>
      </x:c>
      <x:c r="DG66" s="130" t="str">
        <x:v>Jane Doe</x:v>
      </x:c>
      <x:c r="DH66" s="130" t="str">
        <x:v>Sister</x:v>
      </x:c>
      <x:c r="DI66" s="130" t="str">
        <x:v>555-555-5555</x:v>
      </x:c>
      <x:c r="DJ66" s="130" t="str">
        <x:v>No</x:v>
      </x:c>
      <x:c r="DK66" s="130" t="str">
        <x:v>No</x:v>
      </x:c>
      <x:c r="DL66" s="130" t="str">
        <x:v>No</x:v>
      </x:c>
      <x:c r="DM66" s="130" t="str">
        <x:v>No</x:v>
      </x:c>
      <x:c r="DN66" s="130" t="str">
        <x:v>Yes - Appendectomy (2005)</x:v>
      </x:c>
      <x:c r="DO66" s="130" t="str">
        <x:v>20/20</x:v>
      </x:c>
      <x:c r="DP66" s="130" t="str">
        <x:v>20/20</x:v>
      </x:c>
      <x:c r="DQ66" s="130" t="str">
        <x:v>Pass</x:v>
      </x:c>
      <x:c r="DR66" s="130" t="str">
        <x:v>118</x:v>
      </x:c>
      <x:c r="DS66" s="130" t="str">
        <x:v>78</x:v>
      </x:c>
      <x:c r="DT66" s="130" t="str">
        <x:v>72</x:v>
      </x:c>
      <x:c r="DU66" s="130" t="str">
        <x:v>Normal</x:v>
      </x:c>
      <x:c r="DV66" s="180" t="n">
        <x:v>45392</x:v>
      </x:c>
      <x:c r="DW66" s="180" t="n">
        <x:v>45394</x:v>
      </x:c>
      <x:c r="DX66" s="130" t="str">
        <x:v>Negative</x:v>
      </x:c>
      <x:c r="DY66" s="180" t="n">
        <x:v>45397</x:v>
      </x:c>
      <x:c r="DZ66" s="130" t="str">
        <x:v>BOF Fleet Safety &amp; Compliance Policy 2024</x:v>
      </x:c>
      <x:c r="EA66" s="130" t="str">
        <x:v>Complete</x:v>
      </x:c>
      <x:c r="EB66" s="180" t="n">
        <x:v>45413</x:v>
      </x:c>
    </x:row>
    <x:row r="67">
      <x:c r="A67" s="130" t="str">
        <x:v>DRV-010</x:v>
      </x:c>
      <x:c r="B67" s="130" t="str">
        <x:v>Noah Wilson</x:v>
      </x:c>
      <x:c r="C67" s="130" t="str">
        <x:v>130 Demo Street, Chicago, IL 60603</x:v>
      </x:c>
      <x:c r="D67" s="130" t="str">
        <x:v>582-555-0100</x:v>
      </x:c>
      <x:c r="E67" s="130" t="str">
        <x:v>***-**-0112</x:v>
      </x:c>
      <x:c r="F67" s="130" t="str">
        <x:v>Chase</x:v>
      </x:c>
      <x:c r="G67" s="130" t="n">
        <x:v>000000106</x:v>
      </x:c>
      <x:c r="H67" s="130" t="n">
        <x:v>999900208</x:v>
      </x:c>
      <x:c r="I67" s="130" t="str">
        <x:v>MVR Background Report</x:v>
      </x:c>
      <x:c r="J67" s="130" t="str">
        <x:v>VALID</x:v>
      </x:c>
      <x:c r="K67" s="130" t="str">
        <x:v>IL0000060</x:v>
      </x:c>
      <x:c r="L67" s="180" t="n">
        <x:v>46647</x:v>
      </x:c>
      <x:c r="M67" s="180" t="n">
        <x:v>46752</x:v>
      </x:c>
      <x:c r="N67" s="180" t="n">
        <x:v>46481</x:v>
      </x:c>
      <x:c r="O67" s="130"/>
      <x:c r="P67" s="130" t="str">
        <x:v>Black</x:v>
      </x:c>
      <x:c r="Q67" s="130" t="str">
        <x:v>Hazel</x:v>
      </x:c>
      <x:c r="R67" s="130" t="str">
        <x:v>6'-3"</x:v>
      </x:c>
      <x:c r="S67" s="130" t="n">
        <x:v>219</x:v>
      </x:c>
      <x:c r="T67" s="130" t="str">
        <x:v>M</x:v>
      </x:c>
      <x:c r="U67" s="130" t="n">
        <x:v>24108</x:v>
      </x:c>
      <x:c r="V67" s="130" t="str">
        <x:v>DRV-010.png</x:v>
      </x:c>
      <x:c r="W67" s="130" t="str">
        <x:v>Black</x:v>
      </x:c>
      <x:c r="X67" s="130" t="str">
        <x:v>nwilson@example.com</x:v>
      </x:c>
      <x:c r="Y67" s="130" t="str">
        <x:v>130 Demo Street</x:v>
      </x:c>
      <x:c r="Z67" s="130" t="str">
        <x:v>Chicago</x:v>
      </x:c>
      <x:c r="AA67" s="130" t="str">
        <x:v>IL</x:v>
      </x:c>
      <x:c r="AB67" s="130" t="n">
        <x:v>60603</x:v>
      </x:c>
      <x:c r="AC67" s="130" t="str">
        <x:v>IL</x:v>
      </x:c>
      <x:c r="AD67" s="130" t="str">
        <x:v>Class A</x:v>
      </x:c>
      <x:c r="AE67" s="180" t="n">
        <x:v>44825</x:v>
      </x:c>
      <x:c r="AF67" s="130" t="str">
        <x:v>H,N</x:v>
      </x:c>
      <x:c r="AG67" s="130"/>
      <x:c r="AH67" s="180" t="n">
        <x:v>46022</x:v>
      </x:c>
      <x:c r="AI67" s="130" t="str">
        <x:v>MC-0100911</x:v>
      </x:c>
      <x:c r="AJ67" s="130" t="str">
        <x:v>Dr. Shannon Cole</x:v>
      </x:c>
      <x:c r="AK67" s="130" t="str">
        <x:v>ME100010</x:v>
      </x:c>
      <x:c r="AL67" s="130"/>
      <x:c r="AM67" s="130" t="str">
        <x:v>Qualified</x:v>
      </x:c>
      <x:c r="AN67" s="180" t="n">
        <x:v>46451</x:v>
      </x:c>
      <x:c r="AO67" s="130" t="n">
        <x:v>1</x:v>
      </x:c>
      <x:c r="AP67" s="130" t="n">
        <x:v>0</x:v>
      </x:c>
      <x:c r="AQ67" s="130"/>
      <x:c r="AR67" s="130" t="str">
        <x:v>Clear</x:v>
      </x:c>
      <x:c r="AS67" s="180" t="n">
        <x:v>45523</x:v>
      </x:c>
      <x:c r="AT67" s="130" t="str">
        <x:v>Authorized to Work</x:v>
      </x:c>
      <x:c r="AU67" s="130" t="str">
        <x:v>U.S. Passport</x:v>
      </x:c>
      <x:c r="AV67" s="130"/>
      <x:c r="AW67" s="130"/>
      <x:c r="AX67" s="180" t="n">
        <x:v>45523</x:v>
      </x:c>
      <x:c r="AY67" s="130" t="str">
        <x:v>BOF Onboarding Team</x:v>
      </x:c>
      <x:c r="AZ67" s="130" t="str">
        <x:v>Complete</x:v>
      </x:c>
      <x:c r="BA67" s="130"/>
      <x:c r="BB67" s="130" t="str">
        <x:v>Individual/Sole Proprietor</x:v>
      </x:c>
      <x:c r="BC67" s="130" t="str">
        <x:v>SSN</x:v>
      </x:c>
      <x:c r="BD67" s="130" t="str">
        <x:v>***-**-0112</x:v>
      </x:c>
      <x:c r="BE67" s="130"/>
      <x:c r="BF67" s="180" t="n">
        <x:v>45523</x:v>
      </x:c>
      <x:c r="BG67" s="130" t="str">
        <x:v>Received</x:v>
      </x:c>
      <x:c r="BH67" s="130" t="str">
        <x:v>Checking</x:v>
      </x:c>
      <x:c r="BI67" s="130" t="str">
        <x:v>Direct Deposit</x:v>
      </x:c>
      <x:c r="BJ67" s="180" t="n">
        <x:v>45523</x:v>
      </x:c>
      <x:c r="BK67" s="130" t="str">
        <x:v>Verified</x:v>
      </x:c>
      <x:c r="BL67" s="180" t="n">
        <x:v>45516</x:v>
      </x:c>
      <x:c r="BM67" s="130" t="str">
        <x:v>P. Mitchell</x:v>
      </x:c>
      <x:c r="BN67" s="130" t="str">
        <x:v>Sleeper tractor</x:v>
      </x:c>
      <x:c r="BO67" s="130" t="str">
        <x:v>53 ft reefer</x:v>
      </x:c>
      <x:c r="BP67" s="130" t="str">
        <x:v>Chicago, IL</x:v>
      </x:c>
      <x:c r="BQ67" s="130" t="n">
        <x:v>4</x:v>
      </x:c>
      <x:c r="BR67" s="130" t="n">
        <x:v>5</x:v>
      </x:c>
      <x:c r="BS67" s="130" t="n">
        <x:v>4</x:v>
      </x:c>
      <x:c r="BT67" s="130" t="n">
        <x:v>4</x:v>
      </x:c>
      <x:c r="BU67" s="130" t="n">
        <x:v>5</x:v>
      </x:c>
      <x:c r="BV67" s="130" t="n">
        <x:v>5</x:v>
      </x:c>
      <x:c r="BW67" s="130" t="n">
        <x:v>4</x:v>
      </x:c>
      <x:c r="BX67" s="130" t="n">
        <x:v>5</x:v>
      </x:c>
      <x:c r="BY67" s="130" t="n">
        <x:v>4</x:v>
      </x:c>
      <x:c r="BZ67" s="130" t="str">
        <x:v>Pass</x:v>
      </x:c>
      <x:c r="CA67" s="130"/>
      <x:c r="CB67" s="130" t="str">
        <x:v>Passed</x:v>
      </x:c>
      <x:c r="CC67" s="130" t="str">
        <x:v>Enrolled</x:v>
      </x:c>
      <x:c r="CD67" s="130" t="str">
        <x:v>Query Completed</x:v>
      </x:c>
      <x:c r="CE67" s="180" t="n">
        <x:v>46037</x:v>
      </x:c>
      <x:c r="CF67" s="180" t="n">
        <x:v>46218</x:v>
      </x:c>
      <x:c r="CG67" s="130"/>
      <x:c r="CH67" s="130" t="str">
        <x:v>Compliant</x:v>
      </x:c>
      <x:c r="CI67" s="130"/>
      <x:c r="CJ67" s="130" t="str">
        <x:v>Noah</x:v>
      </x:c>
      <x:c r="CK67" s="130" t="str">
        <x:v>Wilson</x:v>
      </x:c>
      <x:c r="CL67" s="130" t="str">
        <x:v>IL0000051</x:v>
      </x:c>
      <x:c r="CM67" s="130" t="str">
        <x:v>IL</x:v>
      </x:c>
      <x:c r="CN67" s="130" t="str">
        <x:v>CDL Holder</x:v>
      </x:c>
      <x:c r="CO67" s="130" t="str">
        <x:v>Noah Wilson</x:v>
      </x:c>
      <x:c r="CP67" s="180" t="n">
        <x:v>46022</x:v>
      </x:c>
      <x:c r="CQ67" s="180" t="n">
        <x:v>46752</x:v>
      </x:c>
      <x:c r="CR67" s="130" t="str">
        <x:v>(312) 555-0109</x:v>
      </x:c>
      <x:c r="CS67" s="130" t="str">
        <x:v>Dr. Shannon Cole</x:v>
      </x:c>
      <x:c r="CT67" s="180" t="n">
        <x:v>46022</x:v>
      </x:c>
      <x:c r="CU67" s="130" t="str">
        <x:v>IL-ME-366300</x:v>
      </x:c>
      <x:c r="CV67" s="130" t="str">
        <x:v>ME100010</x:v>
      </x:c>
      <x:c r="CW67" s="130" t="str">
        <x:v>DO</x:v>
      </x:c>
      <x:c r="CX67" s="130" t="str">
        <x:v>IL</x:v>
      </x:c>
      <x:c r="CY67" s="130" t="str">
        <x:v>Federal Motor Carrier Safety Regulations</x:v>
      </x:c>
      <x:c r="CZ67" s="130"/>
      <x:c r="DA67" s="130" t="str">
        <x:v>No</x:v>
      </x:c>
      <x:c r="DB67" s="130" t="str">
        <x:v>No</x:v>
      </x:c>
      <x:c r="DC67" s="130" t="str">
        <x:v>No</x:v>
      </x:c>
      <x:c r="DD67" s="130" t="str">
        <x:v>No</x:v>
      </x:c>
      <x:c r="DE67" s="130" t="str">
        <x:v>No</x:v>
      </x:c>
      <x:c r="DF67" s="130" t="str">
        <x:v>No</x:v>
      </x:c>
      <x:c r="DG67" s="130" t="str">
        <x:v>Jane Doe</x:v>
      </x:c>
      <x:c r="DH67" s="130" t="str">
        <x:v>Sister</x:v>
      </x:c>
      <x:c r="DI67" s="130" t="str">
        <x:v>555-555-5555</x:v>
      </x:c>
      <x:c r="DJ67" s="130" t="str">
        <x:v>No</x:v>
      </x:c>
      <x:c r="DK67" s="130" t="str">
        <x:v>No</x:v>
      </x:c>
      <x:c r="DL67" s="130" t="str">
        <x:v>No</x:v>
      </x:c>
      <x:c r="DM67" s="130" t="str">
        <x:v>No</x:v>
      </x:c>
      <x:c r="DN67" s="130" t="str">
        <x:v>Yes - Appendectomy (2005)</x:v>
      </x:c>
      <x:c r="DO67" s="130" t="str">
        <x:v>20/20</x:v>
      </x:c>
      <x:c r="DP67" s="130" t="str">
        <x:v>20/20</x:v>
      </x:c>
      <x:c r="DQ67" s="130" t="str">
        <x:v>Pass</x:v>
      </x:c>
      <x:c r="DR67" s="130" t="str">
        <x:v>118</x:v>
      </x:c>
      <x:c r="DS67" s="130" t="str">
        <x:v>78</x:v>
      </x:c>
      <x:c r="DT67" s="130" t="str">
        <x:v>72</x:v>
      </x:c>
      <x:c r="DU67" s="130" t="str">
        <x:v>Normal</x:v>
      </x:c>
      <x:c r="DV67" s="180" t="n">
        <x:v>45392</x:v>
      </x:c>
      <x:c r="DW67" s="180" t="n">
        <x:v>45394</x:v>
      </x:c>
      <x:c r="DX67" s="130" t="str">
        <x:v>Negative</x:v>
      </x:c>
      <x:c r="DY67" s="180" t="n">
        <x:v>45397</x:v>
      </x:c>
      <x:c r="DZ67" s="130" t="str">
        <x:v>BOF Fleet Safety &amp; Compliance Policy 2024</x:v>
      </x:c>
      <x:c r="EA67" s="130" t="str">
        <x:v>Complete</x:v>
      </x:c>
      <x:c r="EB67" s="180" t="n">
        <x:v>45413</x:v>
      </x:c>
    </x:row>
    <x:row r="68">
      <x:c r="A68" s="130" t="str">
        <x:v>DRV-010</x:v>
      </x:c>
      <x:c r="B68" s="130" t="str">
        <x:v>Noah Wilson</x:v>
      </x:c>
      <x:c r="C68" s="130" t="str">
        <x:v>130 Demo Street, Chicago, IL 60603</x:v>
      </x:c>
      <x:c r="D68" s="130" t="str">
        <x:v>582-555-0100</x:v>
      </x:c>
      <x:c r="E68" s="130" t="str">
        <x:v>***-**-0112</x:v>
      </x:c>
      <x:c r="F68" s="130" t="str">
        <x:v>Chase</x:v>
      </x:c>
      <x:c r="G68" s="130" t="n">
        <x:v>000000106</x:v>
      </x:c>
      <x:c r="H68" s="130" t="n">
        <x:v>999900208</x:v>
      </x:c>
      <x:c r="I68" s="130" t="str">
        <x:v>Driver Application</x:v>
      </x:c>
      <x:c r="J68" s="130" t="str">
        <x:v>VALID</x:v>
      </x:c>
      <x:c r="K68" s="130" t="str">
        <x:v>IL0000059</x:v>
      </x:c>
      <x:c r="L68" s="180" t="n">
        <x:v>46647</x:v>
      </x:c>
      <x:c r="M68" s="180" t="n">
        <x:v>46752</x:v>
      </x:c>
      <x:c r="N68" s="180" t="n">
        <x:v>46481</x:v>
      </x:c>
      <x:c r="O68" s="130"/>
      <x:c r="P68" s="130" t="str">
        <x:v>Black</x:v>
      </x:c>
      <x:c r="Q68" s="130" t="str">
        <x:v>Hazel</x:v>
      </x:c>
      <x:c r="R68" s="130" t="str">
        <x:v>6'-3"</x:v>
      </x:c>
      <x:c r="S68" s="130" t="n">
        <x:v>219</x:v>
      </x:c>
      <x:c r="T68" s="130" t="str">
        <x:v>M</x:v>
      </x:c>
      <x:c r="U68" s="130" t="n">
        <x:v>24108</x:v>
      </x:c>
      <x:c r="V68" s="130" t="str">
        <x:v>DRV-010.png</x:v>
      </x:c>
      <x:c r="W68" s="130" t="str">
        <x:v>Black</x:v>
      </x:c>
      <x:c r="X68" s="130" t="str">
        <x:v>nwilson@example.com</x:v>
      </x:c>
      <x:c r="Y68" s="130" t="str">
        <x:v>130 Demo Street</x:v>
      </x:c>
      <x:c r="Z68" s="130" t="str">
        <x:v>Chicago</x:v>
      </x:c>
      <x:c r="AA68" s="130" t="str">
        <x:v>IL</x:v>
      </x:c>
      <x:c r="AB68" s="130" t="n">
        <x:v>60603</x:v>
      </x:c>
      <x:c r="AC68" s="130" t="str">
        <x:v>IL</x:v>
      </x:c>
      <x:c r="AD68" s="130" t="str">
        <x:v>Class A</x:v>
      </x:c>
      <x:c r="AE68" s="180" t="n">
        <x:v>44825</x:v>
      </x:c>
      <x:c r="AF68" s="130" t="str">
        <x:v>H,N</x:v>
      </x:c>
      <x:c r="AG68" s="130"/>
      <x:c r="AH68" s="180" t="n">
        <x:v>46022</x:v>
      </x:c>
      <x:c r="AI68" s="130" t="str">
        <x:v>MC-0100911</x:v>
      </x:c>
      <x:c r="AJ68" s="130" t="str">
        <x:v>Dr. Shannon Cole</x:v>
      </x:c>
      <x:c r="AK68" s="130" t="str">
        <x:v>ME100010</x:v>
      </x:c>
      <x:c r="AL68" s="130"/>
      <x:c r="AM68" s="130" t="str">
        <x:v>Qualified</x:v>
      </x:c>
      <x:c r="AN68" s="180" t="n">
        <x:v>46451</x:v>
      </x:c>
      <x:c r="AO68" s="130" t="n">
        <x:v>1</x:v>
      </x:c>
      <x:c r="AP68" s="130" t="n">
        <x:v>0</x:v>
      </x:c>
      <x:c r="AQ68" s="130"/>
      <x:c r="AR68" s="130" t="str">
        <x:v>Clear</x:v>
      </x:c>
      <x:c r="AS68" s="180" t="n">
        <x:v>45523</x:v>
      </x:c>
      <x:c r="AT68" s="130" t="str">
        <x:v>Authorized to Work</x:v>
      </x:c>
      <x:c r="AU68" s="130" t="str">
        <x:v>U.S. Passport</x:v>
      </x:c>
      <x:c r="AV68" s="130"/>
      <x:c r="AW68" s="130"/>
      <x:c r="AX68" s="180" t="n">
        <x:v>45523</x:v>
      </x:c>
      <x:c r="AY68" s="130" t="str">
        <x:v>BOF Onboarding Team</x:v>
      </x:c>
      <x:c r="AZ68" s="130" t="str">
        <x:v>Complete</x:v>
      </x:c>
      <x:c r="BA68" s="130"/>
      <x:c r="BB68" s="130" t="str">
        <x:v>Individual/Sole Proprietor</x:v>
      </x:c>
      <x:c r="BC68" s="130" t="str">
        <x:v>SSN</x:v>
      </x:c>
      <x:c r="BD68" s="130" t="str">
        <x:v>***-**-0112</x:v>
      </x:c>
      <x:c r="BE68" s="130"/>
      <x:c r="BF68" s="180" t="n">
        <x:v>45523</x:v>
      </x:c>
      <x:c r="BG68" s="130" t="str">
        <x:v>Received</x:v>
      </x:c>
      <x:c r="BH68" s="130" t="str">
        <x:v>Checking</x:v>
      </x:c>
      <x:c r="BI68" s="130" t="str">
        <x:v>Direct Deposit</x:v>
      </x:c>
      <x:c r="BJ68" s="180" t="n">
        <x:v>45523</x:v>
      </x:c>
      <x:c r="BK68" s="130" t="str">
        <x:v>Verified</x:v>
      </x:c>
      <x:c r="BL68" s="180" t="n">
        <x:v>45516</x:v>
      </x:c>
      <x:c r="BM68" s="130" t="str">
        <x:v>P. Mitchell</x:v>
      </x:c>
      <x:c r="BN68" s="130" t="str">
        <x:v>Sleeper tractor</x:v>
      </x:c>
      <x:c r="BO68" s="130" t="str">
        <x:v>53 ft reefer</x:v>
      </x:c>
      <x:c r="BP68" s="130" t="str">
        <x:v>Chicago, IL</x:v>
      </x:c>
      <x:c r="BQ68" s="130" t="n">
        <x:v>4</x:v>
      </x:c>
      <x:c r="BR68" s="130" t="n">
        <x:v>5</x:v>
      </x:c>
      <x:c r="BS68" s="130" t="n">
        <x:v>4</x:v>
      </x:c>
      <x:c r="BT68" s="130" t="n">
        <x:v>4</x:v>
      </x:c>
      <x:c r="BU68" s="130" t="n">
        <x:v>5</x:v>
      </x:c>
      <x:c r="BV68" s="130" t="n">
        <x:v>5</x:v>
      </x:c>
      <x:c r="BW68" s="130" t="n">
        <x:v>4</x:v>
      </x:c>
      <x:c r="BX68" s="130" t="n">
        <x:v>5</x:v>
      </x:c>
      <x:c r="BY68" s="130" t="n">
        <x:v>4</x:v>
      </x:c>
      <x:c r="BZ68" s="130" t="str">
        <x:v>Pass</x:v>
      </x:c>
      <x:c r="CA68" s="130"/>
      <x:c r="CB68" s="130" t="str">
        <x:v>Passed</x:v>
      </x:c>
      <x:c r="CC68" s="130" t="str">
        <x:v>Enrolled</x:v>
      </x:c>
      <x:c r="CD68" s="130" t="str">
        <x:v>Query Completed</x:v>
      </x:c>
      <x:c r="CE68" s="180" t="n">
        <x:v>46037</x:v>
      </x:c>
      <x:c r="CF68" s="180" t="n">
        <x:v>46218</x:v>
      </x:c>
      <x:c r="CG68" s="130"/>
      <x:c r="CH68" s="130" t="str">
        <x:v>Compliant</x:v>
      </x:c>
      <x:c r="CI68" s="130"/>
      <x:c r="CJ68" s="130" t="str">
        <x:v>Noah</x:v>
      </x:c>
      <x:c r="CK68" s="130" t="str">
        <x:v>Wilson</x:v>
      </x:c>
      <x:c r="CL68" s="130" t="str">
        <x:v>IL0000052</x:v>
      </x:c>
      <x:c r="CM68" s="130" t="str">
        <x:v>IL</x:v>
      </x:c>
      <x:c r="CN68" s="130" t="str">
        <x:v>CDL Holder</x:v>
      </x:c>
      <x:c r="CO68" s="130" t="str">
        <x:v>Noah Wilson</x:v>
      </x:c>
      <x:c r="CP68" s="180" t="n">
        <x:v>46022</x:v>
      </x:c>
      <x:c r="CQ68" s="180" t="n">
        <x:v>46752</x:v>
      </x:c>
      <x:c r="CR68" s="130" t="str">
        <x:v>(312) 555-0109</x:v>
      </x:c>
      <x:c r="CS68" s="130" t="str">
        <x:v>Dr. Shannon Cole</x:v>
      </x:c>
      <x:c r="CT68" s="180" t="n">
        <x:v>46022</x:v>
      </x:c>
      <x:c r="CU68" s="130" t="str">
        <x:v>IL-ME-366300</x:v>
      </x:c>
      <x:c r="CV68" s="130" t="str">
        <x:v>ME100010</x:v>
      </x:c>
      <x:c r="CW68" s="130" t="str">
        <x:v>DO</x:v>
      </x:c>
      <x:c r="CX68" s="130" t="str">
        <x:v>IL</x:v>
      </x:c>
      <x:c r="CY68" s="130" t="str">
        <x:v>Federal Motor Carrier Safety Regulations</x:v>
      </x:c>
      <x:c r="CZ68" s="130"/>
      <x:c r="DA68" s="130" t="str">
        <x:v>No</x:v>
      </x:c>
      <x:c r="DB68" s="130" t="str">
        <x:v>No</x:v>
      </x:c>
      <x:c r="DC68" s="130" t="str">
        <x:v>No</x:v>
      </x:c>
      <x:c r="DD68" s="130" t="str">
        <x:v>No</x:v>
      </x:c>
      <x:c r="DE68" s="130" t="str">
        <x:v>No</x:v>
      </x:c>
      <x:c r="DF68" s="130" t="str">
        <x:v>No</x:v>
      </x:c>
      <x:c r="DG68" s="130" t="str">
        <x:v>Jane Doe</x:v>
      </x:c>
      <x:c r="DH68" s="130" t="str">
        <x:v>Sister</x:v>
      </x:c>
      <x:c r="DI68" s="130" t="str">
        <x:v>555-555-5555</x:v>
      </x:c>
      <x:c r="DJ68" s="130" t="str">
        <x:v>No</x:v>
      </x:c>
      <x:c r="DK68" s="130" t="str">
        <x:v>No</x:v>
      </x:c>
      <x:c r="DL68" s="130" t="str">
        <x:v>No</x:v>
      </x:c>
      <x:c r="DM68" s="130" t="str">
        <x:v>No</x:v>
      </x:c>
      <x:c r="DN68" s="130" t="str">
        <x:v>Yes - Appendectomy (2005)</x:v>
      </x:c>
      <x:c r="DO68" s="130" t="str">
        <x:v>20/20</x:v>
      </x:c>
      <x:c r="DP68" s="130" t="str">
        <x:v>20/20</x:v>
      </x:c>
      <x:c r="DQ68" s="130" t="str">
        <x:v>Pass</x:v>
      </x:c>
      <x:c r="DR68" s="130" t="str">
        <x:v>118</x:v>
      </x:c>
      <x:c r="DS68" s="130" t="str">
        <x:v>78</x:v>
      </x:c>
      <x:c r="DT68" s="130" t="str">
        <x:v>72</x:v>
      </x:c>
      <x:c r="DU68" s="130" t="str">
        <x:v>Normal</x:v>
      </x:c>
      <x:c r="DV68" s="180" t="n">
        <x:v>45392</x:v>
      </x:c>
      <x:c r="DW68" s="180" t="n">
        <x:v>45394</x:v>
      </x:c>
      <x:c r="DX68" s="130" t="str">
        <x:v>Negative</x:v>
      </x:c>
      <x:c r="DY68" s="180" t="n">
        <x:v>45397</x:v>
      </x:c>
      <x:c r="DZ68" s="130" t="str">
        <x:v>BOF Fleet Safety &amp; Compliance Policy 2024</x:v>
      </x:c>
      <x:c r="EA68" s="130" t="str">
        <x:v>Complete</x:v>
      </x:c>
      <x:c r="EB68" s="180" t="n">
        <x:v>45413</x:v>
      </x:c>
    </x:row>
    <x:row r="69">
      <x:c r="A69" s="130" t="str">
        <x:v>DRV-010</x:v>
      </x:c>
      <x:c r="B69" s="130" t="str">
        <x:v>Noah Wilson</x:v>
      </x:c>
      <x:c r="C69" s="130" t="str">
        <x:v>130 Demo Street, Chicago, IL 60603</x:v>
      </x:c>
      <x:c r="D69" s="130" t="str">
        <x:v>582-555-0100</x:v>
      </x:c>
      <x:c r="E69" s="130" t="str">
        <x:v>***-**-0112</x:v>
      </x:c>
      <x:c r="F69" s="130" t="str">
        <x:v>Chase</x:v>
      </x:c>
      <x:c r="G69" s="130" t="n">
        <x:v>000000106</x:v>
      </x:c>
      <x:c r="H69" s="130" t="n">
        <x:v>999900208</x:v>
      </x:c>
      <x:c r="I69" s="130" t="str">
        <x:v>Road Test Certificate</x:v>
      </x:c>
      <x:c r="J69" s="130" t="str">
        <x:v>VALID</x:v>
      </x:c>
      <x:c r="K69" s="130" t="str">
        <x:v>IL0000064</x:v>
      </x:c>
      <x:c r="L69" s="180" t="n">
        <x:v>46647</x:v>
      </x:c>
      <x:c r="M69" s="180" t="n">
        <x:v>46752</x:v>
      </x:c>
      <x:c r="N69" s="180" t="n">
        <x:v>46481</x:v>
      </x:c>
      <x:c r="O69" s="130"/>
      <x:c r="P69" s="130" t="str">
        <x:v>Black</x:v>
      </x:c>
      <x:c r="Q69" s="130" t="str">
        <x:v>Hazel</x:v>
      </x:c>
      <x:c r="R69" s="130" t="str">
        <x:v>6'-3"</x:v>
      </x:c>
      <x:c r="S69" s="130" t="n">
        <x:v>219</x:v>
      </x:c>
      <x:c r="T69" s="130" t="str">
        <x:v>M</x:v>
      </x:c>
      <x:c r="U69" s="130" t="n">
        <x:v>24108</x:v>
      </x:c>
      <x:c r="V69" s="130" t="str">
        <x:v>DRV-010.png</x:v>
      </x:c>
      <x:c r="W69" s="130" t="str">
        <x:v>Black</x:v>
      </x:c>
      <x:c r="X69" s="130" t="str">
        <x:v>nwilson@example.com</x:v>
      </x:c>
      <x:c r="Y69" s="130" t="str">
        <x:v>130 Demo Street</x:v>
      </x:c>
      <x:c r="Z69" s="130" t="str">
        <x:v>Chicago</x:v>
      </x:c>
      <x:c r="AA69" s="130" t="str">
        <x:v>IL</x:v>
      </x:c>
      <x:c r="AB69" s="130" t="n">
        <x:v>60603</x:v>
      </x:c>
      <x:c r="AC69" s="130" t="str">
        <x:v>IL</x:v>
      </x:c>
      <x:c r="AD69" s="130" t="str">
        <x:v>Class A</x:v>
      </x:c>
      <x:c r="AE69" s="180" t="n">
        <x:v>44825</x:v>
      </x:c>
      <x:c r="AF69" s="130" t="str">
        <x:v>H,N</x:v>
      </x:c>
      <x:c r="AG69" s="130"/>
      <x:c r="AH69" s="180" t="n">
        <x:v>46022</x:v>
      </x:c>
      <x:c r="AI69" s="130" t="str">
        <x:v>MC-0100911</x:v>
      </x:c>
      <x:c r="AJ69" s="130" t="str">
        <x:v>Dr. Shannon Cole</x:v>
      </x:c>
      <x:c r="AK69" s="130" t="str">
        <x:v>ME100010</x:v>
      </x:c>
      <x:c r="AL69" s="130"/>
      <x:c r="AM69" s="130" t="str">
        <x:v>Qualified</x:v>
      </x:c>
      <x:c r="AN69" s="180" t="n">
        <x:v>46451</x:v>
      </x:c>
      <x:c r="AO69" s="130" t="n">
        <x:v>1</x:v>
      </x:c>
      <x:c r="AP69" s="130" t="n">
        <x:v>0</x:v>
      </x:c>
      <x:c r="AQ69" s="130"/>
      <x:c r="AR69" s="130" t="str">
        <x:v>Clear</x:v>
      </x:c>
      <x:c r="AS69" s="180" t="n">
        <x:v>45523</x:v>
      </x:c>
      <x:c r="AT69" s="130" t="str">
        <x:v>Authorized to Work</x:v>
      </x:c>
      <x:c r="AU69" s="130" t="str">
        <x:v>U.S. Passport</x:v>
      </x:c>
      <x:c r="AV69" s="130"/>
      <x:c r="AW69" s="130"/>
      <x:c r="AX69" s="180" t="n">
        <x:v>45523</x:v>
      </x:c>
      <x:c r="AY69" s="130" t="str">
        <x:v>BOF Onboarding Team</x:v>
      </x:c>
      <x:c r="AZ69" s="130" t="str">
        <x:v>Complete</x:v>
      </x:c>
      <x:c r="BA69" s="130"/>
      <x:c r="BB69" s="130" t="str">
        <x:v>Individual/Sole Proprietor</x:v>
      </x:c>
      <x:c r="BC69" s="130" t="str">
        <x:v>SSN</x:v>
      </x:c>
      <x:c r="BD69" s="130" t="str">
        <x:v>***-**-0112</x:v>
      </x:c>
      <x:c r="BE69" s="130"/>
      <x:c r="BF69" s="180" t="n">
        <x:v>45523</x:v>
      </x:c>
      <x:c r="BG69" s="130" t="str">
        <x:v>Received</x:v>
      </x:c>
      <x:c r="BH69" s="130" t="str">
        <x:v>Checking</x:v>
      </x:c>
      <x:c r="BI69" s="130" t="str">
        <x:v>Direct Deposit</x:v>
      </x:c>
      <x:c r="BJ69" s="180" t="n">
        <x:v>45523</x:v>
      </x:c>
      <x:c r="BK69" s="130" t="str">
        <x:v>Verified</x:v>
      </x:c>
      <x:c r="BL69" s="180" t="n">
        <x:v>45516</x:v>
      </x:c>
      <x:c r="BM69" s="130" t="str">
        <x:v>P. Mitchell</x:v>
      </x:c>
      <x:c r="BN69" s="130" t="str">
        <x:v>Sleeper tractor</x:v>
      </x:c>
      <x:c r="BO69" s="130" t="str">
        <x:v>53 ft reefer</x:v>
      </x:c>
      <x:c r="BP69" s="130" t="str">
        <x:v>Chicago, IL</x:v>
      </x:c>
      <x:c r="BQ69" s="130" t="n">
        <x:v>4</x:v>
      </x:c>
      <x:c r="BR69" s="130" t="n">
        <x:v>5</x:v>
      </x:c>
      <x:c r="BS69" s="130" t="n">
        <x:v>4</x:v>
      </x:c>
      <x:c r="BT69" s="130" t="n">
        <x:v>4</x:v>
      </x:c>
      <x:c r="BU69" s="130" t="n">
        <x:v>5</x:v>
      </x:c>
      <x:c r="BV69" s="130" t="n">
        <x:v>5</x:v>
      </x:c>
      <x:c r="BW69" s="130" t="n">
        <x:v>4</x:v>
      </x:c>
      <x:c r="BX69" s="130" t="n">
        <x:v>5</x:v>
      </x:c>
      <x:c r="BY69" s="130" t="n">
        <x:v>4</x:v>
      </x:c>
      <x:c r="BZ69" s="130" t="str">
        <x:v>Pass</x:v>
      </x:c>
      <x:c r="CA69" s="130"/>
      <x:c r="CB69" s="130" t="str">
        <x:v>Passed</x:v>
      </x:c>
      <x:c r="CC69" s="130" t="str">
        <x:v>Enrolled</x:v>
      </x:c>
      <x:c r="CD69" s="130" t="str">
        <x:v>Query Completed</x:v>
      </x:c>
      <x:c r="CE69" s="180" t="n">
        <x:v>46037</x:v>
      </x:c>
      <x:c r="CF69" s="180" t="n">
        <x:v>46218</x:v>
      </x:c>
      <x:c r="CG69" s="130"/>
      <x:c r="CH69" s="130" t="str">
        <x:v>Compliant</x:v>
      </x:c>
      <x:c r="CI69" s="130"/>
      <x:c r="CJ69" s="130" t="str">
        <x:v>Noah</x:v>
      </x:c>
      <x:c r="CK69" s="130" t="str">
        <x:v>Wilson</x:v>
      </x:c>
      <x:c r="CL69" s="130" t="str">
        <x:v>IL0000053</x:v>
      </x:c>
      <x:c r="CM69" s="130" t="str">
        <x:v>IL</x:v>
      </x:c>
      <x:c r="CN69" s="130" t="str">
        <x:v>CDL Holder</x:v>
      </x:c>
      <x:c r="CO69" s="130" t="str">
        <x:v>Noah Wilson</x:v>
      </x:c>
      <x:c r="CP69" s="180" t="n">
        <x:v>46022</x:v>
      </x:c>
      <x:c r="CQ69" s="180" t="n">
        <x:v>46752</x:v>
      </x:c>
      <x:c r="CR69" s="130" t="str">
        <x:v>(312) 555-0109</x:v>
      </x:c>
      <x:c r="CS69" s="130" t="str">
        <x:v>Dr. Shannon Cole</x:v>
      </x:c>
      <x:c r="CT69" s="180" t="n">
        <x:v>46022</x:v>
      </x:c>
      <x:c r="CU69" s="130" t="str">
        <x:v>IL-ME-366300</x:v>
      </x:c>
      <x:c r="CV69" s="130" t="str">
        <x:v>ME100010</x:v>
      </x:c>
      <x:c r="CW69" s="130" t="str">
        <x:v>DO</x:v>
      </x:c>
      <x:c r="CX69" s="130" t="str">
        <x:v>IL</x:v>
      </x:c>
      <x:c r="CY69" s="130" t="str">
        <x:v>Federal Motor Carrier Safety Regulations</x:v>
      </x:c>
      <x:c r="CZ69" s="130"/>
      <x:c r="DA69" s="130" t="str">
        <x:v>No</x:v>
      </x:c>
      <x:c r="DB69" s="130" t="str">
        <x:v>No</x:v>
      </x:c>
      <x:c r="DC69" s="130" t="str">
        <x:v>No</x:v>
      </x:c>
      <x:c r="DD69" s="130" t="str">
        <x:v>No</x:v>
      </x:c>
      <x:c r="DE69" s="130" t="str">
        <x:v>No</x:v>
      </x:c>
      <x:c r="DF69" s="130" t="str">
        <x:v>No</x:v>
      </x:c>
      <x:c r="DG69" s="130" t="str">
        <x:v>Jane Doe</x:v>
      </x:c>
      <x:c r="DH69" s="130" t="str">
        <x:v>Sister</x:v>
      </x:c>
      <x:c r="DI69" s="130" t="str">
        <x:v>555-555-5555</x:v>
      </x:c>
      <x:c r="DJ69" s="130" t="str">
        <x:v>No</x:v>
      </x:c>
      <x:c r="DK69" s="130" t="str">
        <x:v>No</x:v>
      </x:c>
      <x:c r="DL69" s="130" t="str">
        <x:v>No</x:v>
      </x:c>
      <x:c r="DM69" s="130" t="str">
        <x:v>No</x:v>
      </x:c>
      <x:c r="DN69" s="130" t="str">
        <x:v>Yes - Appendectomy (2005)</x:v>
      </x:c>
      <x:c r="DO69" s="130" t="str">
        <x:v>20/20</x:v>
      </x:c>
      <x:c r="DP69" s="130" t="str">
        <x:v>20/20</x:v>
      </x:c>
      <x:c r="DQ69" s="130" t="str">
        <x:v>Pass</x:v>
      </x:c>
      <x:c r="DR69" s="130" t="str">
        <x:v>118</x:v>
      </x:c>
      <x:c r="DS69" s="130" t="str">
        <x:v>78</x:v>
      </x:c>
      <x:c r="DT69" s="130" t="str">
        <x:v>72</x:v>
      </x:c>
      <x:c r="DU69" s="130" t="str">
        <x:v>Normal</x:v>
      </x:c>
      <x:c r="DV69" s="180" t="n">
        <x:v>45392</x:v>
      </x:c>
      <x:c r="DW69" s="180" t="n">
        <x:v>45394</x:v>
      </x:c>
      <x:c r="DX69" s="130" t="str">
        <x:v>Negative</x:v>
      </x:c>
      <x:c r="DY69" s="180" t="n">
        <x:v>45397</x:v>
      </x:c>
      <x:c r="DZ69" s="130" t="str">
        <x:v>BOF Fleet Safety &amp; Compliance Policy 2024</x:v>
      </x:c>
      <x:c r="EA69" s="130" t="str">
        <x:v>Complete</x:v>
      </x:c>
      <x:c r="EB69" s="180" t="n">
        <x:v>45413</x:v>
      </x:c>
    </x:row>
    <x:row r="70">
      <x:c r="A70" s="130" t="str">
        <x:v>DRV-010</x:v>
      </x:c>
      <x:c r="B70" s="130" t="str">
        <x:v>Noah Wilson</x:v>
      </x:c>
      <x:c r="C70" s="130" t="str">
        <x:v>130 Demo Street, Chicago, IL 60603</x:v>
      </x:c>
      <x:c r="D70" s="130" t="str">
        <x:v>582-555-0100</x:v>
      </x:c>
      <x:c r="E70" s="130" t="str">
        <x:v>***-**-0112</x:v>
      </x:c>
      <x:c r="F70" s="130" t="str">
        <x:v>Chase</x:v>
      </x:c>
      <x:c r="G70" s="130" t="n">
        <x:v>000000106</x:v>
      </x:c>
      <x:c r="H70" s="130" t="n">
        <x:v>999900208</x:v>
      </x:c>
      <x:c r="I70" s="130" t="str">
        <x:v>Incident/Accident Report</x:v>
      </x:c>
      <x:c r="J70" s="130" t="str">
        <x:v>VALID</x:v>
      </x:c>
      <x:c r="K70" s="130" t="str">
        <x:v>IL0000063</x:v>
      </x:c>
      <x:c r="L70" s="180" t="n">
        <x:v>46647</x:v>
      </x:c>
      <x:c r="M70" s="180" t="n">
        <x:v>46752</x:v>
      </x:c>
      <x:c r="N70" s="180" t="n">
        <x:v>46481</x:v>
      </x:c>
      <x:c r="O70" s="130" t="str">
        <x:v>No major incidents recorded in last 90 days.</x:v>
      </x:c>
      <x:c r="P70" s="130" t="str">
        <x:v>Black</x:v>
      </x:c>
      <x:c r="Q70" s="130" t="str">
        <x:v>Hazel</x:v>
      </x:c>
      <x:c r="R70" s="130" t="str">
        <x:v>6'-3"</x:v>
      </x:c>
      <x:c r="S70" s="130" t="n">
        <x:v>219</x:v>
      </x:c>
      <x:c r="T70" s="130" t="str">
        <x:v>M</x:v>
      </x:c>
      <x:c r="U70" s="130" t="n">
        <x:v>24108</x:v>
      </x:c>
      <x:c r="V70" s="130" t="str">
        <x:v>DRV-010.png</x:v>
      </x:c>
      <x:c r="W70" s="130" t="str">
        <x:v>Black</x:v>
      </x:c>
      <x:c r="X70" s="130" t="str">
        <x:v>nwilson@example.com</x:v>
      </x:c>
      <x:c r="Y70" s="130" t="str">
        <x:v>130 Demo Street</x:v>
      </x:c>
      <x:c r="Z70" s="130" t="str">
        <x:v>Chicago</x:v>
      </x:c>
      <x:c r="AA70" s="130" t="str">
        <x:v>IL</x:v>
      </x:c>
      <x:c r="AB70" s="130" t="n">
        <x:v>60603</x:v>
      </x:c>
      <x:c r="AC70" s="130" t="str">
        <x:v>IL</x:v>
      </x:c>
      <x:c r="AD70" s="130" t="str">
        <x:v>Class A</x:v>
      </x:c>
      <x:c r="AE70" s="180" t="n">
        <x:v>44825</x:v>
      </x:c>
      <x:c r="AF70" s="130" t="str">
        <x:v>H,N</x:v>
      </x:c>
      <x:c r="AG70" s="130"/>
      <x:c r="AH70" s="180" t="n">
        <x:v>46022</x:v>
      </x:c>
      <x:c r="AI70" s="130" t="str">
        <x:v>MC-0100911</x:v>
      </x:c>
      <x:c r="AJ70" s="130" t="str">
        <x:v>Dr. Shannon Cole</x:v>
      </x:c>
      <x:c r="AK70" s="130" t="str">
        <x:v>ME100010</x:v>
      </x:c>
      <x:c r="AL70" s="130"/>
      <x:c r="AM70" s="130" t="str">
        <x:v>Qualified</x:v>
      </x:c>
      <x:c r="AN70" s="180" t="n">
        <x:v>46451</x:v>
      </x:c>
      <x:c r="AO70" s="130" t="n">
        <x:v>1</x:v>
      </x:c>
      <x:c r="AP70" s="130" t="n">
        <x:v>0</x:v>
      </x:c>
      <x:c r="AQ70" s="130"/>
      <x:c r="AR70" s="130" t="str">
        <x:v>Clear</x:v>
      </x:c>
      <x:c r="AS70" s="180" t="n">
        <x:v>45523</x:v>
      </x:c>
      <x:c r="AT70" s="130" t="str">
        <x:v>Authorized to Work</x:v>
      </x:c>
      <x:c r="AU70" s="130" t="str">
        <x:v>U.S. Passport</x:v>
      </x:c>
      <x:c r="AV70" s="130"/>
      <x:c r="AW70" s="130"/>
      <x:c r="AX70" s="180" t="n">
        <x:v>45523</x:v>
      </x:c>
      <x:c r="AY70" s="130" t="str">
        <x:v>BOF Onboarding Team</x:v>
      </x:c>
      <x:c r="AZ70" s="130" t="str">
        <x:v>Complete</x:v>
      </x:c>
      <x:c r="BA70" s="130"/>
      <x:c r="BB70" s="130" t="str">
        <x:v>Individual/Sole Proprietor</x:v>
      </x:c>
      <x:c r="BC70" s="130" t="str">
        <x:v>SSN</x:v>
      </x:c>
      <x:c r="BD70" s="130" t="str">
        <x:v>***-**-0112</x:v>
      </x:c>
      <x:c r="BE70" s="130"/>
      <x:c r="BF70" s="180" t="n">
        <x:v>45523</x:v>
      </x:c>
      <x:c r="BG70" s="130" t="str">
        <x:v>Received</x:v>
      </x:c>
      <x:c r="BH70" s="130" t="str">
        <x:v>Checking</x:v>
      </x:c>
      <x:c r="BI70" s="130" t="str">
        <x:v>Direct Deposit</x:v>
      </x:c>
      <x:c r="BJ70" s="180" t="n">
        <x:v>45523</x:v>
      </x:c>
      <x:c r="BK70" s="130" t="str">
        <x:v>Verified</x:v>
      </x:c>
      <x:c r="BL70" s="180" t="n">
        <x:v>45516</x:v>
      </x:c>
      <x:c r="BM70" s="130" t="str">
        <x:v>P. Mitchell</x:v>
      </x:c>
      <x:c r="BN70" s="130" t="str">
        <x:v>Sleeper tractor</x:v>
      </x:c>
      <x:c r="BO70" s="130" t="str">
        <x:v>53 ft reefer</x:v>
      </x:c>
      <x:c r="BP70" s="130" t="str">
        <x:v>Chicago, IL</x:v>
      </x:c>
      <x:c r="BQ70" s="130" t="n">
        <x:v>4</x:v>
      </x:c>
      <x:c r="BR70" s="130" t="n">
        <x:v>5</x:v>
      </x:c>
      <x:c r="BS70" s="130" t="n">
        <x:v>4</x:v>
      </x:c>
      <x:c r="BT70" s="130" t="n">
        <x:v>4</x:v>
      </x:c>
      <x:c r="BU70" s="130" t="n">
        <x:v>5</x:v>
      </x:c>
      <x:c r="BV70" s="130" t="n">
        <x:v>5</x:v>
      </x:c>
      <x:c r="BW70" s="130" t="n">
        <x:v>4</x:v>
      </x:c>
      <x:c r="BX70" s="130" t="n">
        <x:v>5</x:v>
      </x:c>
      <x:c r="BY70" s="130" t="n">
        <x:v>4</x:v>
      </x:c>
      <x:c r="BZ70" s="130" t="str">
        <x:v>Pass</x:v>
      </x:c>
      <x:c r="CA70" s="130"/>
      <x:c r="CB70" s="130" t="str">
        <x:v>Passed</x:v>
      </x:c>
      <x:c r="CC70" s="130" t="str">
        <x:v>Enrolled</x:v>
      </x:c>
      <x:c r="CD70" s="130" t="str">
        <x:v>Query Completed</x:v>
      </x:c>
      <x:c r="CE70" s="180" t="n">
        <x:v>46037</x:v>
      </x:c>
      <x:c r="CF70" s="180" t="n">
        <x:v>46218</x:v>
      </x:c>
      <x:c r="CG70" s="130"/>
      <x:c r="CH70" s="130" t="str">
        <x:v>Compliant</x:v>
      </x:c>
      <x:c r="CI70" s="130"/>
      <x:c r="CJ70" s="130" t="str">
        <x:v>Noah</x:v>
      </x:c>
      <x:c r="CK70" s="130" t="str">
        <x:v>Wilson</x:v>
      </x:c>
      <x:c r="CL70" s="130" t="str">
        <x:v>IL0000054</x:v>
      </x:c>
      <x:c r="CM70" s="130" t="str">
        <x:v>IL</x:v>
      </x:c>
      <x:c r="CN70" s="130" t="str">
        <x:v>CDL Holder</x:v>
      </x:c>
      <x:c r="CO70" s="130" t="str">
        <x:v>Noah Wilson</x:v>
      </x:c>
      <x:c r="CP70" s="180" t="n">
        <x:v>46022</x:v>
      </x:c>
      <x:c r="CQ70" s="180" t="n">
        <x:v>46752</x:v>
      </x:c>
      <x:c r="CR70" s="130" t="str">
        <x:v>(312) 555-0109</x:v>
      </x:c>
      <x:c r="CS70" s="130" t="str">
        <x:v>Dr. Shannon Cole</x:v>
      </x:c>
      <x:c r="CT70" s="180" t="n">
        <x:v>46022</x:v>
      </x:c>
      <x:c r="CU70" s="130" t="str">
        <x:v>IL-ME-366300</x:v>
      </x:c>
      <x:c r="CV70" s="130" t="str">
        <x:v>ME100010</x:v>
      </x:c>
      <x:c r="CW70" s="130" t="str">
        <x:v>DO</x:v>
      </x:c>
      <x:c r="CX70" s="130" t="str">
        <x:v>IL</x:v>
      </x:c>
      <x:c r="CY70" s="130" t="str">
        <x:v>Federal Motor Carrier Safety Regulations</x:v>
      </x:c>
      <x:c r="CZ70" s="130"/>
      <x:c r="DA70" s="130" t="str">
        <x:v>No</x:v>
      </x:c>
      <x:c r="DB70" s="130" t="str">
        <x:v>No</x:v>
      </x:c>
      <x:c r="DC70" s="130" t="str">
        <x:v>No</x:v>
      </x:c>
      <x:c r="DD70" s="130" t="str">
        <x:v>No</x:v>
      </x:c>
      <x:c r="DE70" s="130" t="str">
        <x:v>No</x:v>
      </x:c>
      <x:c r="DF70" s="130" t="str">
        <x:v>No</x:v>
      </x:c>
      <x:c r="DG70" s="130" t="str">
        <x:v>Jane Doe</x:v>
      </x:c>
      <x:c r="DH70" s="130" t="str">
        <x:v>Sister</x:v>
      </x:c>
      <x:c r="DI70" s="130" t="str">
        <x:v>555-555-5555</x:v>
      </x:c>
      <x:c r="DJ70" s="130" t="str">
        <x:v>No</x:v>
      </x:c>
      <x:c r="DK70" s="130" t="str">
        <x:v>No</x:v>
      </x:c>
      <x:c r="DL70" s="130" t="str">
        <x:v>No</x:v>
      </x:c>
      <x:c r="DM70" s="130" t="str">
        <x:v>No</x:v>
      </x:c>
      <x:c r="DN70" s="130" t="str">
        <x:v>Yes - Appendectomy (2005)</x:v>
      </x:c>
      <x:c r="DO70" s="130" t="str">
        <x:v>20/20</x:v>
      </x:c>
      <x:c r="DP70" s="130" t="str">
        <x:v>20/20</x:v>
      </x:c>
      <x:c r="DQ70" s="130" t="str">
        <x:v>Pass</x:v>
      </x:c>
      <x:c r="DR70" s="130" t="str">
        <x:v>118</x:v>
      </x:c>
      <x:c r="DS70" s="130" t="str">
        <x:v>78</x:v>
      </x:c>
      <x:c r="DT70" s="130" t="str">
        <x:v>72</x:v>
      </x:c>
      <x:c r="DU70" s="130" t="str">
        <x:v>Normal</x:v>
      </x:c>
      <x:c r="DV70" s="180" t="n">
        <x:v>45392</x:v>
      </x:c>
      <x:c r="DW70" s="180" t="n">
        <x:v>45394</x:v>
      </x:c>
      <x:c r="DX70" s="130" t="str">
        <x:v>Negative</x:v>
      </x:c>
      <x:c r="DY70" s="180" t="n">
        <x:v>45397</x:v>
      </x:c>
      <x:c r="DZ70" s="130" t="str">
        <x:v>BOF Fleet Safety &amp; Compliance Policy 2024</x:v>
      </x:c>
      <x:c r="EA70" s="130" t="str">
        <x:v>Complete</x:v>
      </x:c>
      <x:c r="EB70" s="180" t="n">
        <x:v>45413</x:v>
      </x:c>
    </x:row>
    <x:row r="71">
      <x:c r="A71" s="130" t="str">
        <x:v>DRV-010</x:v>
      </x:c>
      <x:c r="B71" s="130" t="str">
        <x:v>Noah Wilson</x:v>
      </x:c>
      <x:c r="C71" s="130" t="str">
        <x:v>130 Demo Street, Chicago, IL 60603</x:v>
      </x:c>
      <x:c r="D71" s="130" t="str">
        <x:v>582-555-0100</x:v>
      </x:c>
      <x:c r="E71" s="130" t="str">
        <x:v>***-**-0112</x:v>
      </x:c>
      <x:c r="F71" s="130" t="str">
        <x:v>Chase</x:v>
      </x:c>
      <x:c r="G71" s="130" t="n">
        <x:v>000000106</x:v>
      </x:c>
      <x:c r="H71" s="130" t="n">
        <x:v>999900208</x:v>
      </x:c>
      <x:c r="I71" s="130" t="str">
        <x:v>Direct Deposit Form</x:v>
      </x:c>
      <x:c r="J71" s="130" t="str">
        <x:v>VALID</x:v>
      </x:c>
      <x:c r="K71" s="130" t="str">
        <x:v>IL0000038</x:v>
      </x:c>
      <x:c r="L71" s="180" t="n">
        <x:v>46647</x:v>
      </x:c>
      <x:c r="M71" s="180" t="n">
        <x:v>46752</x:v>
      </x:c>
      <x:c r="N71" s="180" t="n">
        <x:v>46481</x:v>
      </x:c>
      <x:c r="O71" s="130"/>
      <x:c r="P71" s="130" t="str">
        <x:v>Black</x:v>
      </x:c>
      <x:c r="Q71" s="130" t="str">
        <x:v>Hazel</x:v>
      </x:c>
      <x:c r="R71" s="130" t="str">
        <x:v>6'-3"</x:v>
      </x:c>
      <x:c r="S71" s="130" t="n">
        <x:v>219</x:v>
      </x:c>
      <x:c r="T71" s="130" t="str">
        <x:v>M</x:v>
      </x:c>
      <x:c r="U71" s="130" t="n">
        <x:v>24108</x:v>
      </x:c>
      <x:c r="V71" s="130" t="str">
        <x:v>DRV-010.png</x:v>
      </x:c>
      <x:c r="W71" s="130" t="str">
        <x:v>Black</x:v>
      </x:c>
      <x:c r="X71" s="130" t="str">
        <x:v>nwilson@example.com</x:v>
      </x:c>
      <x:c r="Y71" s="130" t="str">
        <x:v>130 Demo Street</x:v>
      </x:c>
      <x:c r="Z71" s="130" t="str">
        <x:v>Chicago</x:v>
      </x:c>
      <x:c r="AA71" s="130" t="str">
        <x:v>IL</x:v>
      </x:c>
      <x:c r="AB71" s="130" t="n">
        <x:v>60603</x:v>
      </x:c>
      <x:c r="AC71" s="130" t="str">
        <x:v>IL</x:v>
      </x:c>
      <x:c r="AD71" s="130" t="str">
        <x:v>Class A</x:v>
      </x:c>
      <x:c r="AE71" s="180" t="n">
        <x:v>44825</x:v>
      </x:c>
      <x:c r="AF71" s="130" t="str">
        <x:v>H,N</x:v>
      </x:c>
      <x:c r="AG71" s="130"/>
      <x:c r="AH71" s="180" t="n">
        <x:v>46022</x:v>
      </x:c>
      <x:c r="AI71" s="130" t="str">
        <x:v>MC-0100911</x:v>
      </x:c>
      <x:c r="AJ71" s="130" t="str">
        <x:v>Dr. Shannon Cole</x:v>
      </x:c>
      <x:c r="AK71" s="130" t="str">
        <x:v>ME100010</x:v>
      </x:c>
      <x:c r="AL71" s="130"/>
      <x:c r="AM71" s="130" t="str">
        <x:v>Qualified</x:v>
      </x:c>
      <x:c r="AN71" s="180" t="n">
        <x:v>46451</x:v>
      </x:c>
      <x:c r="AO71" s="130" t="n">
        <x:v>1</x:v>
      </x:c>
      <x:c r="AP71" s="130" t="n">
        <x:v>0</x:v>
      </x:c>
      <x:c r="AQ71" s="130"/>
      <x:c r="AR71" s="130" t="str">
        <x:v>Clear</x:v>
      </x:c>
      <x:c r="AS71" s="180" t="n">
        <x:v>45523</x:v>
      </x:c>
      <x:c r="AT71" s="130" t="str">
        <x:v>Authorized to Work</x:v>
      </x:c>
      <x:c r="AU71" s="130" t="str">
        <x:v>U.S. Passport</x:v>
      </x:c>
      <x:c r="AV71" s="130"/>
      <x:c r="AW71" s="130"/>
      <x:c r="AX71" s="180" t="n">
        <x:v>45523</x:v>
      </x:c>
      <x:c r="AY71" s="130" t="str">
        <x:v>BOF Onboarding Team</x:v>
      </x:c>
      <x:c r="AZ71" s="130" t="str">
        <x:v>Complete</x:v>
      </x:c>
      <x:c r="BA71" s="130"/>
      <x:c r="BB71" s="130" t="str">
        <x:v>Individual/Sole Proprietor</x:v>
      </x:c>
      <x:c r="BC71" s="130" t="str">
        <x:v>SSN</x:v>
      </x:c>
      <x:c r="BD71" s="130" t="str">
        <x:v>***-**-0112</x:v>
      </x:c>
      <x:c r="BE71" s="130"/>
      <x:c r="BF71" s="180" t="n">
        <x:v>45523</x:v>
      </x:c>
      <x:c r="BG71" s="130" t="str">
        <x:v>Received</x:v>
      </x:c>
      <x:c r="BH71" s="130" t="str">
        <x:v>Checking</x:v>
      </x:c>
      <x:c r="BI71" s="130" t="str">
        <x:v>Direct Deposit</x:v>
      </x:c>
      <x:c r="BJ71" s="180" t="n">
        <x:v>45523</x:v>
      </x:c>
      <x:c r="BK71" s="130" t="str">
        <x:v>Verified</x:v>
      </x:c>
      <x:c r="BL71" s="180" t="n">
        <x:v>45516</x:v>
      </x:c>
      <x:c r="BM71" s="130" t="str">
        <x:v>P. Mitchell</x:v>
      </x:c>
      <x:c r="BN71" s="130" t="str">
        <x:v>Sleeper tractor</x:v>
      </x:c>
      <x:c r="BO71" s="130" t="str">
        <x:v>53 ft reefer</x:v>
      </x:c>
      <x:c r="BP71" s="130" t="str">
        <x:v>Chicago, IL</x:v>
      </x:c>
      <x:c r="BQ71" s="130" t="n">
        <x:v>4</x:v>
      </x:c>
      <x:c r="BR71" s="130" t="n">
        <x:v>5</x:v>
      </x:c>
      <x:c r="BS71" s="130" t="n">
        <x:v>4</x:v>
      </x:c>
      <x:c r="BT71" s="130" t="n">
        <x:v>4</x:v>
      </x:c>
      <x:c r="BU71" s="130" t="n">
        <x:v>5</x:v>
      </x:c>
      <x:c r="BV71" s="130" t="n">
        <x:v>5</x:v>
      </x:c>
      <x:c r="BW71" s="130" t="n">
        <x:v>4</x:v>
      </x:c>
      <x:c r="BX71" s="130" t="n">
        <x:v>5</x:v>
      </x:c>
      <x:c r="BY71" s="130" t="n">
        <x:v>4</x:v>
      </x:c>
      <x:c r="BZ71" s="130" t="str">
        <x:v>Pass</x:v>
      </x:c>
      <x:c r="CA71" s="130"/>
      <x:c r="CB71" s="130" t="str">
        <x:v>Passed</x:v>
      </x:c>
      <x:c r="CC71" s="130" t="str">
        <x:v>Enrolled</x:v>
      </x:c>
      <x:c r="CD71" s="130" t="str">
        <x:v>Query Completed</x:v>
      </x:c>
      <x:c r="CE71" s="180" t="n">
        <x:v>46037</x:v>
      </x:c>
      <x:c r="CF71" s="180" t="n">
        <x:v>46218</x:v>
      </x:c>
      <x:c r="CG71" s="130"/>
      <x:c r="CH71" s="130" t="str">
        <x:v>Compliant</x:v>
      </x:c>
      <x:c r="CI71" s="130"/>
      <x:c r="CJ71" s="130" t="str">
        <x:v>Noah</x:v>
      </x:c>
      <x:c r="CK71" s="130" t="str">
        <x:v>Wilson</x:v>
      </x:c>
      <x:c r="CL71" s="130" t="str">
        <x:v>IL0000055</x:v>
      </x:c>
      <x:c r="CM71" s="130" t="str">
        <x:v>IL</x:v>
      </x:c>
      <x:c r="CN71" s="130" t="str">
        <x:v>CDL Holder</x:v>
      </x:c>
      <x:c r="CO71" s="130" t="str">
        <x:v>Noah Wilson</x:v>
      </x:c>
      <x:c r="CP71" s="180" t="n">
        <x:v>46022</x:v>
      </x:c>
      <x:c r="CQ71" s="180" t="n">
        <x:v>46752</x:v>
      </x:c>
      <x:c r="CR71" s="130" t="str">
        <x:v>(312) 555-0109</x:v>
      </x:c>
      <x:c r="CS71" s="130" t="str">
        <x:v>Dr. Shannon Cole</x:v>
      </x:c>
      <x:c r="CT71" s="180" t="n">
        <x:v>46022</x:v>
      </x:c>
      <x:c r="CU71" s="130" t="str">
        <x:v>IL-ME-366300</x:v>
      </x:c>
      <x:c r="CV71" s="130" t="str">
        <x:v>ME100010</x:v>
      </x:c>
      <x:c r="CW71" s="130" t="str">
        <x:v>DO</x:v>
      </x:c>
      <x:c r="CX71" s="130" t="str">
        <x:v>IL</x:v>
      </x:c>
      <x:c r="CY71" s="130" t="str">
        <x:v>Federal Motor Carrier Safety Regulations</x:v>
      </x:c>
      <x:c r="CZ71" s="130"/>
      <x:c r="DA71" s="130" t="str">
        <x:v>No</x:v>
      </x:c>
      <x:c r="DB71" s="130" t="str">
        <x:v>No</x:v>
      </x:c>
      <x:c r="DC71" s="130" t="str">
        <x:v>No</x:v>
      </x:c>
      <x:c r="DD71" s="130" t="str">
        <x:v>No</x:v>
      </x:c>
      <x:c r="DE71" s="130" t="str">
        <x:v>No</x:v>
      </x:c>
      <x:c r="DF71" s="130" t="str">
        <x:v>No</x:v>
      </x:c>
      <x:c r="DG71" s="130" t="str">
        <x:v>Jane Doe</x:v>
      </x:c>
      <x:c r="DH71" s="130" t="str">
        <x:v>Sister</x:v>
      </x:c>
      <x:c r="DI71" s="130" t="str">
        <x:v>555-555-5555</x:v>
      </x:c>
      <x:c r="DJ71" s="130" t="str">
        <x:v>No</x:v>
      </x:c>
      <x:c r="DK71" s="130" t="str">
        <x:v>No</x:v>
      </x:c>
      <x:c r="DL71" s="130" t="str">
        <x:v>No</x:v>
      </x:c>
      <x:c r="DM71" s="130" t="str">
        <x:v>No</x:v>
      </x:c>
      <x:c r="DN71" s="130" t="str">
        <x:v>Yes - Appendectomy (2005)</x:v>
      </x:c>
      <x:c r="DO71" s="130" t="str">
        <x:v>20/20</x:v>
      </x:c>
      <x:c r="DP71" s="130" t="str">
        <x:v>20/20</x:v>
      </x:c>
      <x:c r="DQ71" s="130" t="str">
        <x:v>Pass</x:v>
      </x:c>
      <x:c r="DR71" s="130" t="str">
        <x:v>118</x:v>
      </x:c>
      <x:c r="DS71" s="130" t="str">
        <x:v>78</x:v>
      </x:c>
      <x:c r="DT71" s="130" t="str">
        <x:v>72</x:v>
      </x:c>
      <x:c r="DU71" s="130" t="str">
        <x:v>Normal</x:v>
      </x:c>
      <x:c r="DV71" s="180" t="n">
        <x:v>45392</x:v>
      </x:c>
      <x:c r="DW71" s="180" t="n">
        <x:v>45394</x:v>
      </x:c>
      <x:c r="DX71" s="130" t="str">
        <x:v>Negative</x:v>
      </x:c>
      <x:c r="DY71" s="180" t="n">
        <x:v>45397</x:v>
      </x:c>
      <x:c r="DZ71" s="130" t="str">
        <x:v>BOF Fleet Safety &amp; Compliance Policy 2024</x:v>
      </x:c>
      <x:c r="EA71" s="130" t="str">
        <x:v>Complete</x:v>
      </x:c>
      <x:c r="EB71" s="180" t="n">
        <x:v>45413</x:v>
      </x:c>
    </x:row>
    <x:row r="72">
      <x:c r="A72" s="130" t="str">
        <x:v>DRV-011</x:v>
      </x:c>
      <x:c r="B72" s="130" t="str">
        <x:v>Olivia Lee</x:v>
      </x:c>
      <x:c r="C72" s="130" t="str">
        <x:v>900 Demo Street, Atlanta, GA 30308</x:v>
      </x:c>
      <x:c r="D72" s="130" t="str">
        <x:v>337-555-0100</x:v>
      </x:c>
      <x:c r="E72" s="130" t="str">
        <x:v>***-**-0111</x:v>
      </x:c>
      <x:c r="F72" s="130" t="str">
        <x:v>Bank of America</x:v>
      </x:c>
      <x:c r="G72" s="130" t="n">
        <x:v>000000102</x:v>
      </x:c>
      <x:c r="H72" s="130" t="n">
        <x:v>999900209</x:v>
      </x:c>
      <x:c r="I72" s="130" t="str">
        <x:v>CDL Summary</x:v>
      </x:c>
      <x:c r="J72" s="130" t="str">
        <x:v>VALID</x:v>
      </x:c>
      <x:c r="K72" s="130" t="str">
        <x:v>GA0000020</x:v>
      </x:c>
      <x:c r="L72" s="180" t="n">
        <x:v>46566</x:v>
      </x:c>
      <x:c r="M72" s="180" t="n">
        <x:v>46499</x:v>
      </x:c>
      <x:c r="N72" s="180" t="n">
        <x:v>46484</x:v>
      </x:c>
      <x:c r="O72" s="130"/>
      <x:c r="P72" s="130" t="str">
        <x:v>Brown</x:v>
      </x:c>
      <x:c r="Q72" s="130" t="str">
        <x:v>Hazel</x:v>
      </x:c>
      <x:c r="R72" s="130" t="str">
        <x:v>5'-5"</x:v>
      </x:c>
      <x:c r="S72" s="130" t="n">
        <x:v>148</x:v>
      </x:c>
      <x:c r="T72" s="130" t="str">
        <x:v>F</x:v>
      </x:c>
      <x:c r="U72" s="130" t="n">
        <x:v>24838</x:v>
      </x:c>
      <x:c r="V72" s="130" t="str">
        <x:v>DRV-011.png</x:v>
      </x:c>
      <x:c r="W72" s="130" t="str">
        <x:v>South Asian</x:v>
      </x:c>
      <x:c r="X72" s="130" t="str">
        <x:v>olee@example.com</x:v>
      </x:c>
      <x:c r="Y72" s="130" t="str">
        <x:v>900 Demo Street</x:v>
      </x:c>
      <x:c r="Z72" s="130" t="str">
        <x:v>Atlanta</x:v>
      </x:c>
      <x:c r="AA72" s="130" t="str">
        <x:v>GA</x:v>
      </x:c>
      <x:c r="AB72" s="130" t="n">
        <x:v>30308</x:v>
      </x:c>
      <x:c r="AC72" s="130" t="str">
        <x:v>GA</x:v>
      </x:c>
      <x:c r="AD72" s="130" t="str">
        <x:v>Class A</x:v>
      </x:c>
      <x:c r="AE72" s="180" t="n">
        <x:v>44744</x:v>
      </x:c>
      <x:c r="AF72" s="130" t="str">
        <x:v>N,T</x:v>
      </x:c>
      <x:c r="AG72" s="130"/>
      <x:c r="AH72" s="180" t="n">
        <x:v>45769</x:v>
      </x:c>
      <x:c r="AI72" s="130" t="str">
        <x:v>MC-0110314</x:v>
      </x:c>
      <x:c r="AJ72" s="130" t="str">
        <x:v>Dr. Melissa Tran</x:v>
      </x:c>
      <x:c r="AK72" s="130" t="str">
        <x:v>ME100011</x:v>
      </x:c>
      <x:c r="AL72" s="130"/>
      <x:c r="AM72" s="130" t="str">
        <x:v>Qualified</x:v>
      </x:c>
      <x:c r="AN72" s="180" t="n">
        <x:v>46454</x:v>
      </x:c>
      <x:c r="AO72" s="130" t="n">
        <x:v>0</x:v>
      </x:c>
      <x:c r="AP72" s="130" t="n">
        <x:v>0</x:v>
      </x:c>
      <x:c r="AQ72" s="130"/>
      <x:c r="AR72" s="130" t="str">
        <x:v>Clear</x:v>
      </x:c>
      <x:c r="AS72" s="180" t="n">
        <x:v>45551</x:v>
      </x:c>
      <x:c r="AT72" s="130" t="str">
        <x:v>Authorized to Work</x:v>
      </x:c>
      <x:c r="AU72" s="130" t="str">
        <x:v>U.S. Passport</x:v>
      </x:c>
      <x:c r="AV72" s="130"/>
      <x:c r="AW72" s="130"/>
      <x:c r="AX72" s="180" t="n">
        <x:v>45551</x:v>
      </x:c>
      <x:c r="AY72" s="130" t="str">
        <x:v>BOF Onboarding Team</x:v>
      </x:c>
      <x:c r="AZ72" s="130" t="str">
        <x:v>Complete</x:v>
      </x:c>
      <x:c r="BA72" s="130"/>
      <x:c r="BB72" s="130" t="str">
        <x:v>Individual/Sole Proprietor</x:v>
      </x:c>
      <x:c r="BC72" s="130" t="str">
        <x:v>SSN</x:v>
      </x:c>
      <x:c r="BD72" s="130" t="str">
        <x:v>***-**-0111</x:v>
      </x:c>
      <x:c r="BE72" s="130"/>
      <x:c r="BF72" s="180" t="n">
        <x:v>45551</x:v>
      </x:c>
      <x:c r="BG72" s="130" t="str">
        <x:v>Received</x:v>
      </x:c>
      <x:c r="BH72" s="130" t="str">
        <x:v>Savings</x:v>
      </x:c>
      <x:c r="BI72" s="130" t="str">
        <x:v>Direct Deposit</x:v>
      </x:c>
      <x:c r="BJ72" s="180" t="n">
        <x:v>45551</x:v>
      </x:c>
      <x:c r="BK72" s="130" t="str">
        <x:v>Verified</x:v>
      </x:c>
      <x:c r="BL72" s="180" t="n">
        <x:v>45544</x:v>
      </x:c>
      <x:c r="BM72" s="130" t="str">
        <x:v>C. Nguyen</x:v>
      </x:c>
      <x:c r="BN72" s="130" t="str">
        <x:v>Day cab tractor</x:v>
      </x:c>
      <x:c r="BO72" s="130" t="str">
        <x:v>53 ft dry van</x:v>
      </x:c>
      <x:c r="BP72" s="130" t="str">
        <x:v>Atlanta, GA</x:v>
      </x:c>
      <x:c r="BQ72" s="130" t="n">
        <x:v>5</x:v>
      </x:c>
      <x:c r="BR72" s="130" t="n">
        <x:v>5</x:v>
      </x:c>
      <x:c r="BS72" s="130" t="n">
        <x:v>4</x:v>
      </x:c>
      <x:c r="BT72" s="130" t="n">
        <x:v>5</x:v>
      </x:c>
      <x:c r="BU72" s="130" t="n">
        <x:v>5</x:v>
      </x:c>
      <x:c r="BV72" s="130" t="n">
        <x:v>5</x:v>
      </x:c>
      <x:c r="BW72" s="130" t="n">
        <x:v>4</x:v>
      </x:c>
      <x:c r="BX72" s="130" t="n">
        <x:v>5</x:v>
      </x:c>
      <x:c r="BY72" s="130" t="n">
        <x:v>5</x:v>
      </x:c>
      <x:c r="BZ72" s="130" t="str">
        <x:v>Pass</x:v>
      </x:c>
      <x:c r="CA72" s="130"/>
      <x:c r="CB72" s="130" t="str">
        <x:v>Passed</x:v>
      </x:c>
      <x:c r="CC72" s="130" t="str">
        <x:v>Enrolled</x:v>
      </x:c>
      <x:c r="CD72" s="130" t="str">
        <x:v>Query Completed</x:v>
      </x:c>
      <x:c r="CE72" s="180" t="n">
        <x:v>46037</x:v>
      </x:c>
      <x:c r="CF72" s="180" t="n">
        <x:v>46218</x:v>
      </x:c>
      <x:c r="CG72" s="130"/>
      <x:c r="CH72" s="130" t="str">
        <x:v>Compliant</x:v>
      </x:c>
      <x:c r="CI72" s="130"/>
      <x:c r="CJ72" s="130" t="str">
        <x:v>Olivia</x:v>
      </x:c>
      <x:c r="CK72" s="130" t="str">
        <x:v>Lee</x:v>
      </x:c>
      <x:c r="CL72" s="130" t="str">
        <x:v>GA0000020</x:v>
      </x:c>
      <x:c r="CM72" s="130" t="str">
        <x:v>GA</x:v>
      </x:c>
      <x:c r="CN72" s="130" t="str">
        <x:v>CDL Holder</x:v>
      </x:c>
      <x:c r="CO72" s="130" t="str">
        <x:v>Olivia Lee</x:v>
      </x:c>
      <x:c r="CP72" s="180" t="n">
        <x:v>45769</x:v>
      </x:c>
      <x:c r="CQ72" s="180" t="n">
        <x:v>46499</x:v>
      </x:c>
      <x:c r="CR72" s="130" t="str">
        <x:v>(404) 555-0100</x:v>
      </x:c>
      <x:c r="CS72" s="130" t="str">
        <x:v>Dr. Melissa Tran</x:v>
      </x:c>
      <x:c r="CT72" s="180" t="n">
        <x:v>45769</x:v>
      </x:c>
      <x:c r="CU72" s="130" t="str">
        <x:v>GA-ME-601747</x:v>
      </x:c>
      <x:c r="CV72" s="130" t="str">
        <x:v>ME100011</x:v>
      </x:c>
      <x:c r="CW72" s="130" t="str">
        <x:v>Advanced Practice Nurse</x:v>
      </x:c>
      <x:c r="CX72" s="130" t="str">
        <x:v>GA</x:v>
      </x:c>
      <x:c r="CY72" s="130" t="str">
        <x:v>Federal Motor Carrier Safety Regulations</x:v>
      </x:c>
      <x:c r="CZ72" s="130"/>
      <x:c r="DA72" s="130" t="str">
        <x:v>No</x:v>
      </x:c>
      <x:c r="DB72" s="130" t="str">
        <x:v>No</x:v>
      </x:c>
      <x:c r="DC72" s="130" t="str">
        <x:v>No</x:v>
      </x:c>
      <x:c r="DD72" s="130" t="str">
        <x:v>No</x:v>
      </x:c>
      <x:c r="DE72" s="130" t="str">
        <x:v>No</x:v>
      </x:c>
      <x:c r="DF72" s="130" t="str">
        <x:v>No</x:v>
      </x:c>
      <x:c r="DG72" s="130" t="str">
        <x:v>Jane Doe</x:v>
      </x:c>
      <x:c r="DH72" s="130" t="str">
        <x:v>Sister</x:v>
      </x:c>
      <x:c r="DI72" s="130" t="str">
        <x:v>555-555-5555</x:v>
      </x:c>
      <x:c r="DJ72" s="130" t="str">
        <x:v>No</x:v>
      </x:c>
      <x:c r="DK72" s="130" t="str">
        <x:v>No</x:v>
      </x:c>
      <x:c r="DL72" s="130" t="str">
        <x:v>No</x:v>
      </x:c>
      <x:c r="DM72" s="130" t="str">
        <x:v>No</x:v>
      </x:c>
      <x:c r="DN72" s="130" t="str">
        <x:v>Yes - Appendectomy (2005)</x:v>
      </x:c>
      <x:c r="DO72" s="130" t="str">
        <x:v>20/20</x:v>
      </x:c>
      <x:c r="DP72" s="130" t="str">
        <x:v>20/20</x:v>
      </x:c>
      <x:c r="DQ72" s="130" t="str">
        <x:v>Pass</x:v>
      </x:c>
      <x:c r="DR72" s="130" t="str">
        <x:v>118</x:v>
      </x:c>
      <x:c r="DS72" s="130" t="str">
        <x:v>78</x:v>
      </x:c>
      <x:c r="DT72" s="130" t="str">
        <x:v>72</x:v>
      </x:c>
      <x:c r="DU72" s="130" t="str">
        <x:v>Normal</x:v>
      </x:c>
      <x:c r="DV72" s="180" t="n">
        <x:v>45392</x:v>
      </x:c>
      <x:c r="DW72" s="180" t="n">
        <x:v>45394</x:v>
      </x:c>
      <x:c r="DX72" s="130" t="str">
        <x:v>Negative</x:v>
      </x:c>
      <x:c r="DY72" s="180" t="n">
        <x:v>45397</x:v>
      </x:c>
      <x:c r="DZ72" s="130" t="str">
        <x:v>BOF Fleet Safety &amp; Compliance Policy 2024</x:v>
      </x:c>
      <x:c r="EA72" s="130" t="str">
        <x:v>Complete</x:v>
      </x:c>
      <x:c r="EB72" s="180" t="n">
        <x:v>45413</x:v>
      </x:c>
    </x:row>
    <x:row r="73">
      <x:c r="A73" s="130" t="str">
        <x:v>DRV-011</x:v>
      </x:c>
      <x:c r="B73" s="130" t="str">
        <x:v>Olivia Lee</x:v>
      </x:c>
      <x:c r="C73" s="130" t="str">
        <x:v>900 Demo Street, Atlanta, GA 30308</x:v>
      </x:c>
      <x:c r="D73" s="130" t="str">
        <x:v>337-555-0100</x:v>
      </x:c>
      <x:c r="E73" s="130" t="str">
        <x:v>***-**-0111</x:v>
      </x:c>
      <x:c r="F73" s="130" t="str">
        <x:v>Bank of America</x:v>
      </x:c>
      <x:c r="G73" s="130" t="n">
        <x:v>000000102</x:v>
      </x:c>
      <x:c r="H73" s="130" t="n">
        <x:v>999900209</x:v>
      </x:c>
      <x:c r="I73" s="130" t="str">
        <x:v>Medical Certification</x:v>
      </x:c>
      <x:c r="J73" s="130" t="str">
        <x:v>VALID</x:v>
      </x:c>
      <x:c r="K73" s="130" t="str">
        <x:v>GA0000007</x:v>
      </x:c>
      <x:c r="L73" s="180" t="n">
        <x:v>46566</x:v>
      </x:c>
      <x:c r="M73" s="180" t="n">
        <x:v>46499</x:v>
      </x:c>
      <x:c r="N73" s="180" t="n">
        <x:v>46484</x:v>
      </x:c>
      <x:c r="O73" s="130"/>
      <x:c r="P73" s="130" t="str">
        <x:v>Brown</x:v>
      </x:c>
      <x:c r="Q73" s="130" t="str">
        <x:v>Hazel</x:v>
      </x:c>
      <x:c r="R73" s="130" t="str">
        <x:v>5'-5"</x:v>
      </x:c>
      <x:c r="S73" s="130" t="n">
        <x:v>148</x:v>
      </x:c>
      <x:c r="T73" s="130" t="str">
        <x:v>F</x:v>
      </x:c>
      <x:c r="U73" s="130" t="n">
        <x:v>24838</x:v>
      </x:c>
      <x:c r="V73" s="130" t="str">
        <x:v>DRV-011.png</x:v>
      </x:c>
      <x:c r="W73" s="130" t="str">
        <x:v>South Asian</x:v>
      </x:c>
      <x:c r="X73" s="130" t="str">
        <x:v>olee@example.com</x:v>
      </x:c>
      <x:c r="Y73" s="130" t="str">
        <x:v>900 Demo Street</x:v>
      </x:c>
      <x:c r="Z73" s="130" t="str">
        <x:v>Atlanta</x:v>
      </x:c>
      <x:c r="AA73" s="130" t="str">
        <x:v>GA</x:v>
      </x:c>
      <x:c r="AB73" s="130" t="n">
        <x:v>30308</x:v>
      </x:c>
      <x:c r="AC73" s="130" t="str">
        <x:v>GA</x:v>
      </x:c>
      <x:c r="AD73" s="130" t="str">
        <x:v>Class A</x:v>
      </x:c>
      <x:c r="AE73" s="180" t="n">
        <x:v>44744</x:v>
      </x:c>
      <x:c r="AF73" s="130" t="str">
        <x:v>N,T</x:v>
      </x:c>
      <x:c r="AG73" s="130"/>
      <x:c r="AH73" s="180" t="n">
        <x:v>45769</x:v>
      </x:c>
      <x:c r="AI73" s="130" t="str">
        <x:v>MC-0110314</x:v>
      </x:c>
      <x:c r="AJ73" s="130" t="str">
        <x:v>Dr. Melissa Tran</x:v>
      </x:c>
      <x:c r="AK73" s="130" t="str">
        <x:v>ME100011</x:v>
      </x:c>
      <x:c r="AL73" s="130"/>
      <x:c r="AM73" s="130" t="str">
        <x:v>Qualified</x:v>
      </x:c>
      <x:c r="AN73" s="180" t="n">
        <x:v>46454</x:v>
      </x:c>
      <x:c r="AO73" s="130" t="n">
        <x:v>0</x:v>
      </x:c>
      <x:c r="AP73" s="130" t="n">
        <x:v>0</x:v>
      </x:c>
      <x:c r="AQ73" s="130"/>
      <x:c r="AR73" s="130" t="str">
        <x:v>Clear</x:v>
      </x:c>
      <x:c r="AS73" s="180" t="n">
        <x:v>45551</x:v>
      </x:c>
      <x:c r="AT73" s="130" t="str">
        <x:v>Authorized to Work</x:v>
      </x:c>
      <x:c r="AU73" s="130" t="str">
        <x:v>U.S. Passport</x:v>
      </x:c>
      <x:c r="AV73" s="130"/>
      <x:c r="AW73" s="130"/>
      <x:c r="AX73" s="180" t="n">
        <x:v>45551</x:v>
      </x:c>
      <x:c r="AY73" s="130" t="str">
        <x:v>BOF Onboarding Team</x:v>
      </x:c>
      <x:c r="AZ73" s="130" t="str">
        <x:v>Complete</x:v>
      </x:c>
      <x:c r="BA73" s="130"/>
      <x:c r="BB73" s="130" t="str">
        <x:v>Individual/Sole Proprietor</x:v>
      </x:c>
      <x:c r="BC73" s="130" t="str">
        <x:v>SSN</x:v>
      </x:c>
      <x:c r="BD73" s="130" t="str">
        <x:v>***-**-0111</x:v>
      </x:c>
      <x:c r="BE73" s="130"/>
      <x:c r="BF73" s="180" t="n">
        <x:v>45551</x:v>
      </x:c>
      <x:c r="BG73" s="130" t="str">
        <x:v>Received</x:v>
      </x:c>
      <x:c r="BH73" s="130" t="str">
        <x:v>Savings</x:v>
      </x:c>
      <x:c r="BI73" s="130" t="str">
        <x:v>Direct Deposit</x:v>
      </x:c>
      <x:c r="BJ73" s="180" t="n">
        <x:v>45551</x:v>
      </x:c>
      <x:c r="BK73" s="130" t="str">
        <x:v>Verified</x:v>
      </x:c>
      <x:c r="BL73" s="180" t="n">
        <x:v>45544</x:v>
      </x:c>
      <x:c r="BM73" s="130" t="str">
        <x:v>C. Nguyen</x:v>
      </x:c>
      <x:c r="BN73" s="130" t="str">
        <x:v>Day cab tractor</x:v>
      </x:c>
      <x:c r="BO73" s="130" t="str">
        <x:v>53 ft dry van</x:v>
      </x:c>
      <x:c r="BP73" s="130" t="str">
        <x:v>Atlanta, GA</x:v>
      </x:c>
      <x:c r="BQ73" s="130" t="n">
        <x:v>5</x:v>
      </x:c>
      <x:c r="BR73" s="130" t="n">
        <x:v>5</x:v>
      </x:c>
      <x:c r="BS73" s="130" t="n">
        <x:v>4</x:v>
      </x:c>
      <x:c r="BT73" s="130" t="n">
        <x:v>5</x:v>
      </x:c>
      <x:c r="BU73" s="130" t="n">
        <x:v>5</x:v>
      </x:c>
      <x:c r="BV73" s="130" t="n">
        <x:v>5</x:v>
      </x:c>
      <x:c r="BW73" s="130" t="n">
        <x:v>4</x:v>
      </x:c>
      <x:c r="BX73" s="130" t="n">
        <x:v>5</x:v>
      </x:c>
      <x:c r="BY73" s="130" t="n">
        <x:v>5</x:v>
      </x:c>
      <x:c r="BZ73" s="130" t="str">
        <x:v>Pass</x:v>
      </x:c>
      <x:c r="CA73" s="130"/>
      <x:c r="CB73" s="130" t="str">
        <x:v>Passed</x:v>
      </x:c>
      <x:c r="CC73" s="130" t="str">
        <x:v>Enrolled</x:v>
      </x:c>
      <x:c r="CD73" s="130" t="str">
        <x:v>Query Completed</x:v>
      </x:c>
      <x:c r="CE73" s="180" t="n">
        <x:v>46037</x:v>
      </x:c>
      <x:c r="CF73" s="180" t="n">
        <x:v>46218</x:v>
      </x:c>
      <x:c r="CG73" s="130"/>
      <x:c r="CH73" s="130" t="str">
        <x:v>Compliant</x:v>
      </x:c>
      <x:c r="CI73" s="130"/>
      <x:c r="CJ73" s="130" t="str">
        <x:v>Olivia</x:v>
      </x:c>
      <x:c r="CK73" s="130" t="str">
        <x:v>Lee</x:v>
      </x:c>
      <x:c r="CL73" s="130" t="str">
        <x:v>GA0000021</x:v>
      </x:c>
      <x:c r="CM73" s="130" t="str">
        <x:v>GA</x:v>
      </x:c>
      <x:c r="CN73" s="130" t="str">
        <x:v>CDL Holder</x:v>
      </x:c>
      <x:c r="CO73" s="130" t="str">
        <x:v>Olivia Lee</x:v>
      </x:c>
      <x:c r="CP73" s="180" t="n">
        <x:v>45769</x:v>
      </x:c>
      <x:c r="CQ73" s="180" t="n">
        <x:v>46499</x:v>
      </x:c>
      <x:c r="CR73" s="130" t="str">
        <x:v>(404) 555-0100</x:v>
      </x:c>
      <x:c r="CS73" s="130" t="str">
        <x:v>Dr. Melissa Tran</x:v>
      </x:c>
      <x:c r="CT73" s="180" t="n">
        <x:v>45769</x:v>
      </x:c>
      <x:c r="CU73" s="130" t="str">
        <x:v>GA-ME-601747</x:v>
      </x:c>
      <x:c r="CV73" s="130" t="str">
        <x:v>ME100011</x:v>
      </x:c>
      <x:c r="CW73" s="130" t="str">
        <x:v>Advanced Practice Nurse</x:v>
      </x:c>
      <x:c r="CX73" s="130" t="str">
        <x:v>GA</x:v>
      </x:c>
      <x:c r="CY73" s="130" t="str">
        <x:v>Federal Motor Carrier Safety Regulations</x:v>
      </x:c>
      <x:c r="CZ73" s="130"/>
      <x:c r="DA73" s="130" t="str">
        <x:v>No</x:v>
      </x:c>
      <x:c r="DB73" s="130" t="str">
        <x:v>No</x:v>
      </x:c>
      <x:c r="DC73" s="130" t="str">
        <x:v>No</x:v>
      </x:c>
      <x:c r="DD73" s="130" t="str">
        <x:v>No</x:v>
      </x:c>
      <x:c r="DE73" s="130" t="str">
        <x:v>No</x:v>
      </x:c>
      <x:c r="DF73" s="130" t="str">
        <x:v>No</x:v>
      </x:c>
      <x:c r="DG73" s="130" t="str">
        <x:v>Jane Doe</x:v>
      </x:c>
      <x:c r="DH73" s="130" t="str">
        <x:v>Sister</x:v>
      </x:c>
      <x:c r="DI73" s="130" t="str">
        <x:v>555-555-5555</x:v>
      </x:c>
      <x:c r="DJ73" s="130" t="str">
        <x:v>No</x:v>
      </x:c>
      <x:c r="DK73" s="130" t="str">
        <x:v>No</x:v>
      </x:c>
      <x:c r="DL73" s="130" t="str">
        <x:v>No</x:v>
      </x:c>
      <x:c r="DM73" s="130" t="str">
        <x:v>No</x:v>
      </x:c>
      <x:c r="DN73" s="130" t="str">
        <x:v>Yes - Appendectomy (2005)</x:v>
      </x:c>
      <x:c r="DO73" s="130" t="str">
        <x:v>20/20</x:v>
      </x:c>
      <x:c r="DP73" s="130" t="str">
        <x:v>20/20</x:v>
      </x:c>
      <x:c r="DQ73" s="130" t="str">
        <x:v>Pass</x:v>
      </x:c>
      <x:c r="DR73" s="130" t="str">
        <x:v>118</x:v>
      </x:c>
      <x:c r="DS73" s="130" t="str">
        <x:v>78</x:v>
      </x:c>
      <x:c r="DT73" s="130" t="str">
        <x:v>72</x:v>
      </x:c>
      <x:c r="DU73" s="130" t="str">
        <x:v>Normal</x:v>
      </x:c>
      <x:c r="DV73" s="180" t="n">
        <x:v>45392</x:v>
      </x:c>
      <x:c r="DW73" s="180" t="n">
        <x:v>45394</x:v>
      </x:c>
      <x:c r="DX73" s="130" t="str">
        <x:v>Negative</x:v>
      </x:c>
      <x:c r="DY73" s="180" t="n">
        <x:v>45397</x:v>
      </x:c>
      <x:c r="DZ73" s="130" t="str">
        <x:v>BOF Fleet Safety &amp; Compliance Policy 2024</x:v>
      </x:c>
      <x:c r="EA73" s="130" t="str">
        <x:v>Complete</x:v>
      </x:c>
      <x:c r="EB73" s="180" t="n">
        <x:v>45413</x:v>
      </x:c>
    </x:row>
    <x:row r="74">
      <x:c r="A74" s="130" t="str">
        <x:v>DRV-011</x:v>
      </x:c>
      <x:c r="B74" s="130" t="str">
        <x:v>Olivia Lee</x:v>
      </x:c>
      <x:c r="C74" s="130" t="str">
        <x:v>900 Demo Street, Atlanta, GA 30308</x:v>
      </x:c>
      <x:c r="D74" s="130" t="str">
        <x:v>337-555-0100</x:v>
      </x:c>
      <x:c r="E74" s="130" t="str">
        <x:v>***-**-0111</x:v>
      </x:c>
      <x:c r="F74" s="130" t="str">
        <x:v>Bank of America</x:v>
      </x:c>
      <x:c r="G74" s="130" t="n">
        <x:v>000000102</x:v>
      </x:c>
      <x:c r="H74" s="130" t="n">
        <x:v>999900209</x:v>
      </x:c>
      <x:c r="I74" s="130" t="str">
        <x:v>MVR Background Report</x:v>
      </x:c>
      <x:c r="J74" s="130" t="str">
        <x:v>VALID</x:v>
      </x:c>
      <x:c r="K74" s="130" t="str">
        <x:v>GA0000009</x:v>
      </x:c>
      <x:c r="L74" s="180" t="n">
        <x:v>46566</x:v>
      </x:c>
      <x:c r="M74" s="180" t="n">
        <x:v>46499</x:v>
      </x:c>
      <x:c r="N74" s="180" t="n">
        <x:v>46484</x:v>
      </x:c>
      <x:c r="O74" s="130"/>
      <x:c r="P74" s="130" t="str">
        <x:v>Brown</x:v>
      </x:c>
      <x:c r="Q74" s="130" t="str">
        <x:v>Hazel</x:v>
      </x:c>
      <x:c r="R74" s="130" t="str">
        <x:v>5'-5"</x:v>
      </x:c>
      <x:c r="S74" s="130" t="n">
        <x:v>148</x:v>
      </x:c>
      <x:c r="T74" s="130" t="str">
        <x:v>F</x:v>
      </x:c>
      <x:c r="U74" s="130" t="n">
        <x:v>24838</x:v>
      </x:c>
      <x:c r="V74" s="130" t="str">
        <x:v>DRV-011.png</x:v>
      </x:c>
      <x:c r="W74" s="130" t="str">
        <x:v>South Asian</x:v>
      </x:c>
      <x:c r="X74" s="130" t="str">
        <x:v>olee@example.com</x:v>
      </x:c>
      <x:c r="Y74" s="130" t="str">
        <x:v>900 Demo Street</x:v>
      </x:c>
      <x:c r="Z74" s="130" t="str">
        <x:v>Atlanta</x:v>
      </x:c>
      <x:c r="AA74" s="130" t="str">
        <x:v>GA</x:v>
      </x:c>
      <x:c r="AB74" s="130" t="n">
        <x:v>30308</x:v>
      </x:c>
      <x:c r="AC74" s="130" t="str">
        <x:v>GA</x:v>
      </x:c>
      <x:c r="AD74" s="130" t="str">
        <x:v>Class A</x:v>
      </x:c>
      <x:c r="AE74" s="180" t="n">
        <x:v>44744</x:v>
      </x:c>
      <x:c r="AF74" s="130" t="str">
        <x:v>N,T</x:v>
      </x:c>
      <x:c r="AG74" s="130"/>
      <x:c r="AH74" s="180" t="n">
        <x:v>45769</x:v>
      </x:c>
      <x:c r="AI74" s="130" t="str">
        <x:v>MC-0110314</x:v>
      </x:c>
      <x:c r="AJ74" s="130" t="str">
        <x:v>Dr. Melissa Tran</x:v>
      </x:c>
      <x:c r="AK74" s="130" t="str">
        <x:v>ME100011</x:v>
      </x:c>
      <x:c r="AL74" s="130"/>
      <x:c r="AM74" s="130" t="str">
        <x:v>Qualified</x:v>
      </x:c>
      <x:c r="AN74" s="180" t="n">
        <x:v>46454</x:v>
      </x:c>
      <x:c r="AO74" s="130" t="n">
        <x:v>0</x:v>
      </x:c>
      <x:c r="AP74" s="130" t="n">
        <x:v>0</x:v>
      </x:c>
      <x:c r="AQ74" s="130"/>
      <x:c r="AR74" s="130" t="str">
        <x:v>Clear</x:v>
      </x:c>
      <x:c r="AS74" s="180" t="n">
        <x:v>45551</x:v>
      </x:c>
      <x:c r="AT74" s="130" t="str">
        <x:v>Authorized to Work</x:v>
      </x:c>
      <x:c r="AU74" s="130" t="str">
        <x:v>U.S. Passport</x:v>
      </x:c>
      <x:c r="AV74" s="130"/>
      <x:c r="AW74" s="130"/>
      <x:c r="AX74" s="180" t="n">
        <x:v>45551</x:v>
      </x:c>
      <x:c r="AY74" s="130" t="str">
        <x:v>BOF Onboarding Team</x:v>
      </x:c>
      <x:c r="AZ74" s="130" t="str">
        <x:v>Complete</x:v>
      </x:c>
      <x:c r="BA74" s="130"/>
      <x:c r="BB74" s="130" t="str">
        <x:v>Individual/Sole Proprietor</x:v>
      </x:c>
      <x:c r="BC74" s="130" t="str">
        <x:v>SSN</x:v>
      </x:c>
      <x:c r="BD74" s="130" t="str">
        <x:v>***-**-0111</x:v>
      </x:c>
      <x:c r="BE74" s="130"/>
      <x:c r="BF74" s="180" t="n">
        <x:v>45551</x:v>
      </x:c>
      <x:c r="BG74" s="130" t="str">
        <x:v>Received</x:v>
      </x:c>
      <x:c r="BH74" s="130" t="str">
        <x:v>Savings</x:v>
      </x:c>
      <x:c r="BI74" s="130" t="str">
        <x:v>Direct Deposit</x:v>
      </x:c>
      <x:c r="BJ74" s="180" t="n">
        <x:v>45551</x:v>
      </x:c>
      <x:c r="BK74" s="130" t="str">
        <x:v>Verified</x:v>
      </x:c>
      <x:c r="BL74" s="180" t="n">
        <x:v>45544</x:v>
      </x:c>
      <x:c r="BM74" s="130" t="str">
        <x:v>C. Nguyen</x:v>
      </x:c>
      <x:c r="BN74" s="130" t="str">
        <x:v>Day cab tractor</x:v>
      </x:c>
      <x:c r="BO74" s="130" t="str">
        <x:v>53 ft dry van</x:v>
      </x:c>
      <x:c r="BP74" s="130" t="str">
        <x:v>Atlanta, GA</x:v>
      </x:c>
      <x:c r="BQ74" s="130" t="n">
        <x:v>5</x:v>
      </x:c>
      <x:c r="BR74" s="130" t="n">
        <x:v>5</x:v>
      </x:c>
      <x:c r="BS74" s="130" t="n">
        <x:v>4</x:v>
      </x:c>
      <x:c r="BT74" s="130" t="n">
        <x:v>5</x:v>
      </x:c>
      <x:c r="BU74" s="130" t="n">
        <x:v>5</x:v>
      </x:c>
      <x:c r="BV74" s="130" t="n">
        <x:v>5</x:v>
      </x:c>
      <x:c r="BW74" s="130" t="n">
        <x:v>4</x:v>
      </x:c>
      <x:c r="BX74" s="130" t="n">
        <x:v>5</x:v>
      </x:c>
      <x:c r="BY74" s="130" t="n">
        <x:v>5</x:v>
      </x:c>
      <x:c r="BZ74" s="130" t="str">
        <x:v>Pass</x:v>
      </x:c>
      <x:c r="CA74" s="130"/>
      <x:c r="CB74" s="130" t="str">
        <x:v>Passed</x:v>
      </x:c>
      <x:c r="CC74" s="130" t="str">
        <x:v>Enrolled</x:v>
      </x:c>
      <x:c r="CD74" s="130" t="str">
        <x:v>Query Completed</x:v>
      </x:c>
      <x:c r="CE74" s="180" t="n">
        <x:v>46037</x:v>
      </x:c>
      <x:c r="CF74" s="180" t="n">
        <x:v>46218</x:v>
      </x:c>
      <x:c r="CG74" s="130"/>
      <x:c r="CH74" s="130" t="str">
        <x:v>Compliant</x:v>
      </x:c>
      <x:c r="CI74" s="130"/>
      <x:c r="CJ74" s="130" t="str">
        <x:v>Olivia</x:v>
      </x:c>
      <x:c r="CK74" s="130" t="str">
        <x:v>Lee</x:v>
      </x:c>
      <x:c r="CL74" s="130" t="str">
        <x:v>GA0000022</x:v>
      </x:c>
      <x:c r="CM74" s="130" t="str">
        <x:v>GA</x:v>
      </x:c>
      <x:c r="CN74" s="130" t="str">
        <x:v>CDL Holder</x:v>
      </x:c>
      <x:c r="CO74" s="130" t="str">
        <x:v>Olivia Lee</x:v>
      </x:c>
      <x:c r="CP74" s="180" t="n">
        <x:v>45769</x:v>
      </x:c>
      <x:c r="CQ74" s="180" t="n">
        <x:v>46499</x:v>
      </x:c>
      <x:c r="CR74" s="130" t="str">
        <x:v>(404) 555-0100</x:v>
      </x:c>
      <x:c r="CS74" s="130" t="str">
        <x:v>Dr. Melissa Tran</x:v>
      </x:c>
      <x:c r="CT74" s="180" t="n">
        <x:v>45769</x:v>
      </x:c>
      <x:c r="CU74" s="130" t="str">
        <x:v>GA-ME-601747</x:v>
      </x:c>
      <x:c r="CV74" s="130" t="str">
        <x:v>ME100011</x:v>
      </x:c>
      <x:c r="CW74" s="130" t="str">
        <x:v>Advanced Practice Nurse</x:v>
      </x:c>
      <x:c r="CX74" s="130" t="str">
        <x:v>GA</x:v>
      </x:c>
      <x:c r="CY74" s="130" t="str">
        <x:v>Federal Motor Carrier Safety Regulations</x:v>
      </x:c>
      <x:c r="CZ74" s="130"/>
      <x:c r="DA74" s="130" t="str">
        <x:v>No</x:v>
      </x:c>
      <x:c r="DB74" s="130" t="str">
        <x:v>No</x:v>
      </x:c>
      <x:c r="DC74" s="130" t="str">
        <x:v>No</x:v>
      </x:c>
      <x:c r="DD74" s="130" t="str">
        <x:v>No</x:v>
      </x:c>
      <x:c r="DE74" s="130" t="str">
        <x:v>No</x:v>
      </x:c>
      <x:c r="DF74" s="130" t="str">
        <x:v>No</x:v>
      </x:c>
      <x:c r="DG74" s="130" t="str">
        <x:v>Jane Doe</x:v>
      </x:c>
      <x:c r="DH74" s="130" t="str">
        <x:v>Sister</x:v>
      </x:c>
      <x:c r="DI74" s="130" t="str">
        <x:v>555-555-5555</x:v>
      </x:c>
      <x:c r="DJ74" s="130" t="str">
        <x:v>No</x:v>
      </x:c>
      <x:c r="DK74" s="130" t="str">
        <x:v>No</x:v>
      </x:c>
      <x:c r="DL74" s="130" t="str">
        <x:v>No</x:v>
      </x:c>
      <x:c r="DM74" s="130" t="str">
        <x:v>No</x:v>
      </x:c>
      <x:c r="DN74" s="130" t="str">
        <x:v>Yes - Appendectomy (2005)</x:v>
      </x:c>
      <x:c r="DO74" s="130" t="str">
        <x:v>20/20</x:v>
      </x:c>
      <x:c r="DP74" s="130" t="str">
        <x:v>20/20</x:v>
      </x:c>
      <x:c r="DQ74" s="130" t="str">
        <x:v>Pass</x:v>
      </x:c>
      <x:c r="DR74" s="130" t="str">
        <x:v>118</x:v>
      </x:c>
      <x:c r="DS74" s="130" t="str">
        <x:v>78</x:v>
      </x:c>
      <x:c r="DT74" s="130" t="str">
        <x:v>72</x:v>
      </x:c>
      <x:c r="DU74" s="130" t="str">
        <x:v>Normal</x:v>
      </x:c>
      <x:c r="DV74" s="180" t="n">
        <x:v>45392</x:v>
      </x:c>
      <x:c r="DW74" s="180" t="n">
        <x:v>45394</x:v>
      </x:c>
      <x:c r="DX74" s="130" t="str">
        <x:v>Negative</x:v>
      </x:c>
      <x:c r="DY74" s="180" t="n">
        <x:v>45397</x:v>
      </x:c>
      <x:c r="DZ74" s="130" t="str">
        <x:v>BOF Fleet Safety &amp; Compliance Policy 2024</x:v>
      </x:c>
      <x:c r="EA74" s="130" t="str">
        <x:v>Complete</x:v>
      </x:c>
      <x:c r="EB74" s="180" t="n">
        <x:v>45413</x:v>
      </x:c>
    </x:row>
    <x:row r="75">
      <x:c r="A75" s="130" t="str">
        <x:v>DRV-011</x:v>
      </x:c>
      <x:c r="B75" s="130" t="str">
        <x:v>Olivia Lee</x:v>
      </x:c>
      <x:c r="C75" s="130" t="str">
        <x:v>900 Demo Street, Atlanta, GA 30308</x:v>
      </x:c>
      <x:c r="D75" s="130" t="str">
        <x:v>337-555-0100</x:v>
      </x:c>
      <x:c r="E75" s="130" t="str">
        <x:v>***-**-0111</x:v>
      </x:c>
      <x:c r="F75" s="130" t="str">
        <x:v>Bank of America</x:v>
      </x:c>
      <x:c r="G75" s="130" t="n">
        <x:v>000000102</x:v>
      </x:c>
      <x:c r="H75" s="130" t="n">
        <x:v>999900209</x:v>
      </x:c>
      <x:c r="I75" s="130" t="str">
        <x:v>Driver Application</x:v>
      </x:c>
      <x:c r="J75" s="130" t="str">
        <x:v>VALID</x:v>
      </x:c>
      <x:c r="K75" s="130" t="str">
        <x:v>GA0000010</x:v>
      </x:c>
      <x:c r="L75" s="180" t="n">
        <x:v>46566</x:v>
      </x:c>
      <x:c r="M75" s="180" t="n">
        <x:v>46499</x:v>
      </x:c>
      <x:c r="N75" s="180" t="n">
        <x:v>46484</x:v>
      </x:c>
      <x:c r="O75" s="130"/>
      <x:c r="P75" s="130" t="str">
        <x:v>Brown</x:v>
      </x:c>
      <x:c r="Q75" s="130" t="str">
        <x:v>Hazel</x:v>
      </x:c>
      <x:c r="R75" s="130" t="str">
        <x:v>5'-5"</x:v>
      </x:c>
      <x:c r="S75" s="130" t="n">
        <x:v>148</x:v>
      </x:c>
      <x:c r="T75" s="130" t="str">
        <x:v>F</x:v>
      </x:c>
      <x:c r="U75" s="130" t="n">
        <x:v>24838</x:v>
      </x:c>
      <x:c r="V75" s="130" t="str">
        <x:v>DRV-011.png</x:v>
      </x:c>
      <x:c r="W75" s="130" t="str">
        <x:v>South Asian</x:v>
      </x:c>
      <x:c r="X75" s="130" t="str">
        <x:v>olee@example.com</x:v>
      </x:c>
      <x:c r="Y75" s="130" t="str">
        <x:v>900 Demo Street</x:v>
      </x:c>
      <x:c r="Z75" s="130" t="str">
        <x:v>Atlanta</x:v>
      </x:c>
      <x:c r="AA75" s="130" t="str">
        <x:v>GA</x:v>
      </x:c>
      <x:c r="AB75" s="130" t="n">
        <x:v>30308</x:v>
      </x:c>
      <x:c r="AC75" s="130" t="str">
        <x:v>GA</x:v>
      </x:c>
      <x:c r="AD75" s="130" t="str">
        <x:v>Class A</x:v>
      </x:c>
      <x:c r="AE75" s="180" t="n">
        <x:v>44744</x:v>
      </x:c>
      <x:c r="AF75" s="130" t="str">
        <x:v>N,T</x:v>
      </x:c>
      <x:c r="AG75" s="130"/>
      <x:c r="AH75" s="180" t="n">
        <x:v>45769</x:v>
      </x:c>
      <x:c r="AI75" s="130" t="str">
        <x:v>MC-0110314</x:v>
      </x:c>
      <x:c r="AJ75" s="130" t="str">
        <x:v>Dr. Melissa Tran</x:v>
      </x:c>
      <x:c r="AK75" s="130" t="str">
        <x:v>ME100011</x:v>
      </x:c>
      <x:c r="AL75" s="130"/>
      <x:c r="AM75" s="130" t="str">
        <x:v>Qualified</x:v>
      </x:c>
      <x:c r="AN75" s="180" t="n">
        <x:v>46454</x:v>
      </x:c>
      <x:c r="AO75" s="130" t="n">
        <x:v>0</x:v>
      </x:c>
      <x:c r="AP75" s="130" t="n">
        <x:v>0</x:v>
      </x:c>
      <x:c r="AQ75" s="130"/>
      <x:c r="AR75" s="130" t="str">
        <x:v>Clear</x:v>
      </x:c>
      <x:c r="AS75" s="180" t="n">
        <x:v>45551</x:v>
      </x:c>
      <x:c r="AT75" s="130" t="str">
        <x:v>Authorized to Work</x:v>
      </x:c>
      <x:c r="AU75" s="130" t="str">
        <x:v>U.S. Passport</x:v>
      </x:c>
      <x:c r="AV75" s="130"/>
      <x:c r="AW75" s="130"/>
      <x:c r="AX75" s="180" t="n">
        <x:v>45551</x:v>
      </x:c>
      <x:c r="AY75" s="130" t="str">
        <x:v>BOF Onboarding Team</x:v>
      </x:c>
      <x:c r="AZ75" s="130" t="str">
        <x:v>Complete</x:v>
      </x:c>
      <x:c r="BA75" s="130"/>
      <x:c r="BB75" s="130" t="str">
        <x:v>Individual/Sole Proprietor</x:v>
      </x:c>
      <x:c r="BC75" s="130" t="str">
        <x:v>SSN</x:v>
      </x:c>
      <x:c r="BD75" s="130" t="str">
        <x:v>***-**-0111</x:v>
      </x:c>
      <x:c r="BE75" s="130"/>
      <x:c r="BF75" s="180" t="n">
        <x:v>45551</x:v>
      </x:c>
      <x:c r="BG75" s="130" t="str">
        <x:v>Received</x:v>
      </x:c>
      <x:c r="BH75" s="130" t="str">
        <x:v>Savings</x:v>
      </x:c>
      <x:c r="BI75" s="130" t="str">
        <x:v>Direct Deposit</x:v>
      </x:c>
      <x:c r="BJ75" s="180" t="n">
        <x:v>45551</x:v>
      </x:c>
      <x:c r="BK75" s="130" t="str">
        <x:v>Verified</x:v>
      </x:c>
      <x:c r="BL75" s="180" t="n">
        <x:v>45544</x:v>
      </x:c>
      <x:c r="BM75" s="130" t="str">
        <x:v>C. Nguyen</x:v>
      </x:c>
      <x:c r="BN75" s="130" t="str">
        <x:v>Day cab tractor</x:v>
      </x:c>
      <x:c r="BO75" s="130" t="str">
        <x:v>53 ft dry van</x:v>
      </x:c>
      <x:c r="BP75" s="130" t="str">
        <x:v>Atlanta, GA</x:v>
      </x:c>
      <x:c r="BQ75" s="130" t="n">
        <x:v>5</x:v>
      </x:c>
      <x:c r="BR75" s="130" t="n">
        <x:v>5</x:v>
      </x:c>
      <x:c r="BS75" s="130" t="n">
        <x:v>4</x:v>
      </x:c>
      <x:c r="BT75" s="130" t="n">
        <x:v>5</x:v>
      </x:c>
      <x:c r="BU75" s="130" t="n">
        <x:v>5</x:v>
      </x:c>
      <x:c r="BV75" s="130" t="n">
        <x:v>5</x:v>
      </x:c>
      <x:c r="BW75" s="130" t="n">
        <x:v>4</x:v>
      </x:c>
      <x:c r="BX75" s="130" t="n">
        <x:v>5</x:v>
      </x:c>
      <x:c r="BY75" s="130" t="n">
        <x:v>5</x:v>
      </x:c>
      <x:c r="BZ75" s="130" t="str">
        <x:v>Pass</x:v>
      </x:c>
      <x:c r="CA75" s="130"/>
      <x:c r="CB75" s="130" t="str">
        <x:v>Passed</x:v>
      </x:c>
      <x:c r="CC75" s="130" t="str">
        <x:v>Enrolled</x:v>
      </x:c>
      <x:c r="CD75" s="130" t="str">
        <x:v>Query Completed</x:v>
      </x:c>
      <x:c r="CE75" s="180" t="n">
        <x:v>46037</x:v>
      </x:c>
      <x:c r="CF75" s="180" t="n">
        <x:v>46218</x:v>
      </x:c>
      <x:c r="CG75" s="130"/>
      <x:c r="CH75" s="130" t="str">
        <x:v>Compliant</x:v>
      </x:c>
      <x:c r="CI75" s="130"/>
      <x:c r="CJ75" s="130" t="str">
        <x:v>Olivia</x:v>
      </x:c>
      <x:c r="CK75" s="130" t="str">
        <x:v>Lee</x:v>
      </x:c>
      <x:c r="CL75" s="130" t="str">
        <x:v>GA0000023</x:v>
      </x:c>
      <x:c r="CM75" s="130" t="str">
        <x:v>GA</x:v>
      </x:c>
      <x:c r="CN75" s="130" t="str">
        <x:v>CDL Holder</x:v>
      </x:c>
      <x:c r="CO75" s="130" t="str">
        <x:v>Olivia Lee</x:v>
      </x:c>
      <x:c r="CP75" s="180" t="n">
        <x:v>45769</x:v>
      </x:c>
      <x:c r="CQ75" s="180" t="n">
        <x:v>46499</x:v>
      </x:c>
      <x:c r="CR75" s="130" t="str">
        <x:v>(404) 555-0100</x:v>
      </x:c>
      <x:c r="CS75" s="130" t="str">
        <x:v>Dr. Melissa Tran</x:v>
      </x:c>
      <x:c r="CT75" s="180" t="n">
        <x:v>45769</x:v>
      </x:c>
      <x:c r="CU75" s="130" t="str">
        <x:v>GA-ME-601747</x:v>
      </x:c>
      <x:c r="CV75" s="130" t="str">
        <x:v>ME100011</x:v>
      </x:c>
      <x:c r="CW75" s="130" t="str">
        <x:v>Advanced Practice Nurse</x:v>
      </x:c>
      <x:c r="CX75" s="130" t="str">
        <x:v>GA</x:v>
      </x:c>
      <x:c r="CY75" s="130" t="str">
        <x:v>Federal Motor Carrier Safety Regulations</x:v>
      </x:c>
      <x:c r="CZ75" s="130"/>
      <x:c r="DA75" s="130" t="str">
        <x:v>No</x:v>
      </x:c>
      <x:c r="DB75" s="130" t="str">
        <x:v>No</x:v>
      </x:c>
      <x:c r="DC75" s="130" t="str">
        <x:v>No</x:v>
      </x:c>
      <x:c r="DD75" s="130" t="str">
        <x:v>No</x:v>
      </x:c>
      <x:c r="DE75" s="130" t="str">
        <x:v>No</x:v>
      </x:c>
      <x:c r="DF75" s="130" t="str">
        <x:v>No</x:v>
      </x:c>
      <x:c r="DG75" s="130" t="str">
        <x:v>Jane Doe</x:v>
      </x:c>
      <x:c r="DH75" s="130" t="str">
        <x:v>Sister</x:v>
      </x:c>
      <x:c r="DI75" s="130" t="str">
        <x:v>555-555-5555</x:v>
      </x:c>
      <x:c r="DJ75" s="130" t="str">
        <x:v>No</x:v>
      </x:c>
      <x:c r="DK75" s="130" t="str">
        <x:v>No</x:v>
      </x:c>
      <x:c r="DL75" s="130" t="str">
        <x:v>No</x:v>
      </x:c>
      <x:c r="DM75" s="130" t="str">
        <x:v>No</x:v>
      </x:c>
      <x:c r="DN75" s="130" t="str">
        <x:v>Yes - Appendectomy (2005)</x:v>
      </x:c>
      <x:c r="DO75" s="130" t="str">
        <x:v>20/20</x:v>
      </x:c>
      <x:c r="DP75" s="130" t="str">
        <x:v>20/20</x:v>
      </x:c>
      <x:c r="DQ75" s="130" t="str">
        <x:v>Pass</x:v>
      </x:c>
      <x:c r="DR75" s="130" t="str">
        <x:v>118</x:v>
      </x:c>
      <x:c r="DS75" s="130" t="str">
        <x:v>78</x:v>
      </x:c>
      <x:c r="DT75" s="130" t="str">
        <x:v>72</x:v>
      </x:c>
      <x:c r="DU75" s="130" t="str">
        <x:v>Normal</x:v>
      </x:c>
      <x:c r="DV75" s="180" t="n">
        <x:v>45392</x:v>
      </x:c>
      <x:c r="DW75" s="180" t="n">
        <x:v>45394</x:v>
      </x:c>
      <x:c r="DX75" s="130" t="str">
        <x:v>Negative</x:v>
      </x:c>
      <x:c r="DY75" s="180" t="n">
        <x:v>45397</x:v>
      </x:c>
      <x:c r="DZ75" s="130" t="str">
        <x:v>BOF Fleet Safety &amp; Compliance Policy 2024</x:v>
      </x:c>
      <x:c r="EA75" s="130" t="str">
        <x:v>Complete</x:v>
      </x:c>
      <x:c r="EB75" s="180" t="n">
        <x:v>45413</x:v>
      </x:c>
    </x:row>
    <x:row r="76">
      <x:c r="A76" s="130" t="str">
        <x:v>DRV-011</x:v>
      </x:c>
      <x:c r="B76" s="130" t="str">
        <x:v>Olivia Lee</x:v>
      </x:c>
      <x:c r="C76" s="130" t="str">
        <x:v>900 Demo Street, Atlanta, GA 30308</x:v>
      </x:c>
      <x:c r="D76" s="130" t="str">
        <x:v>337-555-0100</x:v>
      </x:c>
      <x:c r="E76" s="130" t="str">
        <x:v>***-**-0111</x:v>
      </x:c>
      <x:c r="F76" s="130" t="str">
        <x:v>Bank of America</x:v>
      </x:c>
      <x:c r="G76" s="130" t="n">
        <x:v>000000102</x:v>
      </x:c>
      <x:c r="H76" s="130" t="n">
        <x:v>999900209</x:v>
      </x:c>
      <x:c r="I76" s="130" t="str">
        <x:v>Road Test Certificate</x:v>
      </x:c>
      <x:c r="J76" s="130" t="str">
        <x:v>VALID</x:v>
      </x:c>
      <x:c r="K76" s="130" t="str">
        <x:v>GA0000012</x:v>
      </x:c>
      <x:c r="L76" s="180" t="n">
        <x:v>46566</x:v>
      </x:c>
      <x:c r="M76" s="180" t="n">
        <x:v>46499</x:v>
      </x:c>
      <x:c r="N76" s="180" t="n">
        <x:v>46484</x:v>
      </x:c>
      <x:c r="O76" s="130"/>
      <x:c r="P76" s="130" t="str">
        <x:v>Brown</x:v>
      </x:c>
      <x:c r="Q76" s="130" t="str">
        <x:v>Hazel</x:v>
      </x:c>
      <x:c r="R76" s="130" t="str">
        <x:v>5'-5"</x:v>
      </x:c>
      <x:c r="S76" s="130" t="n">
        <x:v>148</x:v>
      </x:c>
      <x:c r="T76" s="130" t="str">
        <x:v>F</x:v>
      </x:c>
      <x:c r="U76" s="130" t="n">
        <x:v>24838</x:v>
      </x:c>
      <x:c r="V76" s="130" t="str">
        <x:v>DRV-011.png</x:v>
      </x:c>
      <x:c r="W76" s="130" t="str">
        <x:v>South Asian</x:v>
      </x:c>
      <x:c r="X76" s="130" t="str">
        <x:v>olee@example.com</x:v>
      </x:c>
      <x:c r="Y76" s="130" t="str">
        <x:v>900 Demo Street</x:v>
      </x:c>
      <x:c r="Z76" s="130" t="str">
        <x:v>Atlanta</x:v>
      </x:c>
      <x:c r="AA76" s="130" t="str">
        <x:v>GA</x:v>
      </x:c>
      <x:c r="AB76" s="130" t="n">
        <x:v>30308</x:v>
      </x:c>
      <x:c r="AC76" s="130" t="str">
        <x:v>GA</x:v>
      </x:c>
      <x:c r="AD76" s="130" t="str">
        <x:v>Class A</x:v>
      </x:c>
      <x:c r="AE76" s="180" t="n">
        <x:v>44744</x:v>
      </x:c>
      <x:c r="AF76" s="130" t="str">
        <x:v>N,T</x:v>
      </x:c>
      <x:c r="AG76" s="130"/>
      <x:c r="AH76" s="180" t="n">
        <x:v>45769</x:v>
      </x:c>
      <x:c r="AI76" s="130" t="str">
        <x:v>MC-0110314</x:v>
      </x:c>
      <x:c r="AJ76" s="130" t="str">
        <x:v>Dr. Melissa Tran</x:v>
      </x:c>
      <x:c r="AK76" s="130" t="str">
        <x:v>ME100011</x:v>
      </x:c>
      <x:c r="AL76" s="130"/>
      <x:c r="AM76" s="130" t="str">
        <x:v>Qualified</x:v>
      </x:c>
      <x:c r="AN76" s="180" t="n">
        <x:v>46454</x:v>
      </x:c>
      <x:c r="AO76" s="130" t="n">
        <x:v>0</x:v>
      </x:c>
      <x:c r="AP76" s="130" t="n">
        <x:v>0</x:v>
      </x:c>
      <x:c r="AQ76" s="130"/>
      <x:c r="AR76" s="130" t="str">
        <x:v>Clear</x:v>
      </x:c>
      <x:c r="AS76" s="180" t="n">
        <x:v>45551</x:v>
      </x:c>
      <x:c r="AT76" s="130" t="str">
        <x:v>Authorized to Work</x:v>
      </x:c>
      <x:c r="AU76" s="130" t="str">
        <x:v>U.S. Passport</x:v>
      </x:c>
      <x:c r="AV76" s="130"/>
      <x:c r="AW76" s="130"/>
      <x:c r="AX76" s="180" t="n">
        <x:v>45551</x:v>
      </x:c>
      <x:c r="AY76" s="130" t="str">
        <x:v>BOF Onboarding Team</x:v>
      </x:c>
      <x:c r="AZ76" s="130" t="str">
        <x:v>Complete</x:v>
      </x:c>
      <x:c r="BA76" s="130"/>
      <x:c r="BB76" s="130" t="str">
        <x:v>Individual/Sole Proprietor</x:v>
      </x:c>
      <x:c r="BC76" s="130" t="str">
        <x:v>SSN</x:v>
      </x:c>
      <x:c r="BD76" s="130" t="str">
        <x:v>***-**-0111</x:v>
      </x:c>
      <x:c r="BE76" s="130"/>
      <x:c r="BF76" s="180" t="n">
        <x:v>45551</x:v>
      </x:c>
      <x:c r="BG76" s="130" t="str">
        <x:v>Received</x:v>
      </x:c>
      <x:c r="BH76" s="130" t="str">
        <x:v>Savings</x:v>
      </x:c>
      <x:c r="BI76" s="130" t="str">
        <x:v>Direct Deposit</x:v>
      </x:c>
      <x:c r="BJ76" s="180" t="n">
        <x:v>45551</x:v>
      </x:c>
      <x:c r="BK76" s="130" t="str">
        <x:v>Verified</x:v>
      </x:c>
      <x:c r="BL76" s="180" t="n">
        <x:v>45544</x:v>
      </x:c>
      <x:c r="BM76" s="130" t="str">
        <x:v>C. Nguyen</x:v>
      </x:c>
      <x:c r="BN76" s="130" t="str">
        <x:v>Day cab tractor</x:v>
      </x:c>
      <x:c r="BO76" s="130" t="str">
        <x:v>53 ft dry van</x:v>
      </x:c>
      <x:c r="BP76" s="130" t="str">
        <x:v>Atlanta, GA</x:v>
      </x:c>
      <x:c r="BQ76" s="130" t="n">
        <x:v>5</x:v>
      </x:c>
      <x:c r="BR76" s="130" t="n">
        <x:v>5</x:v>
      </x:c>
      <x:c r="BS76" s="130" t="n">
        <x:v>4</x:v>
      </x:c>
      <x:c r="BT76" s="130" t="n">
        <x:v>5</x:v>
      </x:c>
      <x:c r="BU76" s="130" t="n">
        <x:v>5</x:v>
      </x:c>
      <x:c r="BV76" s="130" t="n">
        <x:v>5</x:v>
      </x:c>
      <x:c r="BW76" s="130" t="n">
        <x:v>4</x:v>
      </x:c>
      <x:c r="BX76" s="130" t="n">
        <x:v>5</x:v>
      </x:c>
      <x:c r="BY76" s="130" t="n">
        <x:v>5</x:v>
      </x:c>
      <x:c r="BZ76" s="130" t="str">
        <x:v>Pass</x:v>
      </x:c>
      <x:c r="CA76" s="130"/>
      <x:c r="CB76" s="130" t="str">
        <x:v>Passed</x:v>
      </x:c>
      <x:c r="CC76" s="130" t="str">
        <x:v>Enrolled</x:v>
      </x:c>
      <x:c r="CD76" s="130" t="str">
        <x:v>Query Completed</x:v>
      </x:c>
      <x:c r="CE76" s="180" t="n">
        <x:v>46037</x:v>
      </x:c>
      <x:c r="CF76" s="180" t="n">
        <x:v>46218</x:v>
      </x:c>
      <x:c r="CG76" s="130"/>
      <x:c r="CH76" s="130" t="str">
        <x:v>Compliant</x:v>
      </x:c>
      <x:c r="CI76" s="130"/>
      <x:c r="CJ76" s="130" t="str">
        <x:v>Olivia</x:v>
      </x:c>
      <x:c r="CK76" s="130" t="str">
        <x:v>Lee</x:v>
      </x:c>
      <x:c r="CL76" s="130" t="str">
        <x:v>GA0000024</x:v>
      </x:c>
      <x:c r="CM76" s="130" t="str">
        <x:v>GA</x:v>
      </x:c>
      <x:c r="CN76" s="130" t="str">
        <x:v>CDL Holder</x:v>
      </x:c>
      <x:c r="CO76" s="130" t="str">
        <x:v>Olivia Lee</x:v>
      </x:c>
      <x:c r="CP76" s="180" t="n">
        <x:v>45769</x:v>
      </x:c>
      <x:c r="CQ76" s="180" t="n">
        <x:v>46499</x:v>
      </x:c>
      <x:c r="CR76" s="130" t="str">
        <x:v>(404) 555-0100</x:v>
      </x:c>
      <x:c r="CS76" s="130" t="str">
        <x:v>Dr. Melissa Tran</x:v>
      </x:c>
      <x:c r="CT76" s="180" t="n">
        <x:v>45769</x:v>
      </x:c>
      <x:c r="CU76" s="130" t="str">
        <x:v>GA-ME-601747</x:v>
      </x:c>
      <x:c r="CV76" s="130" t="str">
        <x:v>ME100011</x:v>
      </x:c>
      <x:c r="CW76" s="130" t="str">
        <x:v>Advanced Practice Nurse</x:v>
      </x:c>
      <x:c r="CX76" s="130" t="str">
        <x:v>GA</x:v>
      </x:c>
      <x:c r="CY76" s="130" t="str">
        <x:v>Federal Motor Carrier Safety Regulations</x:v>
      </x:c>
      <x:c r="CZ76" s="130"/>
      <x:c r="DA76" s="130" t="str">
        <x:v>No</x:v>
      </x:c>
      <x:c r="DB76" s="130" t="str">
        <x:v>No</x:v>
      </x:c>
      <x:c r="DC76" s="130" t="str">
        <x:v>No</x:v>
      </x:c>
      <x:c r="DD76" s="130" t="str">
        <x:v>No</x:v>
      </x:c>
      <x:c r="DE76" s="130" t="str">
        <x:v>No</x:v>
      </x:c>
      <x:c r="DF76" s="130" t="str">
        <x:v>No</x:v>
      </x:c>
      <x:c r="DG76" s="130" t="str">
        <x:v>Jane Doe</x:v>
      </x:c>
      <x:c r="DH76" s="130" t="str">
        <x:v>Sister</x:v>
      </x:c>
      <x:c r="DI76" s="130" t="str">
        <x:v>555-555-5555</x:v>
      </x:c>
      <x:c r="DJ76" s="130" t="str">
        <x:v>No</x:v>
      </x:c>
      <x:c r="DK76" s="130" t="str">
        <x:v>No</x:v>
      </x:c>
      <x:c r="DL76" s="130" t="str">
        <x:v>No</x:v>
      </x:c>
      <x:c r="DM76" s="130" t="str">
        <x:v>No</x:v>
      </x:c>
      <x:c r="DN76" s="130" t="str">
        <x:v>Yes - Appendectomy (2005)</x:v>
      </x:c>
      <x:c r="DO76" s="130" t="str">
        <x:v>20/20</x:v>
      </x:c>
      <x:c r="DP76" s="130" t="str">
        <x:v>20/20</x:v>
      </x:c>
      <x:c r="DQ76" s="130" t="str">
        <x:v>Pass</x:v>
      </x:c>
      <x:c r="DR76" s="130" t="str">
        <x:v>118</x:v>
      </x:c>
      <x:c r="DS76" s="130" t="str">
        <x:v>78</x:v>
      </x:c>
      <x:c r="DT76" s="130" t="str">
        <x:v>72</x:v>
      </x:c>
      <x:c r="DU76" s="130" t="str">
        <x:v>Normal</x:v>
      </x:c>
      <x:c r="DV76" s="180" t="n">
        <x:v>45392</x:v>
      </x:c>
      <x:c r="DW76" s="180" t="n">
        <x:v>45394</x:v>
      </x:c>
      <x:c r="DX76" s="130" t="str">
        <x:v>Negative</x:v>
      </x:c>
      <x:c r="DY76" s="180" t="n">
        <x:v>45397</x:v>
      </x:c>
      <x:c r="DZ76" s="130" t="str">
        <x:v>BOF Fleet Safety &amp; Compliance Policy 2024</x:v>
      </x:c>
      <x:c r="EA76" s="130" t="str">
        <x:v>Complete</x:v>
      </x:c>
      <x:c r="EB76" s="180" t="n">
        <x:v>45413</x:v>
      </x:c>
    </x:row>
    <x:row r="77">
      <x:c r="A77" s="130" t="str">
        <x:v>DRV-011</x:v>
      </x:c>
      <x:c r="B77" s="130" t="str">
        <x:v>Olivia Lee</x:v>
      </x:c>
      <x:c r="C77" s="130" t="str">
        <x:v>900 Demo Street, Atlanta, GA 30308</x:v>
      </x:c>
      <x:c r="D77" s="130" t="str">
        <x:v>337-555-0100</x:v>
      </x:c>
      <x:c r="E77" s="130" t="str">
        <x:v>***-**-0111</x:v>
      </x:c>
      <x:c r="F77" s="130" t="str">
        <x:v>Bank of America</x:v>
      </x:c>
      <x:c r="G77" s="130" t="n">
        <x:v>000000102</x:v>
      </x:c>
      <x:c r="H77" s="130" t="n">
        <x:v>999900209</x:v>
      </x:c>
      <x:c r="I77" s="130" t="str">
        <x:v>Incident/Accident Report</x:v>
      </x:c>
      <x:c r="J77" s="130" t="str">
        <x:v>VALID</x:v>
      </x:c>
      <x:c r="K77" s="130" t="str">
        <x:v>GA0000008</x:v>
      </x:c>
      <x:c r="L77" s="180" t="n">
        <x:v>46566</x:v>
      </x:c>
      <x:c r="M77" s="180" t="n">
        <x:v>46499</x:v>
      </x:c>
      <x:c r="N77" s="180" t="n">
        <x:v>46484</x:v>
      </x:c>
      <x:c r="O77" s="130" t="str">
        <x:v>No major incidents recorded in last 90 days.</x:v>
      </x:c>
      <x:c r="P77" s="130" t="str">
        <x:v>Brown</x:v>
      </x:c>
      <x:c r="Q77" s="130" t="str">
        <x:v>Hazel</x:v>
      </x:c>
      <x:c r="R77" s="130" t="str">
        <x:v>5'-5"</x:v>
      </x:c>
      <x:c r="S77" s="130" t="n">
        <x:v>148</x:v>
      </x:c>
      <x:c r="T77" s="130" t="str">
        <x:v>F</x:v>
      </x:c>
      <x:c r="U77" s="130" t="n">
        <x:v>24838</x:v>
      </x:c>
      <x:c r="V77" s="130" t="str">
        <x:v>DRV-011.png</x:v>
      </x:c>
      <x:c r="W77" s="130" t="str">
        <x:v>South Asian</x:v>
      </x:c>
      <x:c r="X77" s="130" t="str">
        <x:v>olee@example.com</x:v>
      </x:c>
      <x:c r="Y77" s="130" t="str">
        <x:v>900 Demo Street</x:v>
      </x:c>
      <x:c r="Z77" s="130" t="str">
        <x:v>Atlanta</x:v>
      </x:c>
      <x:c r="AA77" s="130" t="str">
        <x:v>GA</x:v>
      </x:c>
      <x:c r="AB77" s="130" t="n">
        <x:v>30308</x:v>
      </x:c>
      <x:c r="AC77" s="130" t="str">
        <x:v>GA</x:v>
      </x:c>
      <x:c r="AD77" s="130" t="str">
        <x:v>Class A</x:v>
      </x:c>
      <x:c r="AE77" s="180" t="n">
        <x:v>44744</x:v>
      </x:c>
      <x:c r="AF77" s="130" t="str">
        <x:v>N,T</x:v>
      </x:c>
      <x:c r="AG77" s="130"/>
      <x:c r="AH77" s="180" t="n">
        <x:v>45769</x:v>
      </x:c>
      <x:c r="AI77" s="130" t="str">
        <x:v>MC-0110314</x:v>
      </x:c>
      <x:c r="AJ77" s="130" t="str">
        <x:v>Dr. Melissa Tran</x:v>
      </x:c>
      <x:c r="AK77" s="130" t="str">
        <x:v>ME100011</x:v>
      </x:c>
      <x:c r="AL77" s="130"/>
      <x:c r="AM77" s="130" t="str">
        <x:v>Qualified</x:v>
      </x:c>
      <x:c r="AN77" s="180" t="n">
        <x:v>46454</x:v>
      </x:c>
      <x:c r="AO77" s="130" t="n">
        <x:v>0</x:v>
      </x:c>
      <x:c r="AP77" s="130" t="n">
        <x:v>0</x:v>
      </x:c>
      <x:c r="AQ77" s="130"/>
      <x:c r="AR77" s="130" t="str">
        <x:v>Clear</x:v>
      </x:c>
      <x:c r="AS77" s="180" t="n">
        <x:v>45551</x:v>
      </x:c>
      <x:c r="AT77" s="130" t="str">
        <x:v>Authorized to Work</x:v>
      </x:c>
      <x:c r="AU77" s="130" t="str">
        <x:v>U.S. Passport</x:v>
      </x:c>
      <x:c r="AV77" s="130"/>
      <x:c r="AW77" s="130"/>
      <x:c r="AX77" s="180" t="n">
        <x:v>45551</x:v>
      </x:c>
      <x:c r="AY77" s="130" t="str">
        <x:v>BOF Onboarding Team</x:v>
      </x:c>
      <x:c r="AZ77" s="130" t="str">
        <x:v>Complete</x:v>
      </x:c>
      <x:c r="BA77" s="130"/>
      <x:c r="BB77" s="130" t="str">
        <x:v>Individual/Sole Proprietor</x:v>
      </x:c>
      <x:c r="BC77" s="130" t="str">
        <x:v>SSN</x:v>
      </x:c>
      <x:c r="BD77" s="130" t="str">
        <x:v>***-**-0111</x:v>
      </x:c>
      <x:c r="BE77" s="130"/>
      <x:c r="BF77" s="180" t="n">
        <x:v>45551</x:v>
      </x:c>
      <x:c r="BG77" s="130" t="str">
        <x:v>Received</x:v>
      </x:c>
      <x:c r="BH77" s="130" t="str">
        <x:v>Savings</x:v>
      </x:c>
      <x:c r="BI77" s="130" t="str">
        <x:v>Direct Deposit</x:v>
      </x:c>
      <x:c r="BJ77" s="180" t="n">
        <x:v>45551</x:v>
      </x:c>
      <x:c r="BK77" s="130" t="str">
        <x:v>Verified</x:v>
      </x:c>
      <x:c r="BL77" s="180" t="n">
        <x:v>45544</x:v>
      </x:c>
      <x:c r="BM77" s="130" t="str">
        <x:v>C. Nguyen</x:v>
      </x:c>
      <x:c r="BN77" s="130" t="str">
        <x:v>Day cab tractor</x:v>
      </x:c>
      <x:c r="BO77" s="130" t="str">
        <x:v>53 ft dry van</x:v>
      </x:c>
      <x:c r="BP77" s="130" t="str">
        <x:v>Atlanta, GA</x:v>
      </x:c>
      <x:c r="BQ77" s="130" t="n">
        <x:v>5</x:v>
      </x:c>
      <x:c r="BR77" s="130" t="n">
        <x:v>5</x:v>
      </x:c>
      <x:c r="BS77" s="130" t="n">
        <x:v>4</x:v>
      </x:c>
      <x:c r="BT77" s="130" t="n">
        <x:v>5</x:v>
      </x:c>
      <x:c r="BU77" s="130" t="n">
        <x:v>5</x:v>
      </x:c>
      <x:c r="BV77" s="130" t="n">
        <x:v>5</x:v>
      </x:c>
      <x:c r="BW77" s="130" t="n">
        <x:v>4</x:v>
      </x:c>
      <x:c r="BX77" s="130" t="n">
        <x:v>5</x:v>
      </x:c>
      <x:c r="BY77" s="130" t="n">
        <x:v>5</x:v>
      </x:c>
      <x:c r="BZ77" s="130" t="str">
        <x:v>Pass</x:v>
      </x:c>
      <x:c r="CA77" s="130"/>
      <x:c r="CB77" s="130" t="str">
        <x:v>Passed</x:v>
      </x:c>
      <x:c r="CC77" s="130" t="str">
        <x:v>Enrolled</x:v>
      </x:c>
      <x:c r="CD77" s="130" t="str">
        <x:v>Query Completed</x:v>
      </x:c>
      <x:c r="CE77" s="180" t="n">
        <x:v>46037</x:v>
      </x:c>
      <x:c r="CF77" s="180" t="n">
        <x:v>46218</x:v>
      </x:c>
      <x:c r="CG77" s="130"/>
      <x:c r="CH77" s="130" t="str">
        <x:v>Compliant</x:v>
      </x:c>
      <x:c r="CI77" s="130"/>
      <x:c r="CJ77" s="130" t="str">
        <x:v>Olivia</x:v>
      </x:c>
      <x:c r="CK77" s="130" t="str">
        <x:v>Lee</x:v>
      </x:c>
      <x:c r="CL77" s="130" t="str">
        <x:v>GA0000025</x:v>
      </x:c>
      <x:c r="CM77" s="130" t="str">
        <x:v>GA</x:v>
      </x:c>
      <x:c r="CN77" s="130" t="str">
        <x:v>CDL Holder</x:v>
      </x:c>
      <x:c r="CO77" s="130" t="str">
        <x:v>Olivia Lee</x:v>
      </x:c>
      <x:c r="CP77" s="180" t="n">
        <x:v>45769</x:v>
      </x:c>
      <x:c r="CQ77" s="180" t="n">
        <x:v>46499</x:v>
      </x:c>
      <x:c r="CR77" s="130" t="str">
        <x:v>(404) 555-0100</x:v>
      </x:c>
      <x:c r="CS77" s="130" t="str">
        <x:v>Dr. Melissa Tran</x:v>
      </x:c>
      <x:c r="CT77" s="180" t="n">
        <x:v>45769</x:v>
      </x:c>
      <x:c r="CU77" s="130" t="str">
        <x:v>GA-ME-601747</x:v>
      </x:c>
      <x:c r="CV77" s="130" t="str">
        <x:v>ME100011</x:v>
      </x:c>
      <x:c r="CW77" s="130" t="str">
        <x:v>Advanced Practice Nurse</x:v>
      </x:c>
      <x:c r="CX77" s="130" t="str">
        <x:v>GA</x:v>
      </x:c>
      <x:c r="CY77" s="130" t="str">
        <x:v>Federal Motor Carrier Safety Regulations</x:v>
      </x:c>
      <x:c r="CZ77" s="130"/>
      <x:c r="DA77" s="130" t="str">
        <x:v>No</x:v>
      </x:c>
      <x:c r="DB77" s="130" t="str">
        <x:v>No</x:v>
      </x:c>
      <x:c r="DC77" s="130" t="str">
        <x:v>No</x:v>
      </x:c>
      <x:c r="DD77" s="130" t="str">
        <x:v>No</x:v>
      </x:c>
      <x:c r="DE77" s="130" t="str">
        <x:v>No</x:v>
      </x:c>
      <x:c r="DF77" s="130" t="str">
        <x:v>No</x:v>
      </x:c>
      <x:c r="DG77" s="130" t="str">
        <x:v>Jane Doe</x:v>
      </x:c>
      <x:c r="DH77" s="130" t="str">
        <x:v>Sister</x:v>
      </x:c>
      <x:c r="DI77" s="130" t="str">
        <x:v>555-555-5555</x:v>
      </x:c>
      <x:c r="DJ77" s="130" t="str">
        <x:v>No</x:v>
      </x:c>
      <x:c r="DK77" s="130" t="str">
        <x:v>No</x:v>
      </x:c>
      <x:c r="DL77" s="130" t="str">
        <x:v>No</x:v>
      </x:c>
      <x:c r="DM77" s="130" t="str">
        <x:v>No</x:v>
      </x:c>
      <x:c r="DN77" s="130" t="str">
        <x:v>Yes - Appendectomy (2005)</x:v>
      </x:c>
      <x:c r="DO77" s="130" t="str">
        <x:v>20/20</x:v>
      </x:c>
      <x:c r="DP77" s="130" t="str">
        <x:v>20/20</x:v>
      </x:c>
      <x:c r="DQ77" s="130" t="str">
        <x:v>Pass</x:v>
      </x:c>
      <x:c r="DR77" s="130" t="str">
        <x:v>118</x:v>
      </x:c>
      <x:c r="DS77" s="130" t="str">
        <x:v>78</x:v>
      </x:c>
      <x:c r="DT77" s="130" t="str">
        <x:v>72</x:v>
      </x:c>
      <x:c r="DU77" s="130" t="str">
        <x:v>Normal</x:v>
      </x:c>
      <x:c r="DV77" s="180" t="n">
        <x:v>45392</x:v>
      </x:c>
      <x:c r="DW77" s="180" t="n">
        <x:v>45394</x:v>
      </x:c>
      <x:c r="DX77" s="130" t="str">
        <x:v>Negative</x:v>
      </x:c>
      <x:c r="DY77" s="180" t="n">
        <x:v>45397</x:v>
      </x:c>
      <x:c r="DZ77" s="130" t="str">
        <x:v>BOF Fleet Safety &amp; Compliance Policy 2024</x:v>
      </x:c>
      <x:c r="EA77" s="130" t="str">
        <x:v>Complete</x:v>
      </x:c>
      <x:c r="EB77" s="180" t="n">
        <x:v>45413</x:v>
      </x:c>
    </x:row>
    <x:row r="78">
      <x:c r="A78" s="130" t="str">
        <x:v>DRV-011</x:v>
      </x:c>
      <x:c r="B78" s="130" t="str">
        <x:v>Olivia Lee</x:v>
      </x:c>
      <x:c r="C78" s="130" t="str">
        <x:v>900 Demo Street, Atlanta, GA 30308</x:v>
      </x:c>
      <x:c r="D78" s="130" t="str">
        <x:v>337-555-0100</x:v>
      </x:c>
      <x:c r="E78" s="130" t="str">
        <x:v>***-**-0111</x:v>
      </x:c>
      <x:c r="F78" s="130" t="str">
        <x:v>Bank of America</x:v>
      </x:c>
      <x:c r="G78" s="130" t="n">
        <x:v>000000102</x:v>
      </x:c>
      <x:c r="H78" s="130" t="n">
        <x:v>999900209</x:v>
      </x:c>
      <x:c r="I78" s="130" t="str">
        <x:v>Direct Deposit Form</x:v>
      </x:c>
      <x:c r="J78" s="130" t="str">
        <x:v>VALID</x:v>
      </x:c>
      <x:c r="K78" s="130" t="str">
        <x:v>GA0000003</x:v>
      </x:c>
      <x:c r="L78" s="180" t="n">
        <x:v>46566</x:v>
      </x:c>
      <x:c r="M78" s="180" t="n">
        <x:v>46499</x:v>
      </x:c>
      <x:c r="N78" s="180" t="n">
        <x:v>46484</x:v>
      </x:c>
      <x:c r="O78" s="130"/>
      <x:c r="P78" s="130" t="str">
        <x:v>Brown</x:v>
      </x:c>
      <x:c r="Q78" s="130" t="str">
        <x:v>Hazel</x:v>
      </x:c>
      <x:c r="R78" s="130" t="str">
        <x:v>5'-5"</x:v>
      </x:c>
      <x:c r="S78" s="130" t="n">
        <x:v>148</x:v>
      </x:c>
      <x:c r="T78" s="130" t="str">
        <x:v>F</x:v>
      </x:c>
      <x:c r="U78" s="130" t="n">
        <x:v>24838</x:v>
      </x:c>
      <x:c r="V78" s="130" t="str">
        <x:v>DRV-011.png</x:v>
      </x:c>
      <x:c r="W78" s="130" t="str">
        <x:v>South Asian</x:v>
      </x:c>
      <x:c r="X78" s="130" t="str">
        <x:v>olee@example.com</x:v>
      </x:c>
      <x:c r="Y78" s="130" t="str">
        <x:v>900 Demo Street</x:v>
      </x:c>
      <x:c r="Z78" s="130" t="str">
        <x:v>Atlanta</x:v>
      </x:c>
      <x:c r="AA78" s="130" t="str">
        <x:v>GA</x:v>
      </x:c>
      <x:c r="AB78" s="130" t="n">
        <x:v>30308</x:v>
      </x:c>
      <x:c r="AC78" s="130" t="str">
        <x:v>GA</x:v>
      </x:c>
      <x:c r="AD78" s="130" t="str">
        <x:v>Class A</x:v>
      </x:c>
      <x:c r="AE78" s="180" t="n">
        <x:v>44744</x:v>
      </x:c>
      <x:c r="AF78" s="130" t="str">
        <x:v>N,T</x:v>
      </x:c>
      <x:c r="AG78" s="130"/>
      <x:c r="AH78" s="180" t="n">
        <x:v>45769</x:v>
      </x:c>
      <x:c r="AI78" s="130" t="str">
        <x:v>MC-0110314</x:v>
      </x:c>
      <x:c r="AJ78" s="130" t="str">
        <x:v>Dr. Melissa Tran</x:v>
      </x:c>
      <x:c r="AK78" s="130" t="str">
        <x:v>ME100011</x:v>
      </x:c>
      <x:c r="AL78" s="130"/>
      <x:c r="AM78" s="130" t="str">
        <x:v>Qualified</x:v>
      </x:c>
      <x:c r="AN78" s="180" t="n">
        <x:v>46454</x:v>
      </x:c>
      <x:c r="AO78" s="130" t="n">
        <x:v>0</x:v>
      </x:c>
      <x:c r="AP78" s="130" t="n">
        <x:v>0</x:v>
      </x:c>
      <x:c r="AQ78" s="130"/>
      <x:c r="AR78" s="130" t="str">
        <x:v>Clear</x:v>
      </x:c>
      <x:c r="AS78" s="180" t="n">
        <x:v>45551</x:v>
      </x:c>
      <x:c r="AT78" s="130" t="str">
        <x:v>Authorized to Work</x:v>
      </x:c>
      <x:c r="AU78" s="130" t="str">
        <x:v>U.S. Passport</x:v>
      </x:c>
      <x:c r="AV78" s="130"/>
      <x:c r="AW78" s="130"/>
      <x:c r="AX78" s="180" t="n">
        <x:v>45551</x:v>
      </x:c>
      <x:c r="AY78" s="130" t="str">
        <x:v>BOF Onboarding Team</x:v>
      </x:c>
      <x:c r="AZ78" s="130" t="str">
        <x:v>Complete</x:v>
      </x:c>
      <x:c r="BA78" s="130"/>
      <x:c r="BB78" s="130" t="str">
        <x:v>Individual/Sole Proprietor</x:v>
      </x:c>
      <x:c r="BC78" s="130" t="str">
        <x:v>SSN</x:v>
      </x:c>
      <x:c r="BD78" s="130" t="str">
        <x:v>***-**-0111</x:v>
      </x:c>
      <x:c r="BE78" s="130"/>
      <x:c r="BF78" s="180" t="n">
        <x:v>45551</x:v>
      </x:c>
      <x:c r="BG78" s="130" t="str">
        <x:v>Received</x:v>
      </x:c>
      <x:c r="BH78" s="130" t="str">
        <x:v>Savings</x:v>
      </x:c>
      <x:c r="BI78" s="130" t="str">
        <x:v>Direct Deposit</x:v>
      </x:c>
      <x:c r="BJ78" s="180" t="n">
        <x:v>45551</x:v>
      </x:c>
      <x:c r="BK78" s="130" t="str">
        <x:v>Verified</x:v>
      </x:c>
      <x:c r="BL78" s="180" t="n">
        <x:v>45544</x:v>
      </x:c>
      <x:c r="BM78" s="130" t="str">
        <x:v>C. Nguyen</x:v>
      </x:c>
      <x:c r="BN78" s="130" t="str">
        <x:v>Day cab tractor</x:v>
      </x:c>
      <x:c r="BO78" s="130" t="str">
        <x:v>53 ft dry van</x:v>
      </x:c>
      <x:c r="BP78" s="130" t="str">
        <x:v>Atlanta, GA</x:v>
      </x:c>
      <x:c r="BQ78" s="130" t="n">
        <x:v>5</x:v>
      </x:c>
      <x:c r="BR78" s="130" t="n">
        <x:v>5</x:v>
      </x:c>
      <x:c r="BS78" s="130" t="n">
        <x:v>4</x:v>
      </x:c>
      <x:c r="BT78" s="130" t="n">
        <x:v>5</x:v>
      </x:c>
      <x:c r="BU78" s="130" t="n">
        <x:v>5</x:v>
      </x:c>
      <x:c r="BV78" s="130" t="n">
        <x:v>5</x:v>
      </x:c>
      <x:c r="BW78" s="130" t="n">
        <x:v>4</x:v>
      </x:c>
      <x:c r="BX78" s="130" t="n">
        <x:v>5</x:v>
      </x:c>
      <x:c r="BY78" s="130" t="n">
        <x:v>5</x:v>
      </x:c>
      <x:c r="BZ78" s="130" t="str">
        <x:v>Pass</x:v>
      </x:c>
      <x:c r="CA78" s="130"/>
      <x:c r="CB78" s="130" t="str">
        <x:v>Passed</x:v>
      </x:c>
      <x:c r="CC78" s="130" t="str">
        <x:v>Enrolled</x:v>
      </x:c>
      <x:c r="CD78" s="130" t="str">
        <x:v>Query Completed</x:v>
      </x:c>
      <x:c r="CE78" s="180" t="n">
        <x:v>46037</x:v>
      </x:c>
      <x:c r="CF78" s="180" t="n">
        <x:v>46218</x:v>
      </x:c>
      <x:c r="CG78" s="130"/>
      <x:c r="CH78" s="130" t="str">
        <x:v>Compliant</x:v>
      </x:c>
      <x:c r="CI78" s="130"/>
      <x:c r="CJ78" s="130" t="str">
        <x:v>Olivia</x:v>
      </x:c>
      <x:c r="CK78" s="130" t="str">
        <x:v>Lee</x:v>
      </x:c>
      <x:c r="CL78" s="130" t="str">
        <x:v>GA0000026</x:v>
      </x:c>
      <x:c r="CM78" s="130" t="str">
        <x:v>GA</x:v>
      </x:c>
      <x:c r="CN78" s="130" t="str">
        <x:v>CDL Holder</x:v>
      </x:c>
      <x:c r="CO78" s="130" t="str">
        <x:v>Olivia Lee</x:v>
      </x:c>
      <x:c r="CP78" s="180" t="n">
        <x:v>45769</x:v>
      </x:c>
      <x:c r="CQ78" s="180" t="n">
        <x:v>46499</x:v>
      </x:c>
      <x:c r="CR78" s="130" t="str">
        <x:v>(404) 555-0100</x:v>
      </x:c>
      <x:c r="CS78" s="130" t="str">
        <x:v>Dr. Melissa Tran</x:v>
      </x:c>
      <x:c r="CT78" s="180" t="n">
        <x:v>45769</x:v>
      </x:c>
      <x:c r="CU78" s="130" t="str">
        <x:v>GA-ME-601747</x:v>
      </x:c>
      <x:c r="CV78" s="130" t="str">
        <x:v>ME100011</x:v>
      </x:c>
      <x:c r="CW78" s="130" t="str">
        <x:v>Advanced Practice Nurse</x:v>
      </x:c>
      <x:c r="CX78" s="130" t="str">
        <x:v>GA</x:v>
      </x:c>
      <x:c r="CY78" s="130" t="str">
        <x:v>Federal Motor Carrier Safety Regulations</x:v>
      </x:c>
      <x:c r="CZ78" s="130"/>
      <x:c r="DA78" s="130" t="str">
        <x:v>No</x:v>
      </x:c>
      <x:c r="DB78" s="130" t="str">
        <x:v>No</x:v>
      </x:c>
      <x:c r="DC78" s="130" t="str">
        <x:v>No</x:v>
      </x:c>
      <x:c r="DD78" s="130" t="str">
        <x:v>No</x:v>
      </x:c>
      <x:c r="DE78" s="130" t="str">
        <x:v>No</x:v>
      </x:c>
      <x:c r="DF78" s="130" t="str">
        <x:v>No</x:v>
      </x:c>
      <x:c r="DG78" s="130" t="str">
        <x:v>Jane Doe</x:v>
      </x:c>
      <x:c r="DH78" s="130" t="str">
        <x:v>Sister</x:v>
      </x:c>
      <x:c r="DI78" s="130" t="str">
        <x:v>555-555-5555</x:v>
      </x:c>
      <x:c r="DJ78" s="130" t="str">
        <x:v>No</x:v>
      </x:c>
      <x:c r="DK78" s="130" t="str">
        <x:v>No</x:v>
      </x:c>
      <x:c r="DL78" s="130" t="str">
        <x:v>No</x:v>
      </x:c>
      <x:c r="DM78" s="130" t="str">
        <x:v>No</x:v>
      </x:c>
      <x:c r="DN78" s="130" t="str">
        <x:v>Yes - Appendectomy (2005)</x:v>
      </x:c>
      <x:c r="DO78" s="130" t="str">
        <x:v>20/20</x:v>
      </x:c>
      <x:c r="DP78" s="130" t="str">
        <x:v>20/20</x:v>
      </x:c>
      <x:c r="DQ78" s="130" t="str">
        <x:v>Pass</x:v>
      </x:c>
      <x:c r="DR78" s="130" t="str">
        <x:v>118</x:v>
      </x:c>
      <x:c r="DS78" s="130" t="str">
        <x:v>78</x:v>
      </x:c>
      <x:c r="DT78" s="130" t="str">
        <x:v>72</x:v>
      </x:c>
      <x:c r="DU78" s="130" t="str">
        <x:v>Normal</x:v>
      </x:c>
      <x:c r="DV78" s="180" t="n">
        <x:v>45392</x:v>
      </x:c>
      <x:c r="DW78" s="180" t="n">
        <x:v>45394</x:v>
      </x:c>
      <x:c r="DX78" s="130" t="str">
        <x:v>Negative</x:v>
      </x:c>
      <x:c r="DY78" s="180" t="n">
        <x:v>45397</x:v>
      </x:c>
      <x:c r="DZ78" s="130" t="str">
        <x:v>BOF Fleet Safety &amp; Compliance Policy 2024</x:v>
      </x:c>
      <x:c r="EA78" s="130" t="str">
        <x:v>Complete</x:v>
      </x:c>
      <x:c r="EB78" s="180" t="n">
        <x:v>45413</x:v>
      </x:c>
    </x:row>
    <x:row r="79">
      <x:c r="A79" s="130" t="str">
        <x:v>DRV-012</x:v>
      </x:c>
      <x:c r="B79" s="130" t="str">
        <x:v>Robert Johnson</x:v>
      </x:c>
      <x:c r="C79" s="130" t="str">
        <x:v>920 Demo Street, Chicago, IL 60605</x:v>
      </x:c>
      <x:c r="D79" s="130" t="str">
        <x:v>618-555-0101</x:v>
      </x:c>
      <x:c r="E79" s="130" t="str">
        <x:v>***-**-0114</x:v>
      </x:c>
      <x:c r="F79" s="130" t="str">
        <x:v>Wells Fargo</x:v>
      </x:c>
      <x:c r="G79" s="130" t="n">
        <x:v>000000109</x:v>
      </x:c>
      <x:c r="H79" s="130" t="n">
        <x:v>999900205</x:v>
      </x:c>
      <x:c r="I79" s="130" t="str">
        <x:v>CDL Summary</x:v>
      </x:c>
      <x:c r="J79" s="130" t="str">
        <x:v>VALID</x:v>
      </x:c>
      <x:c r="K79" s="130" t="str">
        <x:v>IL0000030</x:v>
      </x:c>
      <x:c r="L79" s="180" t="n">
        <x:v>46706</x:v>
      </x:c>
      <x:c r="M79" s="180" t="n">
        <x:v>46609</x:v>
      </x:c>
      <x:c r="N79" s="180" t="n">
        <x:v>46519</x:v>
      </x:c>
      <x:c r="O79" s="130"/>
      <x:c r="P79" s="130" t="str">
        <x:v>Blonde</x:v>
      </x:c>
      <x:c r="Q79" s="130" t="str">
        <x:v>Green</x:v>
      </x:c>
      <x:c r="R79" s="130" t="str">
        <x:v>6'-1"</x:v>
      </x:c>
      <x:c r="S79" s="130" t="n">
        <x:v>209</x:v>
      </x:c>
      <x:c r="T79" s="130" t="str">
        <x:v>M</x:v>
      </x:c>
      <x:c r="U79" s="130" t="n">
        <x:v>32874</x:v>
      </x:c>
      <x:c r="V79" s="130" t="str">
        <x:v>DRV-012.png</x:v>
      </x:c>
      <x:c r="W79" s="130" t="str">
        <x:v>Caucasian</x:v>
      </x:c>
      <x:c r="X79" s="130" t="str">
        <x:v>robertjohnson@example.com</x:v>
      </x:c>
      <x:c r="Y79" s="130" t="str">
        <x:v>920 Demo Street</x:v>
      </x:c>
      <x:c r="Z79" s="130" t="str">
        <x:v>Chicago</x:v>
      </x:c>
      <x:c r="AA79" s="130" t="str">
        <x:v>IL</x:v>
      </x:c>
      <x:c r="AB79" s="130" t="n">
        <x:v>60605</x:v>
      </x:c>
      <x:c r="AC79" s="130" t="str">
        <x:v>IL</x:v>
      </x:c>
      <x:c r="AD79" s="130" t="str">
        <x:v>Class A</x:v>
      </x:c>
      <x:c r="AE79" s="180" t="n">
        <x:v>44884</x:v>
      </x:c>
      <x:c r="AF79" s="130"/>
      <x:c r="AG79" s="130" t="str">
        <x:v>Corrective lenses</x:v>
      </x:c>
      <x:c r="AH79" s="180" t="n">
        <x:v>45879</x:v>
      </x:c>
      <x:c r="AI79" s="130" t="str">
        <x:v>MC-0120411</x:v>
      </x:c>
      <x:c r="AJ79" s="130" t="str">
        <x:v>Dr. Victor Reed</x:v>
      </x:c>
      <x:c r="AK79" s="130" t="str">
        <x:v>ME100012</x:v>
      </x:c>
      <x:c r="AL79" s="130" t="str">
        <x:v>Corrective lenses</x:v>
      </x:c>
      <x:c r="AM79" s="130" t="str">
        <x:v>Qualified</x:v>
      </x:c>
      <x:c r="AN79" s="180" t="n">
        <x:v>46489</x:v>
      </x:c>
      <x:c r="AO79" s="130" t="n">
        <x:v>1</x:v>
      </x:c>
      <x:c r="AP79" s="130" t="n">
        <x:v>1</x:v>
      </x:c>
      <x:c r="AQ79" s="130" t="str">
        <x:v>Corrective lenses</x:v>
      </x:c>
      <x:c r="AR79" s="130" t="str">
        <x:v>Reviewed - Clear to Drive</x:v>
      </x:c>
      <x:c r="AS79" s="180" t="n">
        <x:v>45579</x:v>
      </x:c>
      <x:c r="AT79" s="130" t="str">
        <x:v>Authorized to Work</x:v>
      </x:c>
      <x:c r="AU79" s="130" t="str">
        <x:v>U.S. Passport</x:v>
      </x:c>
      <x:c r="AV79" s="130"/>
      <x:c r="AW79" s="130"/>
      <x:c r="AX79" s="180" t="n">
        <x:v>45579</x:v>
      </x:c>
      <x:c r="AY79" s="130" t="str">
        <x:v>BOF Onboarding Team</x:v>
      </x:c>
      <x:c r="AZ79" s="130" t="str">
        <x:v>Complete</x:v>
      </x:c>
      <x:c r="BA79" s="130"/>
      <x:c r="BB79" s="130" t="str">
        <x:v>Individual/Sole Proprietor</x:v>
      </x:c>
      <x:c r="BC79" s="130" t="str">
        <x:v>SSN</x:v>
      </x:c>
      <x:c r="BD79" s="130" t="str">
        <x:v>***-**-0114</x:v>
      </x:c>
      <x:c r="BE79" s="130"/>
      <x:c r="BF79" s="180" t="n">
        <x:v>45579</x:v>
      </x:c>
      <x:c r="BG79" s="130" t="str">
        <x:v>Received</x:v>
      </x:c>
      <x:c r="BH79" s="130" t="str">
        <x:v>Checking</x:v>
      </x:c>
      <x:c r="BI79" s="130" t="str">
        <x:v>Direct Deposit</x:v>
      </x:c>
      <x:c r="BJ79" s="180" t="n">
        <x:v>45579</x:v>
      </x:c>
      <x:c r="BK79" s="130" t="str">
        <x:v>Verified</x:v>
      </x:c>
      <x:c r="BL79" s="180" t="n">
        <x:v>45572</x:v>
      </x:c>
      <x:c r="BM79" s="130" t="str">
        <x:v>E. Barnes</x:v>
      </x:c>
      <x:c r="BN79" s="130" t="str">
        <x:v>Sleeper tractor</x:v>
      </x:c>
      <x:c r="BO79" s="130" t="str">
        <x:v>53 ft dry van</x:v>
      </x:c>
      <x:c r="BP79" s="130" t="str">
        <x:v>Chicago, IL</x:v>
      </x:c>
      <x:c r="BQ79" s="130" t="n">
        <x:v>4</x:v>
      </x:c>
      <x:c r="BR79" s="130" t="n">
        <x:v>4</x:v>
      </x:c>
      <x:c r="BS79" s="130" t="n">
        <x:v>4</x:v>
      </x:c>
      <x:c r="BT79" s="130" t="n">
        <x:v>4</x:v>
      </x:c>
      <x:c r="BU79" s="130" t="n">
        <x:v>4</x:v>
      </x:c>
      <x:c r="BV79" s="130" t="n">
        <x:v>4</x:v>
      </x:c>
      <x:c r="BW79" s="130" t="n">
        <x:v>4</x:v>
      </x:c>
      <x:c r="BX79" s="130" t="n">
        <x:v>4</x:v>
      </x:c>
      <x:c r="BY79" s="130" t="n">
        <x:v>4</x:v>
      </x:c>
      <x:c r="BZ79" s="130" t="str">
        <x:v>Pass</x:v>
      </x:c>
      <x:c r="CA79" s="130" t="str">
        <x:v>Corrective lenses</x:v>
      </x:c>
      <x:c r="CB79" s="130" t="str">
        <x:v>Passed</x:v>
      </x:c>
      <x:c r="CC79" s="130" t="str">
        <x:v>Enrolled</x:v>
      </x:c>
      <x:c r="CD79" s="130" t="str">
        <x:v>Query Completed</x:v>
      </x:c>
      <x:c r="CE79" s="180" t="n">
        <x:v>46037</x:v>
      </x:c>
      <x:c r="CF79" s="180" t="n">
        <x:v>46218</x:v>
      </x:c>
      <x:c r="CG79" s="130"/>
      <x:c r="CH79" s="130" t="str">
        <x:v>Compliant</x:v>
      </x:c>
      <x:c r="CI79" s="130"/>
      <x:c r="CJ79" s="130" t="str">
        <x:v>Robert</x:v>
      </x:c>
      <x:c r="CK79" s="130" t="str">
        <x:v>Johnson</x:v>
      </x:c>
      <x:c r="CL79" s="130" t="str">
        <x:v>IL0000030</x:v>
      </x:c>
      <x:c r="CM79" s="130" t="str">
        <x:v>IL</x:v>
      </x:c>
      <x:c r="CN79" s="130" t="str">
        <x:v>CDL Holder</x:v>
      </x:c>
      <x:c r="CO79" s="130" t="str">
        <x:v>Robert Johnson</x:v>
      </x:c>
      <x:c r="CP79" s="180" t="n">
        <x:v>45879</x:v>
      </x:c>
      <x:c r="CQ79" s="180" t="n">
        <x:v>46609</x:v>
      </x:c>
      <x:c r="CR79" s="130" t="str">
        <x:v>(312) 555-0103</x:v>
      </x:c>
      <x:c r="CS79" s="130" t="str">
        <x:v>Dr. Victor Reed</x:v>
      </x:c>
      <x:c r="CT79" s="180" t="n">
        <x:v>45879</x:v>
      </x:c>
      <x:c r="CU79" s="130" t="str">
        <x:v>IL-ME-120233</x:v>
      </x:c>
      <x:c r="CV79" s="130" t="str">
        <x:v>ME100012</x:v>
      </x:c>
      <x:c r="CW79" s="130" t="str">
        <x:v>DO</x:v>
      </x:c>
      <x:c r="CX79" s="130" t="str">
        <x:v>IL</x:v>
      </x:c>
      <x:c r="CY79" s="130" t="str">
        <x:v>Federal Motor Carrier Safety Regulations</x:v>
      </x:c>
      <x:c r="CZ79" s="130"/>
      <x:c r="DA79" s="130" t="str">
        <x:v>No</x:v>
      </x:c>
      <x:c r="DB79" s="130" t="str">
        <x:v>No</x:v>
      </x:c>
      <x:c r="DC79" s="130" t="str">
        <x:v>No</x:v>
      </x:c>
      <x:c r="DD79" s="130" t="str">
        <x:v>No</x:v>
      </x:c>
      <x:c r="DE79" s="130" t="str">
        <x:v>Yes</x:v>
      </x:c>
      <x:c r="DF79" s="130" t="str">
        <x:v>No</x:v>
      </x:c>
      <x:c r="DG79" s="130" t="str">
        <x:v>Jane Doe</x:v>
      </x:c>
      <x:c r="DH79" s="130" t="str">
        <x:v>Sister</x:v>
      </x:c>
      <x:c r="DI79" s="130" t="str">
        <x:v>555-555-5555</x:v>
      </x:c>
      <x:c r="DJ79" s="130" t="str">
        <x:v>No</x:v>
      </x:c>
      <x:c r="DK79" s="130" t="str">
        <x:v>No</x:v>
      </x:c>
      <x:c r="DL79" s="130" t="str">
        <x:v>No</x:v>
      </x:c>
      <x:c r="DM79" s="130" t="str">
        <x:v>No</x:v>
      </x:c>
      <x:c r="DN79" s="130" t="str">
        <x:v>Yes - Appendectomy (2005)</x:v>
      </x:c>
      <x:c r="DO79" s="130" t="str">
        <x:v>20/20</x:v>
      </x:c>
      <x:c r="DP79" s="130" t="str">
        <x:v>20/20</x:v>
      </x:c>
      <x:c r="DQ79" s="130" t="str">
        <x:v>Pass</x:v>
      </x:c>
      <x:c r="DR79" s="130" t="str">
        <x:v>118</x:v>
      </x:c>
      <x:c r="DS79" s="130" t="str">
        <x:v>78</x:v>
      </x:c>
      <x:c r="DT79" s="130" t="str">
        <x:v>72</x:v>
      </x:c>
      <x:c r="DU79" s="130" t="str">
        <x:v>Normal</x:v>
      </x:c>
      <x:c r="DV79" s="180" t="n">
        <x:v>45392</x:v>
      </x:c>
      <x:c r="DW79" s="180" t="n">
        <x:v>45394</x:v>
      </x:c>
      <x:c r="DX79" s="130" t="str">
        <x:v>Negative</x:v>
      </x:c>
      <x:c r="DY79" s="180" t="n">
        <x:v>45397</x:v>
      </x:c>
      <x:c r="DZ79" s="130" t="str">
        <x:v>BOF Fleet Safety &amp; Compliance Policy 2024</x:v>
      </x:c>
      <x:c r="EA79" s="130" t="str">
        <x:v>Complete</x:v>
      </x:c>
      <x:c r="EB79" s="180" t="n">
        <x:v>45413</x:v>
      </x:c>
    </x:row>
    <x:row r="80">
      <x:c r="A80" s="130" t="str">
        <x:v>DRV-012</x:v>
      </x:c>
      <x:c r="B80" s="130" t="str">
        <x:v>Robert Johnson</x:v>
      </x:c>
      <x:c r="C80" s="130" t="str">
        <x:v>920 Demo Street, Chicago, IL 60605</x:v>
      </x:c>
      <x:c r="D80" s="130" t="str">
        <x:v>618-555-0101</x:v>
      </x:c>
      <x:c r="E80" s="130" t="str">
        <x:v>***-**-0114</x:v>
      </x:c>
      <x:c r="F80" s="130" t="str">
        <x:v>Wells Fargo</x:v>
      </x:c>
      <x:c r="G80" s="130" t="n">
        <x:v>000000109</x:v>
      </x:c>
      <x:c r="H80" s="130" t="n">
        <x:v>999900205</x:v>
      </x:c>
      <x:c r="I80" s="130" t="str">
        <x:v>Medical Certification</x:v>
      </x:c>
      <x:c r="J80" s="130" t="str">
        <x:v>VALID</x:v>
      </x:c>
      <x:c r="K80" s="130" t="str">
        <x:v>IL0000062</x:v>
      </x:c>
      <x:c r="L80" s="180" t="n">
        <x:v>46706</x:v>
      </x:c>
      <x:c r="M80" s="180" t="n">
        <x:v>46609</x:v>
      </x:c>
      <x:c r="N80" s="180" t="n">
        <x:v>46519</x:v>
      </x:c>
      <x:c r="O80" s="130"/>
      <x:c r="P80" s="130" t="str">
        <x:v>Blonde</x:v>
      </x:c>
      <x:c r="Q80" s="130" t="str">
        <x:v>Green</x:v>
      </x:c>
      <x:c r="R80" s="130" t="str">
        <x:v>6'-1"</x:v>
      </x:c>
      <x:c r="S80" s="130" t="n">
        <x:v>209</x:v>
      </x:c>
      <x:c r="T80" s="130" t="str">
        <x:v>M</x:v>
      </x:c>
      <x:c r="U80" s="130" t="n">
        <x:v>32874</x:v>
      </x:c>
      <x:c r="V80" s="130" t="str">
        <x:v>DRV-012.png</x:v>
      </x:c>
      <x:c r="W80" s="130" t="str">
        <x:v>Caucasian</x:v>
      </x:c>
      <x:c r="X80" s="130" t="str">
        <x:v>robertjohnson@example.com</x:v>
      </x:c>
      <x:c r="Y80" s="130" t="str">
        <x:v>920 Demo Street</x:v>
      </x:c>
      <x:c r="Z80" s="130" t="str">
        <x:v>Chicago</x:v>
      </x:c>
      <x:c r="AA80" s="130" t="str">
        <x:v>IL</x:v>
      </x:c>
      <x:c r="AB80" s="130" t="n">
        <x:v>60605</x:v>
      </x:c>
      <x:c r="AC80" s="130" t="str">
        <x:v>IL</x:v>
      </x:c>
      <x:c r="AD80" s="130" t="str">
        <x:v>Class A</x:v>
      </x:c>
      <x:c r="AE80" s="180" t="n">
        <x:v>44884</x:v>
      </x:c>
      <x:c r="AF80" s="130"/>
      <x:c r="AG80" s="130" t="str">
        <x:v>Corrective lenses</x:v>
      </x:c>
      <x:c r="AH80" s="180" t="n">
        <x:v>45879</x:v>
      </x:c>
      <x:c r="AI80" s="130" t="str">
        <x:v>MC-0120411</x:v>
      </x:c>
      <x:c r="AJ80" s="130" t="str">
        <x:v>Dr. Victor Reed</x:v>
      </x:c>
      <x:c r="AK80" s="130" t="str">
        <x:v>ME100012</x:v>
      </x:c>
      <x:c r="AL80" s="130" t="str">
        <x:v>Corrective lenses</x:v>
      </x:c>
      <x:c r="AM80" s="130" t="str">
        <x:v>Qualified</x:v>
      </x:c>
      <x:c r="AN80" s="180" t="n">
        <x:v>46489</x:v>
      </x:c>
      <x:c r="AO80" s="130" t="n">
        <x:v>1</x:v>
      </x:c>
      <x:c r="AP80" s="130" t="n">
        <x:v>1</x:v>
      </x:c>
      <x:c r="AQ80" s="130" t="str">
        <x:v>Corrective lenses</x:v>
      </x:c>
      <x:c r="AR80" s="130" t="str">
        <x:v>Reviewed - Clear to Drive</x:v>
      </x:c>
      <x:c r="AS80" s="180" t="n">
        <x:v>45579</x:v>
      </x:c>
      <x:c r="AT80" s="130" t="str">
        <x:v>Authorized to Work</x:v>
      </x:c>
      <x:c r="AU80" s="130" t="str">
        <x:v>U.S. Passport</x:v>
      </x:c>
      <x:c r="AV80" s="130"/>
      <x:c r="AW80" s="130"/>
      <x:c r="AX80" s="180" t="n">
        <x:v>45579</x:v>
      </x:c>
      <x:c r="AY80" s="130" t="str">
        <x:v>BOF Onboarding Team</x:v>
      </x:c>
      <x:c r="AZ80" s="130" t="str">
        <x:v>Complete</x:v>
      </x:c>
      <x:c r="BA80" s="130"/>
      <x:c r="BB80" s="130" t="str">
        <x:v>Individual/Sole Proprietor</x:v>
      </x:c>
      <x:c r="BC80" s="130" t="str">
        <x:v>SSN</x:v>
      </x:c>
      <x:c r="BD80" s="130" t="str">
        <x:v>***-**-0114</x:v>
      </x:c>
      <x:c r="BE80" s="130"/>
      <x:c r="BF80" s="180" t="n">
        <x:v>45579</x:v>
      </x:c>
      <x:c r="BG80" s="130" t="str">
        <x:v>Received</x:v>
      </x:c>
      <x:c r="BH80" s="130" t="str">
        <x:v>Checking</x:v>
      </x:c>
      <x:c r="BI80" s="130" t="str">
        <x:v>Direct Deposit</x:v>
      </x:c>
      <x:c r="BJ80" s="180" t="n">
        <x:v>45579</x:v>
      </x:c>
      <x:c r="BK80" s="130" t="str">
        <x:v>Verified</x:v>
      </x:c>
      <x:c r="BL80" s="180" t="n">
        <x:v>45572</x:v>
      </x:c>
      <x:c r="BM80" s="130" t="str">
        <x:v>E. Barnes</x:v>
      </x:c>
      <x:c r="BN80" s="130" t="str">
        <x:v>Sleeper tractor</x:v>
      </x:c>
      <x:c r="BO80" s="130" t="str">
        <x:v>53 ft dry van</x:v>
      </x:c>
      <x:c r="BP80" s="130" t="str">
        <x:v>Chicago, IL</x:v>
      </x:c>
      <x:c r="BQ80" s="130" t="n">
        <x:v>4</x:v>
      </x:c>
      <x:c r="BR80" s="130" t="n">
        <x:v>4</x:v>
      </x:c>
      <x:c r="BS80" s="130" t="n">
        <x:v>4</x:v>
      </x:c>
      <x:c r="BT80" s="130" t="n">
        <x:v>4</x:v>
      </x:c>
      <x:c r="BU80" s="130" t="n">
        <x:v>4</x:v>
      </x:c>
      <x:c r="BV80" s="130" t="n">
        <x:v>4</x:v>
      </x:c>
      <x:c r="BW80" s="130" t="n">
        <x:v>4</x:v>
      </x:c>
      <x:c r="BX80" s="130" t="n">
        <x:v>4</x:v>
      </x:c>
      <x:c r="BY80" s="130" t="n">
        <x:v>4</x:v>
      </x:c>
      <x:c r="BZ80" s="130" t="str">
        <x:v>Pass</x:v>
      </x:c>
      <x:c r="CA80" s="130" t="str">
        <x:v>Corrective lenses</x:v>
      </x:c>
      <x:c r="CB80" s="130" t="str">
        <x:v>Passed</x:v>
      </x:c>
      <x:c r="CC80" s="130" t="str">
        <x:v>Enrolled</x:v>
      </x:c>
      <x:c r="CD80" s="130" t="str">
        <x:v>Query Completed</x:v>
      </x:c>
      <x:c r="CE80" s="180" t="n">
        <x:v>46037</x:v>
      </x:c>
      <x:c r="CF80" s="180" t="n">
        <x:v>46218</x:v>
      </x:c>
      <x:c r="CG80" s="130"/>
      <x:c r="CH80" s="130" t="str">
        <x:v>Compliant</x:v>
      </x:c>
      <x:c r="CI80" s="130"/>
      <x:c r="CJ80" s="130" t="str">
        <x:v>Robert</x:v>
      </x:c>
      <x:c r="CK80" s="130" t="str">
        <x:v>Johnson</x:v>
      </x:c>
      <x:c r="CL80" s="130" t="str">
        <x:v>IL0000031</x:v>
      </x:c>
      <x:c r="CM80" s="130" t="str">
        <x:v>IL</x:v>
      </x:c>
      <x:c r="CN80" s="130" t="str">
        <x:v>CDL Holder</x:v>
      </x:c>
      <x:c r="CO80" s="130" t="str">
        <x:v>Robert Johnson</x:v>
      </x:c>
      <x:c r="CP80" s="180" t="n">
        <x:v>45879</x:v>
      </x:c>
      <x:c r="CQ80" s="180" t="n">
        <x:v>46609</x:v>
      </x:c>
      <x:c r="CR80" s="130" t="str">
        <x:v>(312) 555-0103</x:v>
      </x:c>
      <x:c r="CS80" s="130" t="str">
        <x:v>Dr. Victor Reed</x:v>
      </x:c>
      <x:c r="CT80" s="180" t="n">
        <x:v>45879</x:v>
      </x:c>
      <x:c r="CU80" s="130" t="str">
        <x:v>IL-ME-120233</x:v>
      </x:c>
      <x:c r="CV80" s="130" t="str">
        <x:v>ME100012</x:v>
      </x:c>
      <x:c r="CW80" s="130" t="str">
        <x:v>DO</x:v>
      </x:c>
      <x:c r="CX80" s="130" t="str">
        <x:v>IL</x:v>
      </x:c>
      <x:c r="CY80" s="130" t="str">
        <x:v>Federal Motor Carrier Safety Regulations</x:v>
      </x:c>
      <x:c r="CZ80" s="130"/>
      <x:c r="DA80" s="130" t="str">
        <x:v>No</x:v>
      </x:c>
      <x:c r="DB80" s="130" t="str">
        <x:v>No</x:v>
      </x:c>
      <x:c r="DC80" s="130" t="str">
        <x:v>No</x:v>
      </x:c>
      <x:c r="DD80" s="130" t="str">
        <x:v>No</x:v>
      </x:c>
      <x:c r="DE80" s="130" t="str">
        <x:v>Yes</x:v>
      </x:c>
      <x:c r="DF80" s="130" t="str">
        <x:v>No</x:v>
      </x:c>
      <x:c r="DG80" s="130" t="str">
        <x:v>Jane Doe</x:v>
      </x:c>
      <x:c r="DH80" s="130" t="str">
        <x:v>Sister</x:v>
      </x:c>
      <x:c r="DI80" s="130" t="str">
        <x:v>555-555-5555</x:v>
      </x:c>
      <x:c r="DJ80" s="130" t="str">
        <x:v>No</x:v>
      </x:c>
      <x:c r="DK80" s="130" t="str">
        <x:v>No</x:v>
      </x:c>
      <x:c r="DL80" s="130" t="str">
        <x:v>No</x:v>
      </x:c>
      <x:c r="DM80" s="130" t="str">
        <x:v>No</x:v>
      </x:c>
      <x:c r="DN80" s="130" t="str">
        <x:v>Yes - Appendectomy (2005)</x:v>
      </x:c>
      <x:c r="DO80" s="130" t="str">
        <x:v>20/20</x:v>
      </x:c>
      <x:c r="DP80" s="130" t="str">
        <x:v>20/20</x:v>
      </x:c>
      <x:c r="DQ80" s="130" t="str">
        <x:v>Pass</x:v>
      </x:c>
      <x:c r="DR80" s="130" t="str">
        <x:v>118</x:v>
      </x:c>
      <x:c r="DS80" s="130" t="str">
        <x:v>78</x:v>
      </x:c>
      <x:c r="DT80" s="130" t="str">
        <x:v>72</x:v>
      </x:c>
      <x:c r="DU80" s="130" t="str">
        <x:v>Normal</x:v>
      </x:c>
      <x:c r="DV80" s="180" t="n">
        <x:v>45392</x:v>
      </x:c>
      <x:c r="DW80" s="180" t="n">
        <x:v>45394</x:v>
      </x:c>
      <x:c r="DX80" s="130" t="str">
        <x:v>Negative</x:v>
      </x:c>
      <x:c r="DY80" s="180" t="n">
        <x:v>45397</x:v>
      </x:c>
      <x:c r="DZ80" s="130" t="str">
        <x:v>BOF Fleet Safety &amp; Compliance Policy 2024</x:v>
      </x:c>
      <x:c r="EA80" s="130" t="str">
        <x:v>Complete</x:v>
      </x:c>
      <x:c r="EB80" s="180" t="n">
        <x:v>45413</x:v>
      </x:c>
    </x:row>
    <x:row r="81">
      <x:c r="A81" s="130" t="str">
        <x:v>DRV-012</x:v>
      </x:c>
      <x:c r="B81" s="130" t="str">
        <x:v>Robert Johnson</x:v>
      </x:c>
      <x:c r="C81" s="130" t="str">
        <x:v>920 Demo Street, Chicago, IL 60605</x:v>
      </x:c>
      <x:c r="D81" s="130" t="str">
        <x:v>618-555-0101</x:v>
      </x:c>
      <x:c r="E81" s="130" t="str">
        <x:v>***-**-0114</x:v>
      </x:c>
      <x:c r="F81" s="130" t="str">
        <x:v>Wells Fargo</x:v>
      </x:c>
      <x:c r="G81" s="130" t="n">
        <x:v>000000109</x:v>
      </x:c>
      <x:c r="H81" s="130" t="n">
        <x:v>999900205</x:v>
      </x:c>
      <x:c r="I81" s="130" t="str">
        <x:v>MVR Background Report</x:v>
      </x:c>
      <x:c r="J81" s="130" t="str">
        <x:v>VALID</x:v>
      </x:c>
      <x:c r="K81" s="130" t="str">
        <x:v>IL0000040</x:v>
      </x:c>
      <x:c r="L81" s="180" t="n">
        <x:v>46706</x:v>
      </x:c>
      <x:c r="M81" s="180" t="n">
        <x:v>46609</x:v>
      </x:c>
      <x:c r="N81" s="180" t="n">
        <x:v>46519</x:v>
      </x:c>
      <x:c r="O81" s="130"/>
      <x:c r="P81" s="130" t="str">
        <x:v>Blonde</x:v>
      </x:c>
      <x:c r="Q81" s="130" t="str">
        <x:v>Green</x:v>
      </x:c>
      <x:c r="R81" s="130" t="str">
        <x:v>6'-1"</x:v>
      </x:c>
      <x:c r="S81" s="130" t="n">
        <x:v>209</x:v>
      </x:c>
      <x:c r="T81" s="130" t="str">
        <x:v>M</x:v>
      </x:c>
      <x:c r="U81" s="130" t="n">
        <x:v>32874</x:v>
      </x:c>
      <x:c r="V81" s="130" t="str">
        <x:v>DRV-012.png</x:v>
      </x:c>
      <x:c r="W81" s="130" t="str">
        <x:v>Caucasian</x:v>
      </x:c>
      <x:c r="X81" s="130" t="str">
        <x:v>robertjohnson@example.com</x:v>
      </x:c>
      <x:c r="Y81" s="130" t="str">
        <x:v>920 Demo Street</x:v>
      </x:c>
      <x:c r="Z81" s="130" t="str">
        <x:v>Chicago</x:v>
      </x:c>
      <x:c r="AA81" s="130" t="str">
        <x:v>IL</x:v>
      </x:c>
      <x:c r="AB81" s="130" t="n">
        <x:v>60605</x:v>
      </x:c>
      <x:c r="AC81" s="130" t="str">
        <x:v>IL</x:v>
      </x:c>
      <x:c r="AD81" s="130" t="str">
        <x:v>Class A</x:v>
      </x:c>
      <x:c r="AE81" s="180" t="n">
        <x:v>44884</x:v>
      </x:c>
      <x:c r="AF81" s="130"/>
      <x:c r="AG81" s="130" t="str">
        <x:v>Corrective lenses</x:v>
      </x:c>
      <x:c r="AH81" s="180" t="n">
        <x:v>45879</x:v>
      </x:c>
      <x:c r="AI81" s="130" t="str">
        <x:v>MC-0120411</x:v>
      </x:c>
      <x:c r="AJ81" s="130" t="str">
        <x:v>Dr. Victor Reed</x:v>
      </x:c>
      <x:c r="AK81" s="130" t="str">
        <x:v>ME100012</x:v>
      </x:c>
      <x:c r="AL81" s="130" t="str">
        <x:v>Corrective lenses</x:v>
      </x:c>
      <x:c r="AM81" s="130" t="str">
        <x:v>Qualified</x:v>
      </x:c>
      <x:c r="AN81" s="180" t="n">
        <x:v>46489</x:v>
      </x:c>
      <x:c r="AO81" s="130" t="n">
        <x:v>1</x:v>
      </x:c>
      <x:c r="AP81" s="130" t="n">
        <x:v>1</x:v>
      </x:c>
      <x:c r="AQ81" s="130" t="str">
        <x:v>Corrective lenses</x:v>
      </x:c>
      <x:c r="AR81" s="130" t="str">
        <x:v>Reviewed - Clear to Drive</x:v>
      </x:c>
      <x:c r="AS81" s="180" t="n">
        <x:v>45579</x:v>
      </x:c>
      <x:c r="AT81" s="130" t="str">
        <x:v>Authorized to Work</x:v>
      </x:c>
      <x:c r="AU81" s="130" t="str">
        <x:v>U.S. Passport</x:v>
      </x:c>
      <x:c r="AV81" s="130"/>
      <x:c r="AW81" s="130"/>
      <x:c r="AX81" s="180" t="n">
        <x:v>45579</x:v>
      </x:c>
      <x:c r="AY81" s="130" t="str">
        <x:v>BOF Onboarding Team</x:v>
      </x:c>
      <x:c r="AZ81" s="130" t="str">
        <x:v>Complete</x:v>
      </x:c>
      <x:c r="BA81" s="130"/>
      <x:c r="BB81" s="130" t="str">
        <x:v>Individual/Sole Proprietor</x:v>
      </x:c>
      <x:c r="BC81" s="130" t="str">
        <x:v>SSN</x:v>
      </x:c>
      <x:c r="BD81" s="130" t="str">
        <x:v>***-**-0114</x:v>
      </x:c>
      <x:c r="BE81" s="130"/>
      <x:c r="BF81" s="180" t="n">
        <x:v>45579</x:v>
      </x:c>
      <x:c r="BG81" s="130" t="str">
        <x:v>Received</x:v>
      </x:c>
      <x:c r="BH81" s="130" t="str">
        <x:v>Checking</x:v>
      </x:c>
      <x:c r="BI81" s="130" t="str">
        <x:v>Direct Deposit</x:v>
      </x:c>
      <x:c r="BJ81" s="180" t="n">
        <x:v>45579</x:v>
      </x:c>
      <x:c r="BK81" s="130" t="str">
        <x:v>Verified</x:v>
      </x:c>
      <x:c r="BL81" s="180" t="n">
        <x:v>45572</x:v>
      </x:c>
      <x:c r="BM81" s="130" t="str">
        <x:v>E. Barnes</x:v>
      </x:c>
      <x:c r="BN81" s="130" t="str">
        <x:v>Sleeper tractor</x:v>
      </x:c>
      <x:c r="BO81" s="130" t="str">
        <x:v>53 ft dry van</x:v>
      </x:c>
      <x:c r="BP81" s="130" t="str">
        <x:v>Chicago, IL</x:v>
      </x:c>
      <x:c r="BQ81" s="130" t="n">
        <x:v>4</x:v>
      </x:c>
      <x:c r="BR81" s="130" t="n">
        <x:v>4</x:v>
      </x:c>
      <x:c r="BS81" s="130" t="n">
        <x:v>4</x:v>
      </x:c>
      <x:c r="BT81" s="130" t="n">
        <x:v>4</x:v>
      </x:c>
      <x:c r="BU81" s="130" t="n">
        <x:v>4</x:v>
      </x:c>
      <x:c r="BV81" s="130" t="n">
        <x:v>4</x:v>
      </x:c>
      <x:c r="BW81" s="130" t="n">
        <x:v>4</x:v>
      </x:c>
      <x:c r="BX81" s="130" t="n">
        <x:v>4</x:v>
      </x:c>
      <x:c r="BY81" s="130" t="n">
        <x:v>4</x:v>
      </x:c>
      <x:c r="BZ81" s="130" t="str">
        <x:v>Pass</x:v>
      </x:c>
      <x:c r="CA81" s="130" t="str">
        <x:v>Corrective lenses</x:v>
      </x:c>
      <x:c r="CB81" s="130" t="str">
        <x:v>Passed</x:v>
      </x:c>
      <x:c r="CC81" s="130" t="str">
        <x:v>Enrolled</x:v>
      </x:c>
      <x:c r="CD81" s="130" t="str">
        <x:v>Query Completed</x:v>
      </x:c>
      <x:c r="CE81" s="180" t="n">
        <x:v>46037</x:v>
      </x:c>
      <x:c r="CF81" s="180" t="n">
        <x:v>46218</x:v>
      </x:c>
      <x:c r="CG81" s="130"/>
      <x:c r="CH81" s="130" t="str">
        <x:v>Compliant</x:v>
      </x:c>
      <x:c r="CI81" s="130"/>
      <x:c r="CJ81" s="130" t="str">
        <x:v>Robert</x:v>
      </x:c>
      <x:c r="CK81" s="130" t="str">
        <x:v>Johnson</x:v>
      </x:c>
      <x:c r="CL81" s="130" t="str">
        <x:v>IL0000032</x:v>
      </x:c>
      <x:c r="CM81" s="130" t="str">
        <x:v>IL</x:v>
      </x:c>
      <x:c r="CN81" s="130" t="str">
        <x:v>CDL Holder</x:v>
      </x:c>
      <x:c r="CO81" s="130" t="str">
        <x:v>Robert Johnson</x:v>
      </x:c>
      <x:c r="CP81" s="180" t="n">
        <x:v>45879</x:v>
      </x:c>
      <x:c r="CQ81" s="180" t="n">
        <x:v>46609</x:v>
      </x:c>
      <x:c r="CR81" s="130" t="str">
        <x:v>(312) 555-0103</x:v>
      </x:c>
      <x:c r="CS81" s="130" t="str">
        <x:v>Dr. Victor Reed</x:v>
      </x:c>
      <x:c r="CT81" s="180" t="n">
        <x:v>45879</x:v>
      </x:c>
      <x:c r="CU81" s="130" t="str">
        <x:v>IL-ME-120233</x:v>
      </x:c>
      <x:c r="CV81" s="130" t="str">
        <x:v>ME100012</x:v>
      </x:c>
      <x:c r="CW81" s="130" t="str">
        <x:v>DO</x:v>
      </x:c>
      <x:c r="CX81" s="130" t="str">
        <x:v>IL</x:v>
      </x:c>
      <x:c r="CY81" s="130" t="str">
        <x:v>Federal Motor Carrier Safety Regulations</x:v>
      </x:c>
      <x:c r="CZ81" s="130"/>
      <x:c r="DA81" s="130" t="str">
        <x:v>No</x:v>
      </x:c>
      <x:c r="DB81" s="130" t="str">
        <x:v>No</x:v>
      </x:c>
      <x:c r="DC81" s="130" t="str">
        <x:v>No</x:v>
      </x:c>
      <x:c r="DD81" s="130" t="str">
        <x:v>No</x:v>
      </x:c>
      <x:c r="DE81" s="130" t="str">
        <x:v>Yes</x:v>
      </x:c>
      <x:c r="DF81" s="130" t="str">
        <x:v>No</x:v>
      </x:c>
      <x:c r="DG81" s="130" t="str">
        <x:v>Jane Doe</x:v>
      </x:c>
      <x:c r="DH81" s="130" t="str">
        <x:v>Sister</x:v>
      </x:c>
      <x:c r="DI81" s="130" t="str">
        <x:v>555-555-5555</x:v>
      </x:c>
      <x:c r="DJ81" s="130" t="str">
        <x:v>No</x:v>
      </x:c>
      <x:c r="DK81" s="130" t="str">
        <x:v>No</x:v>
      </x:c>
      <x:c r="DL81" s="130" t="str">
        <x:v>No</x:v>
      </x:c>
      <x:c r="DM81" s="130" t="str">
        <x:v>No</x:v>
      </x:c>
      <x:c r="DN81" s="130" t="str">
        <x:v>Yes - Appendectomy (2005)</x:v>
      </x:c>
      <x:c r="DO81" s="130" t="str">
        <x:v>20/20</x:v>
      </x:c>
      <x:c r="DP81" s="130" t="str">
        <x:v>20/20</x:v>
      </x:c>
      <x:c r="DQ81" s="130" t="str">
        <x:v>Pass</x:v>
      </x:c>
      <x:c r="DR81" s="130" t="str">
        <x:v>118</x:v>
      </x:c>
      <x:c r="DS81" s="130" t="str">
        <x:v>78</x:v>
      </x:c>
      <x:c r="DT81" s="130" t="str">
        <x:v>72</x:v>
      </x:c>
      <x:c r="DU81" s="130" t="str">
        <x:v>Normal</x:v>
      </x:c>
      <x:c r="DV81" s="180" t="n">
        <x:v>45392</x:v>
      </x:c>
      <x:c r="DW81" s="180" t="n">
        <x:v>45394</x:v>
      </x:c>
      <x:c r="DX81" s="130" t="str">
        <x:v>Negative</x:v>
      </x:c>
      <x:c r="DY81" s="180" t="n">
        <x:v>45397</x:v>
      </x:c>
      <x:c r="DZ81" s="130" t="str">
        <x:v>BOF Fleet Safety &amp; Compliance Policy 2024</x:v>
      </x:c>
      <x:c r="EA81" s="130" t="str">
        <x:v>Complete</x:v>
      </x:c>
      <x:c r="EB81" s="180" t="n">
        <x:v>45413</x:v>
      </x:c>
    </x:row>
    <x:row r="82">
      <x:c r="A82" s="130" t="str">
        <x:v>DRV-012</x:v>
      </x:c>
      <x:c r="B82" s="130" t="str">
        <x:v>Robert Johnson</x:v>
      </x:c>
      <x:c r="C82" s="130" t="str">
        <x:v>920 Demo Street, Chicago, IL 60605</x:v>
      </x:c>
      <x:c r="D82" s="130" t="str">
        <x:v>618-555-0101</x:v>
      </x:c>
      <x:c r="E82" s="130" t="str">
        <x:v>***-**-0114</x:v>
      </x:c>
      <x:c r="F82" s="130" t="str">
        <x:v>Wells Fargo</x:v>
      </x:c>
      <x:c r="G82" s="130" t="n">
        <x:v>000000109</x:v>
      </x:c>
      <x:c r="H82" s="130" t="n">
        <x:v>999900205</x:v>
      </x:c>
      <x:c r="I82" s="130" t="str">
        <x:v>Driver Application</x:v>
      </x:c>
      <x:c r="J82" s="130" t="str">
        <x:v>VALID</x:v>
      </x:c>
      <x:c r="K82" s="130" t="str">
        <x:v>IL0000057</x:v>
      </x:c>
      <x:c r="L82" s="180" t="n">
        <x:v>46706</x:v>
      </x:c>
      <x:c r="M82" s="180" t="n">
        <x:v>46609</x:v>
      </x:c>
      <x:c r="N82" s="180" t="n">
        <x:v>46519</x:v>
      </x:c>
      <x:c r="O82" s="130"/>
      <x:c r="P82" s="130" t="str">
        <x:v>Blonde</x:v>
      </x:c>
      <x:c r="Q82" s="130" t="str">
        <x:v>Green</x:v>
      </x:c>
      <x:c r="R82" s="130" t="str">
        <x:v>6'-1"</x:v>
      </x:c>
      <x:c r="S82" s="130" t="n">
        <x:v>209</x:v>
      </x:c>
      <x:c r="T82" s="130" t="str">
        <x:v>M</x:v>
      </x:c>
      <x:c r="U82" s="130" t="n">
        <x:v>32874</x:v>
      </x:c>
      <x:c r="V82" s="130" t="str">
        <x:v>DRV-012.png</x:v>
      </x:c>
      <x:c r="W82" s="130" t="str">
        <x:v>Caucasian</x:v>
      </x:c>
      <x:c r="X82" s="130" t="str">
        <x:v>robertjohnson@example.com</x:v>
      </x:c>
      <x:c r="Y82" s="130" t="str">
        <x:v>920 Demo Street</x:v>
      </x:c>
      <x:c r="Z82" s="130" t="str">
        <x:v>Chicago</x:v>
      </x:c>
      <x:c r="AA82" s="130" t="str">
        <x:v>IL</x:v>
      </x:c>
      <x:c r="AB82" s="130" t="n">
        <x:v>60605</x:v>
      </x:c>
      <x:c r="AC82" s="130" t="str">
        <x:v>IL</x:v>
      </x:c>
      <x:c r="AD82" s="130" t="str">
        <x:v>Class A</x:v>
      </x:c>
      <x:c r="AE82" s="180" t="n">
        <x:v>44884</x:v>
      </x:c>
      <x:c r="AF82" s="130"/>
      <x:c r="AG82" s="130" t="str">
        <x:v>Corrective lenses</x:v>
      </x:c>
      <x:c r="AH82" s="180" t="n">
        <x:v>45879</x:v>
      </x:c>
      <x:c r="AI82" s="130" t="str">
        <x:v>MC-0120411</x:v>
      </x:c>
      <x:c r="AJ82" s="130" t="str">
        <x:v>Dr. Victor Reed</x:v>
      </x:c>
      <x:c r="AK82" s="130" t="str">
        <x:v>ME100012</x:v>
      </x:c>
      <x:c r="AL82" s="130" t="str">
        <x:v>Corrective lenses</x:v>
      </x:c>
      <x:c r="AM82" s="130" t="str">
        <x:v>Qualified</x:v>
      </x:c>
      <x:c r="AN82" s="180" t="n">
        <x:v>46489</x:v>
      </x:c>
      <x:c r="AO82" s="130" t="n">
        <x:v>1</x:v>
      </x:c>
      <x:c r="AP82" s="130" t="n">
        <x:v>1</x:v>
      </x:c>
      <x:c r="AQ82" s="130" t="str">
        <x:v>Corrective lenses</x:v>
      </x:c>
      <x:c r="AR82" s="130" t="str">
        <x:v>Reviewed - Clear to Drive</x:v>
      </x:c>
      <x:c r="AS82" s="180" t="n">
        <x:v>45579</x:v>
      </x:c>
      <x:c r="AT82" s="130" t="str">
        <x:v>Authorized to Work</x:v>
      </x:c>
      <x:c r="AU82" s="130" t="str">
        <x:v>U.S. Passport</x:v>
      </x:c>
      <x:c r="AV82" s="130"/>
      <x:c r="AW82" s="130"/>
      <x:c r="AX82" s="180" t="n">
        <x:v>45579</x:v>
      </x:c>
      <x:c r="AY82" s="130" t="str">
        <x:v>BOF Onboarding Team</x:v>
      </x:c>
      <x:c r="AZ82" s="130" t="str">
        <x:v>Complete</x:v>
      </x:c>
      <x:c r="BA82" s="130"/>
      <x:c r="BB82" s="130" t="str">
        <x:v>Individual/Sole Proprietor</x:v>
      </x:c>
      <x:c r="BC82" s="130" t="str">
        <x:v>SSN</x:v>
      </x:c>
      <x:c r="BD82" s="130" t="str">
        <x:v>***-**-0114</x:v>
      </x:c>
      <x:c r="BE82" s="130"/>
      <x:c r="BF82" s="180" t="n">
        <x:v>45579</x:v>
      </x:c>
      <x:c r="BG82" s="130" t="str">
        <x:v>Received</x:v>
      </x:c>
      <x:c r="BH82" s="130" t="str">
        <x:v>Checking</x:v>
      </x:c>
      <x:c r="BI82" s="130" t="str">
        <x:v>Direct Deposit</x:v>
      </x:c>
      <x:c r="BJ82" s="180" t="n">
        <x:v>45579</x:v>
      </x:c>
      <x:c r="BK82" s="130" t="str">
        <x:v>Verified</x:v>
      </x:c>
      <x:c r="BL82" s="180" t="n">
        <x:v>45572</x:v>
      </x:c>
      <x:c r="BM82" s="130" t="str">
        <x:v>E. Barnes</x:v>
      </x:c>
      <x:c r="BN82" s="130" t="str">
        <x:v>Sleeper tractor</x:v>
      </x:c>
      <x:c r="BO82" s="130" t="str">
        <x:v>53 ft dry van</x:v>
      </x:c>
      <x:c r="BP82" s="130" t="str">
        <x:v>Chicago, IL</x:v>
      </x:c>
      <x:c r="BQ82" s="130" t="n">
        <x:v>4</x:v>
      </x:c>
      <x:c r="BR82" s="130" t="n">
        <x:v>4</x:v>
      </x:c>
      <x:c r="BS82" s="130" t="n">
        <x:v>4</x:v>
      </x:c>
      <x:c r="BT82" s="130" t="n">
        <x:v>4</x:v>
      </x:c>
      <x:c r="BU82" s="130" t="n">
        <x:v>4</x:v>
      </x:c>
      <x:c r="BV82" s="130" t="n">
        <x:v>4</x:v>
      </x:c>
      <x:c r="BW82" s="130" t="n">
        <x:v>4</x:v>
      </x:c>
      <x:c r="BX82" s="130" t="n">
        <x:v>4</x:v>
      </x:c>
      <x:c r="BY82" s="130" t="n">
        <x:v>4</x:v>
      </x:c>
      <x:c r="BZ82" s="130" t="str">
        <x:v>Pass</x:v>
      </x:c>
      <x:c r="CA82" s="130" t="str">
        <x:v>Corrective lenses</x:v>
      </x:c>
      <x:c r="CB82" s="130" t="str">
        <x:v>Passed</x:v>
      </x:c>
      <x:c r="CC82" s="130" t="str">
        <x:v>Enrolled</x:v>
      </x:c>
      <x:c r="CD82" s="130" t="str">
        <x:v>Query Completed</x:v>
      </x:c>
      <x:c r="CE82" s="180" t="n">
        <x:v>46037</x:v>
      </x:c>
      <x:c r="CF82" s="180" t="n">
        <x:v>46218</x:v>
      </x:c>
      <x:c r="CG82" s="130"/>
      <x:c r="CH82" s="130" t="str">
        <x:v>Compliant</x:v>
      </x:c>
      <x:c r="CI82" s="130"/>
      <x:c r="CJ82" s="130" t="str">
        <x:v>Robert</x:v>
      </x:c>
      <x:c r="CK82" s="130" t="str">
        <x:v>Johnson</x:v>
      </x:c>
      <x:c r="CL82" s="130" t="str">
        <x:v>IL0000033</x:v>
      </x:c>
      <x:c r="CM82" s="130" t="str">
        <x:v>IL</x:v>
      </x:c>
      <x:c r="CN82" s="130" t="str">
        <x:v>CDL Holder</x:v>
      </x:c>
      <x:c r="CO82" s="130" t="str">
        <x:v>Robert Johnson</x:v>
      </x:c>
      <x:c r="CP82" s="180" t="n">
        <x:v>45879</x:v>
      </x:c>
      <x:c r="CQ82" s="180" t="n">
        <x:v>46609</x:v>
      </x:c>
      <x:c r="CR82" s="130" t="str">
        <x:v>(312) 555-0103</x:v>
      </x:c>
      <x:c r="CS82" s="130" t="str">
        <x:v>Dr. Victor Reed</x:v>
      </x:c>
      <x:c r="CT82" s="180" t="n">
        <x:v>45879</x:v>
      </x:c>
      <x:c r="CU82" s="130" t="str">
        <x:v>IL-ME-120233</x:v>
      </x:c>
      <x:c r="CV82" s="130" t="str">
        <x:v>ME100012</x:v>
      </x:c>
      <x:c r="CW82" s="130" t="str">
        <x:v>DO</x:v>
      </x:c>
      <x:c r="CX82" s="130" t="str">
        <x:v>IL</x:v>
      </x:c>
      <x:c r="CY82" s="130" t="str">
        <x:v>Federal Motor Carrier Safety Regulations</x:v>
      </x:c>
      <x:c r="CZ82" s="130"/>
      <x:c r="DA82" s="130" t="str">
        <x:v>No</x:v>
      </x:c>
      <x:c r="DB82" s="130" t="str">
        <x:v>No</x:v>
      </x:c>
      <x:c r="DC82" s="130" t="str">
        <x:v>No</x:v>
      </x:c>
      <x:c r="DD82" s="130" t="str">
        <x:v>No</x:v>
      </x:c>
      <x:c r="DE82" s="130" t="str">
        <x:v>Yes</x:v>
      </x:c>
      <x:c r="DF82" s="130" t="str">
        <x:v>No</x:v>
      </x:c>
      <x:c r="DG82" s="130" t="str">
        <x:v>Jane Doe</x:v>
      </x:c>
      <x:c r="DH82" s="130" t="str">
        <x:v>Sister</x:v>
      </x:c>
      <x:c r="DI82" s="130" t="str">
        <x:v>555-555-5555</x:v>
      </x:c>
      <x:c r="DJ82" s="130" t="str">
        <x:v>No</x:v>
      </x:c>
      <x:c r="DK82" s="130" t="str">
        <x:v>No</x:v>
      </x:c>
      <x:c r="DL82" s="130" t="str">
        <x:v>No</x:v>
      </x:c>
      <x:c r="DM82" s="130" t="str">
        <x:v>No</x:v>
      </x:c>
      <x:c r="DN82" s="130" t="str">
        <x:v>Yes - Appendectomy (2005)</x:v>
      </x:c>
      <x:c r="DO82" s="130" t="str">
        <x:v>20/20</x:v>
      </x:c>
      <x:c r="DP82" s="130" t="str">
        <x:v>20/20</x:v>
      </x:c>
      <x:c r="DQ82" s="130" t="str">
        <x:v>Pass</x:v>
      </x:c>
      <x:c r="DR82" s="130" t="str">
        <x:v>118</x:v>
      </x:c>
      <x:c r="DS82" s="130" t="str">
        <x:v>78</x:v>
      </x:c>
      <x:c r="DT82" s="130" t="str">
        <x:v>72</x:v>
      </x:c>
      <x:c r="DU82" s="130" t="str">
        <x:v>Normal</x:v>
      </x:c>
      <x:c r="DV82" s="180" t="n">
        <x:v>45392</x:v>
      </x:c>
      <x:c r="DW82" s="180" t="n">
        <x:v>45394</x:v>
      </x:c>
      <x:c r="DX82" s="130" t="str">
        <x:v>Negative</x:v>
      </x:c>
      <x:c r="DY82" s="180" t="n">
        <x:v>45397</x:v>
      </x:c>
      <x:c r="DZ82" s="130" t="str">
        <x:v>BOF Fleet Safety &amp; Compliance Policy 2024</x:v>
      </x:c>
      <x:c r="EA82" s="130" t="str">
        <x:v>Complete</x:v>
      </x:c>
      <x:c r="EB82" s="180" t="n">
        <x:v>45413</x:v>
      </x:c>
    </x:row>
    <x:row r="83">
      <x:c r="A83" s="130" t="str">
        <x:v>DRV-012</x:v>
      </x:c>
      <x:c r="B83" s="130" t="str">
        <x:v>Robert Johnson</x:v>
      </x:c>
      <x:c r="C83" s="130" t="str">
        <x:v>920 Demo Street, Chicago, IL 60605</x:v>
      </x:c>
      <x:c r="D83" s="130" t="str">
        <x:v>618-555-0101</x:v>
      </x:c>
      <x:c r="E83" s="130" t="str">
        <x:v>***-**-0114</x:v>
      </x:c>
      <x:c r="F83" s="130" t="str">
        <x:v>Wells Fargo</x:v>
      </x:c>
      <x:c r="G83" s="130" t="n">
        <x:v>000000109</x:v>
      </x:c>
      <x:c r="H83" s="130" t="n">
        <x:v>999900205</x:v>
      </x:c>
      <x:c r="I83" s="130" t="str">
        <x:v>Road Test Certificate</x:v>
      </x:c>
      <x:c r="J83" s="130" t="str">
        <x:v>VALID</x:v>
      </x:c>
      <x:c r="K83" s="130" t="str">
        <x:v>IL0000066</x:v>
      </x:c>
      <x:c r="L83" s="180" t="n">
        <x:v>46706</x:v>
      </x:c>
      <x:c r="M83" s="180" t="n">
        <x:v>46609</x:v>
      </x:c>
      <x:c r="N83" s="180" t="n">
        <x:v>46519</x:v>
      </x:c>
      <x:c r="O83" s="130"/>
      <x:c r="P83" s="130" t="str">
        <x:v>Blonde</x:v>
      </x:c>
      <x:c r="Q83" s="130" t="str">
        <x:v>Green</x:v>
      </x:c>
      <x:c r="R83" s="130" t="str">
        <x:v>6'-1"</x:v>
      </x:c>
      <x:c r="S83" s="130" t="n">
        <x:v>209</x:v>
      </x:c>
      <x:c r="T83" s="130" t="str">
        <x:v>M</x:v>
      </x:c>
      <x:c r="U83" s="130" t="n">
        <x:v>32874</x:v>
      </x:c>
      <x:c r="V83" s="130" t="str">
        <x:v>DRV-012.png</x:v>
      </x:c>
      <x:c r="W83" s="130" t="str">
        <x:v>Caucasian</x:v>
      </x:c>
      <x:c r="X83" s="130" t="str">
        <x:v>robertjohnson@example.com</x:v>
      </x:c>
      <x:c r="Y83" s="130" t="str">
        <x:v>920 Demo Street</x:v>
      </x:c>
      <x:c r="Z83" s="130" t="str">
        <x:v>Chicago</x:v>
      </x:c>
      <x:c r="AA83" s="130" t="str">
        <x:v>IL</x:v>
      </x:c>
      <x:c r="AB83" s="130" t="n">
        <x:v>60605</x:v>
      </x:c>
      <x:c r="AC83" s="130" t="str">
        <x:v>IL</x:v>
      </x:c>
      <x:c r="AD83" s="130" t="str">
        <x:v>Class A</x:v>
      </x:c>
      <x:c r="AE83" s="180" t="n">
        <x:v>44884</x:v>
      </x:c>
      <x:c r="AF83" s="130"/>
      <x:c r="AG83" s="130" t="str">
        <x:v>Corrective lenses</x:v>
      </x:c>
      <x:c r="AH83" s="180" t="n">
        <x:v>45879</x:v>
      </x:c>
      <x:c r="AI83" s="130" t="str">
        <x:v>MC-0120411</x:v>
      </x:c>
      <x:c r="AJ83" s="130" t="str">
        <x:v>Dr. Victor Reed</x:v>
      </x:c>
      <x:c r="AK83" s="130" t="str">
        <x:v>ME100012</x:v>
      </x:c>
      <x:c r="AL83" s="130" t="str">
        <x:v>Corrective lenses</x:v>
      </x:c>
      <x:c r="AM83" s="130" t="str">
        <x:v>Qualified</x:v>
      </x:c>
      <x:c r="AN83" s="180" t="n">
        <x:v>46489</x:v>
      </x:c>
      <x:c r="AO83" s="130" t="n">
        <x:v>1</x:v>
      </x:c>
      <x:c r="AP83" s="130" t="n">
        <x:v>1</x:v>
      </x:c>
      <x:c r="AQ83" s="130" t="str">
        <x:v>Corrective lenses</x:v>
      </x:c>
      <x:c r="AR83" s="130" t="str">
        <x:v>Reviewed - Clear to Drive</x:v>
      </x:c>
      <x:c r="AS83" s="180" t="n">
        <x:v>45579</x:v>
      </x:c>
      <x:c r="AT83" s="130" t="str">
        <x:v>Authorized to Work</x:v>
      </x:c>
      <x:c r="AU83" s="130" t="str">
        <x:v>U.S. Passport</x:v>
      </x:c>
      <x:c r="AV83" s="130"/>
      <x:c r="AW83" s="130"/>
      <x:c r="AX83" s="180" t="n">
        <x:v>45579</x:v>
      </x:c>
      <x:c r="AY83" s="130" t="str">
        <x:v>BOF Onboarding Team</x:v>
      </x:c>
      <x:c r="AZ83" s="130" t="str">
        <x:v>Complete</x:v>
      </x:c>
      <x:c r="BA83" s="130"/>
      <x:c r="BB83" s="130" t="str">
        <x:v>Individual/Sole Proprietor</x:v>
      </x:c>
      <x:c r="BC83" s="130" t="str">
        <x:v>SSN</x:v>
      </x:c>
      <x:c r="BD83" s="130" t="str">
        <x:v>***-**-0114</x:v>
      </x:c>
      <x:c r="BE83" s="130"/>
      <x:c r="BF83" s="180" t="n">
        <x:v>45579</x:v>
      </x:c>
      <x:c r="BG83" s="130" t="str">
        <x:v>Received</x:v>
      </x:c>
      <x:c r="BH83" s="130" t="str">
        <x:v>Checking</x:v>
      </x:c>
      <x:c r="BI83" s="130" t="str">
        <x:v>Direct Deposit</x:v>
      </x:c>
      <x:c r="BJ83" s="180" t="n">
        <x:v>45579</x:v>
      </x:c>
      <x:c r="BK83" s="130" t="str">
        <x:v>Verified</x:v>
      </x:c>
      <x:c r="BL83" s="180" t="n">
        <x:v>45572</x:v>
      </x:c>
      <x:c r="BM83" s="130" t="str">
        <x:v>E. Barnes</x:v>
      </x:c>
      <x:c r="BN83" s="130" t="str">
        <x:v>Sleeper tractor</x:v>
      </x:c>
      <x:c r="BO83" s="130" t="str">
        <x:v>53 ft dry van</x:v>
      </x:c>
      <x:c r="BP83" s="130" t="str">
        <x:v>Chicago, IL</x:v>
      </x:c>
      <x:c r="BQ83" s="130" t="n">
        <x:v>4</x:v>
      </x:c>
      <x:c r="BR83" s="130" t="n">
        <x:v>4</x:v>
      </x:c>
      <x:c r="BS83" s="130" t="n">
        <x:v>4</x:v>
      </x:c>
      <x:c r="BT83" s="130" t="n">
        <x:v>4</x:v>
      </x:c>
      <x:c r="BU83" s="130" t="n">
        <x:v>4</x:v>
      </x:c>
      <x:c r="BV83" s="130" t="n">
        <x:v>4</x:v>
      </x:c>
      <x:c r="BW83" s="130" t="n">
        <x:v>4</x:v>
      </x:c>
      <x:c r="BX83" s="130" t="n">
        <x:v>4</x:v>
      </x:c>
      <x:c r="BY83" s="130" t="n">
        <x:v>4</x:v>
      </x:c>
      <x:c r="BZ83" s="130" t="str">
        <x:v>Pass</x:v>
      </x:c>
      <x:c r="CA83" s="130" t="str">
        <x:v>Corrective lenses</x:v>
      </x:c>
      <x:c r="CB83" s="130" t="str">
        <x:v>Passed</x:v>
      </x:c>
      <x:c r="CC83" s="130" t="str">
        <x:v>Enrolled</x:v>
      </x:c>
      <x:c r="CD83" s="130" t="str">
        <x:v>Query Completed</x:v>
      </x:c>
      <x:c r="CE83" s="180" t="n">
        <x:v>46037</x:v>
      </x:c>
      <x:c r="CF83" s="180" t="n">
        <x:v>46218</x:v>
      </x:c>
      <x:c r="CG83" s="130"/>
      <x:c r="CH83" s="130" t="str">
        <x:v>Compliant</x:v>
      </x:c>
      <x:c r="CI83" s="130"/>
      <x:c r="CJ83" s="130" t="str">
        <x:v>Robert</x:v>
      </x:c>
      <x:c r="CK83" s="130" t="str">
        <x:v>Johnson</x:v>
      </x:c>
      <x:c r="CL83" s="130" t="str">
        <x:v>IL0000034</x:v>
      </x:c>
      <x:c r="CM83" s="130" t="str">
        <x:v>IL</x:v>
      </x:c>
      <x:c r="CN83" s="130" t="str">
        <x:v>CDL Holder</x:v>
      </x:c>
      <x:c r="CO83" s="130" t="str">
        <x:v>Robert Johnson</x:v>
      </x:c>
      <x:c r="CP83" s="180" t="n">
        <x:v>45879</x:v>
      </x:c>
      <x:c r="CQ83" s="180" t="n">
        <x:v>46609</x:v>
      </x:c>
      <x:c r="CR83" s="130" t="str">
        <x:v>(312) 555-0103</x:v>
      </x:c>
      <x:c r="CS83" s="130" t="str">
        <x:v>Dr. Victor Reed</x:v>
      </x:c>
      <x:c r="CT83" s="180" t="n">
        <x:v>45879</x:v>
      </x:c>
      <x:c r="CU83" s="130" t="str">
        <x:v>IL-ME-120233</x:v>
      </x:c>
      <x:c r="CV83" s="130" t="str">
        <x:v>ME100012</x:v>
      </x:c>
      <x:c r="CW83" s="130" t="str">
        <x:v>DO</x:v>
      </x:c>
      <x:c r="CX83" s="130" t="str">
        <x:v>IL</x:v>
      </x:c>
      <x:c r="CY83" s="130" t="str">
        <x:v>Federal Motor Carrier Safety Regulations</x:v>
      </x:c>
      <x:c r="CZ83" s="130"/>
      <x:c r="DA83" s="130" t="str">
        <x:v>No</x:v>
      </x:c>
      <x:c r="DB83" s="130" t="str">
        <x:v>No</x:v>
      </x:c>
      <x:c r="DC83" s="130" t="str">
        <x:v>No</x:v>
      </x:c>
      <x:c r="DD83" s="130" t="str">
        <x:v>No</x:v>
      </x:c>
      <x:c r="DE83" s="130" t="str">
        <x:v>Yes</x:v>
      </x:c>
      <x:c r="DF83" s="130" t="str">
        <x:v>No</x:v>
      </x:c>
      <x:c r="DG83" s="130" t="str">
        <x:v>Jane Doe</x:v>
      </x:c>
      <x:c r="DH83" s="130" t="str">
        <x:v>Sister</x:v>
      </x:c>
      <x:c r="DI83" s="130" t="str">
        <x:v>555-555-5555</x:v>
      </x:c>
      <x:c r="DJ83" s="130" t="str">
        <x:v>No</x:v>
      </x:c>
      <x:c r="DK83" s="130" t="str">
        <x:v>No</x:v>
      </x:c>
      <x:c r="DL83" s="130" t="str">
        <x:v>No</x:v>
      </x:c>
      <x:c r="DM83" s="130" t="str">
        <x:v>No</x:v>
      </x:c>
      <x:c r="DN83" s="130" t="str">
        <x:v>Yes - Appendectomy (2005)</x:v>
      </x:c>
      <x:c r="DO83" s="130" t="str">
        <x:v>20/20</x:v>
      </x:c>
      <x:c r="DP83" s="130" t="str">
        <x:v>20/20</x:v>
      </x:c>
      <x:c r="DQ83" s="130" t="str">
        <x:v>Pass</x:v>
      </x:c>
      <x:c r="DR83" s="130" t="str">
        <x:v>118</x:v>
      </x:c>
      <x:c r="DS83" s="130" t="str">
        <x:v>78</x:v>
      </x:c>
      <x:c r="DT83" s="130" t="str">
        <x:v>72</x:v>
      </x:c>
      <x:c r="DU83" s="130" t="str">
        <x:v>Normal</x:v>
      </x:c>
      <x:c r="DV83" s="180" t="n">
        <x:v>45392</x:v>
      </x:c>
      <x:c r="DW83" s="180" t="n">
        <x:v>45394</x:v>
      </x:c>
      <x:c r="DX83" s="130" t="str">
        <x:v>Negative</x:v>
      </x:c>
      <x:c r="DY83" s="180" t="n">
        <x:v>45397</x:v>
      </x:c>
      <x:c r="DZ83" s="130" t="str">
        <x:v>BOF Fleet Safety &amp; Compliance Policy 2024</x:v>
      </x:c>
      <x:c r="EA83" s="130" t="str">
        <x:v>Complete</x:v>
      </x:c>
      <x:c r="EB83" s="180" t="n">
        <x:v>45413</x:v>
      </x:c>
    </x:row>
    <x:row r="84">
      <x:c r="A84" s="130" t="str">
        <x:v>DRV-012</x:v>
      </x:c>
      <x:c r="B84" s="130" t="str">
        <x:v>Robert Johnson</x:v>
      </x:c>
      <x:c r="C84" s="130" t="str">
        <x:v>920 Demo Street, Chicago, IL 60605</x:v>
      </x:c>
      <x:c r="D84" s="130" t="str">
        <x:v>618-555-0101</x:v>
      </x:c>
      <x:c r="E84" s="130" t="str">
        <x:v>***-**-0114</x:v>
      </x:c>
      <x:c r="F84" s="130" t="str">
        <x:v>Wells Fargo</x:v>
      </x:c>
      <x:c r="G84" s="130" t="n">
        <x:v>000000109</x:v>
      </x:c>
      <x:c r="H84" s="130" t="n">
        <x:v>999900205</x:v>
      </x:c>
      <x:c r="I84" s="130" t="str">
        <x:v>Incident/Accident Report</x:v>
      </x:c>
      <x:c r="J84" s="130" t="str">
        <x:v>VALID</x:v>
      </x:c>
      <x:c r="K84" s="130" t="str">
        <x:v>IL0000048</x:v>
      </x:c>
      <x:c r="L84" s="180" t="n">
        <x:v>46706</x:v>
      </x:c>
      <x:c r="M84" s="180" t="n">
        <x:v>46609</x:v>
      </x:c>
      <x:c r="N84" s="180" t="n">
        <x:v>46519</x:v>
      </x:c>
      <x:c r="O84" s="130" t="str">
        <x:v>Load L-512: Seal broken upon arrival. Theft suspected.</x:v>
      </x:c>
      <x:c r="P84" s="130" t="str">
        <x:v>Blonde</x:v>
      </x:c>
      <x:c r="Q84" s="130" t="str">
        <x:v>Green</x:v>
      </x:c>
      <x:c r="R84" s="130" t="str">
        <x:v>6'-1"</x:v>
      </x:c>
      <x:c r="S84" s="130" t="n">
        <x:v>209</x:v>
      </x:c>
      <x:c r="T84" s="130" t="str">
        <x:v>M</x:v>
      </x:c>
      <x:c r="U84" s="130" t="n">
        <x:v>32874</x:v>
      </x:c>
      <x:c r="V84" s="130" t="str">
        <x:v>DRV-012.png</x:v>
      </x:c>
      <x:c r="W84" s="130" t="str">
        <x:v>Caucasian</x:v>
      </x:c>
      <x:c r="X84" s="130" t="str">
        <x:v>robertjohnson@example.com</x:v>
      </x:c>
      <x:c r="Y84" s="130" t="str">
        <x:v>920 Demo Street</x:v>
      </x:c>
      <x:c r="Z84" s="130" t="str">
        <x:v>Chicago</x:v>
      </x:c>
      <x:c r="AA84" s="130" t="str">
        <x:v>IL</x:v>
      </x:c>
      <x:c r="AB84" s="130" t="n">
        <x:v>60605</x:v>
      </x:c>
      <x:c r="AC84" s="130" t="str">
        <x:v>IL</x:v>
      </x:c>
      <x:c r="AD84" s="130" t="str">
        <x:v>Class A</x:v>
      </x:c>
      <x:c r="AE84" s="180" t="n">
        <x:v>44884</x:v>
      </x:c>
      <x:c r="AF84" s="130"/>
      <x:c r="AG84" s="130" t="str">
        <x:v>Corrective lenses</x:v>
      </x:c>
      <x:c r="AH84" s="180" t="n">
        <x:v>45879</x:v>
      </x:c>
      <x:c r="AI84" s="130" t="str">
        <x:v>MC-0120411</x:v>
      </x:c>
      <x:c r="AJ84" s="130" t="str">
        <x:v>Dr. Victor Reed</x:v>
      </x:c>
      <x:c r="AK84" s="130" t="str">
        <x:v>ME100012</x:v>
      </x:c>
      <x:c r="AL84" s="130" t="str">
        <x:v>Corrective lenses</x:v>
      </x:c>
      <x:c r="AM84" s="130" t="str">
        <x:v>Qualified</x:v>
      </x:c>
      <x:c r="AN84" s="180" t="n">
        <x:v>46489</x:v>
      </x:c>
      <x:c r="AO84" s="130" t="n">
        <x:v>1</x:v>
      </x:c>
      <x:c r="AP84" s="130" t="n">
        <x:v>1</x:v>
      </x:c>
      <x:c r="AQ84" s="130" t="str">
        <x:v>Corrective lenses</x:v>
      </x:c>
      <x:c r="AR84" s="130" t="str">
        <x:v>Reviewed - Clear to Drive</x:v>
      </x:c>
      <x:c r="AS84" s="180" t="n">
        <x:v>45579</x:v>
      </x:c>
      <x:c r="AT84" s="130" t="str">
        <x:v>Authorized to Work</x:v>
      </x:c>
      <x:c r="AU84" s="130" t="str">
        <x:v>U.S. Passport</x:v>
      </x:c>
      <x:c r="AV84" s="130"/>
      <x:c r="AW84" s="130"/>
      <x:c r="AX84" s="180" t="n">
        <x:v>45579</x:v>
      </x:c>
      <x:c r="AY84" s="130" t="str">
        <x:v>BOF Onboarding Team</x:v>
      </x:c>
      <x:c r="AZ84" s="130" t="str">
        <x:v>Complete</x:v>
      </x:c>
      <x:c r="BA84" s="130"/>
      <x:c r="BB84" s="130" t="str">
        <x:v>Individual/Sole Proprietor</x:v>
      </x:c>
      <x:c r="BC84" s="130" t="str">
        <x:v>SSN</x:v>
      </x:c>
      <x:c r="BD84" s="130" t="str">
        <x:v>***-**-0114</x:v>
      </x:c>
      <x:c r="BE84" s="130"/>
      <x:c r="BF84" s="180" t="n">
        <x:v>45579</x:v>
      </x:c>
      <x:c r="BG84" s="130" t="str">
        <x:v>Received</x:v>
      </x:c>
      <x:c r="BH84" s="130" t="str">
        <x:v>Checking</x:v>
      </x:c>
      <x:c r="BI84" s="130" t="str">
        <x:v>Direct Deposit</x:v>
      </x:c>
      <x:c r="BJ84" s="180" t="n">
        <x:v>45579</x:v>
      </x:c>
      <x:c r="BK84" s="130" t="str">
        <x:v>Verified</x:v>
      </x:c>
      <x:c r="BL84" s="180" t="n">
        <x:v>45572</x:v>
      </x:c>
      <x:c r="BM84" s="130" t="str">
        <x:v>E. Barnes</x:v>
      </x:c>
      <x:c r="BN84" s="130" t="str">
        <x:v>Sleeper tractor</x:v>
      </x:c>
      <x:c r="BO84" s="130" t="str">
        <x:v>53 ft dry van</x:v>
      </x:c>
      <x:c r="BP84" s="130" t="str">
        <x:v>Chicago, IL</x:v>
      </x:c>
      <x:c r="BQ84" s="130" t="n">
        <x:v>4</x:v>
      </x:c>
      <x:c r="BR84" s="130" t="n">
        <x:v>4</x:v>
      </x:c>
      <x:c r="BS84" s="130" t="n">
        <x:v>4</x:v>
      </x:c>
      <x:c r="BT84" s="130" t="n">
        <x:v>4</x:v>
      </x:c>
      <x:c r="BU84" s="130" t="n">
        <x:v>4</x:v>
      </x:c>
      <x:c r="BV84" s="130" t="n">
        <x:v>4</x:v>
      </x:c>
      <x:c r="BW84" s="130" t="n">
        <x:v>4</x:v>
      </x:c>
      <x:c r="BX84" s="130" t="n">
        <x:v>4</x:v>
      </x:c>
      <x:c r="BY84" s="130" t="n">
        <x:v>4</x:v>
      </x:c>
      <x:c r="BZ84" s="130" t="str">
        <x:v>Pass</x:v>
      </x:c>
      <x:c r="CA84" s="130" t="str">
        <x:v>Corrective lenses</x:v>
      </x:c>
      <x:c r="CB84" s="130" t="str">
        <x:v>Passed</x:v>
      </x:c>
      <x:c r="CC84" s="130" t="str">
        <x:v>Enrolled</x:v>
      </x:c>
      <x:c r="CD84" s="130" t="str">
        <x:v>Query Completed</x:v>
      </x:c>
      <x:c r="CE84" s="180" t="n">
        <x:v>46037</x:v>
      </x:c>
      <x:c r="CF84" s="180" t="n">
        <x:v>46218</x:v>
      </x:c>
      <x:c r="CG84" s="130"/>
      <x:c r="CH84" s="130" t="str">
        <x:v>Compliant</x:v>
      </x:c>
      <x:c r="CI84" s="130"/>
      <x:c r="CJ84" s="130" t="str">
        <x:v>Robert</x:v>
      </x:c>
      <x:c r="CK84" s="130" t="str">
        <x:v>Johnson</x:v>
      </x:c>
      <x:c r="CL84" s="130" t="str">
        <x:v>IL0000035</x:v>
      </x:c>
      <x:c r="CM84" s="130" t="str">
        <x:v>IL</x:v>
      </x:c>
      <x:c r="CN84" s="130" t="str">
        <x:v>CDL Holder</x:v>
      </x:c>
      <x:c r="CO84" s="130" t="str">
        <x:v>Robert Johnson</x:v>
      </x:c>
      <x:c r="CP84" s="180" t="n">
        <x:v>45879</x:v>
      </x:c>
      <x:c r="CQ84" s="180" t="n">
        <x:v>46609</x:v>
      </x:c>
      <x:c r="CR84" s="130" t="str">
        <x:v>(312) 555-0103</x:v>
      </x:c>
      <x:c r="CS84" s="130" t="str">
        <x:v>Dr. Victor Reed</x:v>
      </x:c>
      <x:c r="CT84" s="180" t="n">
        <x:v>45879</x:v>
      </x:c>
      <x:c r="CU84" s="130" t="str">
        <x:v>IL-ME-120233</x:v>
      </x:c>
      <x:c r="CV84" s="130" t="str">
        <x:v>ME100012</x:v>
      </x:c>
      <x:c r="CW84" s="130" t="str">
        <x:v>DO</x:v>
      </x:c>
      <x:c r="CX84" s="130" t="str">
        <x:v>IL</x:v>
      </x:c>
      <x:c r="CY84" s="130" t="str">
        <x:v>Federal Motor Carrier Safety Regulations</x:v>
      </x:c>
      <x:c r="CZ84" s="130"/>
      <x:c r="DA84" s="130" t="str">
        <x:v>No</x:v>
      </x:c>
      <x:c r="DB84" s="130" t="str">
        <x:v>No</x:v>
      </x:c>
      <x:c r="DC84" s="130" t="str">
        <x:v>No</x:v>
      </x:c>
      <x:c r="DD84" s="130" t="str">
        <x:v>No</x:v>
      </x:c>
      <x:c r="DE84" s="130" t="str">
        <x:v>Yes</x:v>
      </x:c>
      <x:c r="DF84" s="130" t="str">
        <x:v>No</x:v>
      </x:c>
      <x:c r="DG84" s="130" t="str">
        <x:v>Jane Doe</x:v>
      </x:c>
      <x:c r="DH84" s="130" t="str">
        <x:v>Sister</x:v>
      </x:c>
      <x:c r="DI84" s="130" t="str">
        <x:v>555-555-5555</x:v>
      </x:c>
      <x:c r="DJ84" s="130" t="str">
        <x:v>No</x:v>
      </x:c>
      <x:c r="DK84" s="130" t="str">
        <x:v>No</x:v>
      </x:c>
      <x:c r="DL84" s="130" t="str">
        <x:v>No</x:v>
      </x:c>
      <x:c r="DM84" s="130" t="str">
        <x:v>No</x:v>
      </x:c>
      <x:c r="DN84" s="130" t="str">
        <x:v>Yes - Appendectomy (2005)</x:v>
      </x:c>
      <x:c r="DO84" s="130" t="str">
        <x:v>20/20</x:v>
      </x:c>
      <x:c r="DP84" s="130" t="str">
        <x:v>20/20</x:v>
      </x:c>
      <x:c r="DQ84" s="130" t="str">
        <x:v>Pass</x:v>
      </x:c>
      <x:c r="DR84" s="130" t="str">
        <x:v>118</x:v>
      </x:c>
      <x:c r="DS84" s="130" t="str">
        <x:v>78</x:v>
      </x:c>
      <x:c r="DT84" s="130" t="str">
        <x:v>72</x:v>
      </x:c>
      <x:c r="DU84" s="130" t="str">
        <x:v>Normal</x:v>
      </x:c>
      <x:c r="DV84" s="180" t="n">
        <x:v>45392</x:v>
      </x:c>
      <x:c r="DW84" s="180" t="n">
        <x:v>45394</x:v>
      </x:c>
      <x:c r="DX84" s="130" t="str">
        <x:v>Negative</x:v>
      </x:c>
      <x:c r="DY84" s="180" t="n">
        <x:v>45397</x:v>
      </x:c>
      <x:c r="DZ84" s="130" t="str">
        <x:v>BOF Fleet Safety &amp; Compliance Policy 2024</x:v>
      </x:c>
      <x:c r="EA84" s="130" t="str">
        <x:v>Complete</x:v>
      </x:c>
      <x:c r="EB84" s="180" t="n">
        <x:v>45413</x:v>
      </x:c>
    </x:row>
    <x:row r="85">
      <x:c r="A85" s="130" t="str">
        <x:v>DRV-012</x:v>
      </x:c>
      <x:c r="B85" s="130" t="str">
        <x:v>Robert Johnson</x:v>
      </x:c>
      <x:c r="C85" s="130" t="str">
        <x:v>920 Demo Street, Chicago, IL 60605</x:v>
      </x:c>
      <x:c r="D85" s="130" t="str">
        <x:v>618-555-0101</x:v>
      </x:c>
      <x:c r="E85" s="130" t="str">
        <x:v>***-**-0114</x:v>
      </x:c>
      <x:c r="F85" s="130" t="str">
        <x:v>Wells Fargo</x:v>
      </x:c>
      <x:c r="G85" s="130" t="n">
        <x:v>000000109</x:v>
      </x:c>
      <x:c r="H85" s="130" t="n">
        <x:v>999900205</x:v>
      </x:c>
      <x:c r="I85" s="130" t="str">
        <x:v>Direct Deposit Form</x:v>
      </x:c>
      <x:c r="J85" s="130" t="str">
        <x:v>VALID</x:v>
      </x:c>
      <x:c r="K85" s="130" t="str">
        <x:v>IL0000039</x:v>
      </x:c>
      <x:c r="L85" s="180" t="n">
        <x:v>46706</x:v>
      </x:c>
      <x:c r="M85" s="180" t="n">
        <x:v>46609</x:v>
      </x:c>
      <x:c r="N85" s="180" t="n">
        <x:v>46519</x:v>
      </x:c>
      <x:c r="O85" s="130"/>
      <x:c r="P85" s="130" t="str">
        <x:v>Blonde</x:v>
      </x:c>
      <x:c r="Q85" s="130" t="str">
        <x:v>Green</x:v>
      </x:c>
      <x:c r="R85" s="130" t="str">
        <x:v>6'-1"</x:v>
      </x:c>
      <x:c r="S85" s="130" t="n">
        <x:v>209</x:v>
      </x:c>
      <x:c r="T85" s="130" t="str">
        <x:v>M</x:v>
      </x:c>
      <x:c r="U85" s="130" t="n">
        <x:v>32874</x:v>
      </x:c>
      <x:c r="V85" s="130" t="str">
        <x:v>DRV-012.png</x:v>
      </x:c>
      <x:c r="W85" s="130" t="str">
        <x:v>Caucasian</x:v>
      </x:c>
      <x:c r="X85" s="130" t="str">
        <x:v>robertjohnson@example.com</x:v>
      </x:c>
      <x:c r="Y85" s="130" t="str">
        <x:v>920 Demo Street</x:v>
      </x:c>
      <x:c r="Z85" s="130" t="str">
        <x:v>Chicago</x:v>
      </x:c>
      <x:c r="AA85" s="130" t="str">
        <x:v>IL</x:v>
      </x:c>
      <x:c r="AB85" s="130" t="n">
        <x:v>60605</x:v>
      </x:c>
      <x:c r="AC85" s="130" t="str">
        <x:v>IL</x:v>
      </x:c>
      <x:c r="AD85" s="130" t="str">
        <x:v>Class A</x:v>
      </x:c>
      <x:c r="AE85" s="180" t="n">
        <x:v>44884</x:v>
      </x:c>
      <x:c r="AF85" s="130"/>
      <x:c r="AG85" s="130" t="str">
        <x:v>Corrective lenses</x:v>
      </x:c>
      <x:c r="AH85" s="180" t="n">
        <x:v>45879</x:v>
      </x:c>
      <x:c r="AI85" s="130" t="str">
        <x:v>MC-0120411</x:v>
      </x:c>
      <x:c r="AJ85" s="130" t="str">
        <x:v>Dr. Victor Reed</x:v>
      </x:c>
      <x:c r="AK85" s="130" t="str">
        <x:v>ME100012</x:v>
      </x:c>
      <x:c r="AL85" s="130" t="str">
        <x:v>Corrective lenses</x:v>
      </x:c>
      <x:c r="AM85" s="130" t="str">
        <x:v>Qualified</x:v>
      </x:c>
      <x:c r="AN85" s="180" t="n">
        <x:v>46489</x:v>
      </x:c>
      <x:c r="AO85" s="130" t="n">
        <x:v>1</x:v>
      </x:c>
      <x:c r="AP85" s="130" t="n">
        <x:v>1</x:v>
      </x:c>
      <x:c r="AQ85" s="130" t="str">
        <x:v>Corrective lenses</x:v>
      </x:c>
      <x:c r="AR85" s="130" t="str">
        <x:v>Reviewed - Clear to Drive</x:v>
      </x:c>
      <x:c r="AS85" s="180" t="n">
        <x:v>45579</x:v>
      </x:c>
      <x:c r="AT85" s="130" t="str">
        <x:v>Authorized to Work</x:v>
      </x:c>
      <x:c r="AU85" s="130" t="str">
        <x:v>U.S. Passport</x:v>
      </x:c>
      <x:c r="AV85" s="130"/>
      <x:c r="AW85" s="130"/>
      <x:c r="AX85" s="180" t="n">
        <x:v>45579</x:v>
      </x:c>
      <x:c r="AY85" s="130" t="str">
        <x:v>BOF Onboarding Team</x:v>
      </x:c>
      <x:c r="AZ85" s="130" t="str">
        <x:v>Complete</x:v>
      </x:c>
      <x:c r="BA85" s="130"/>
      <x:c r="BB85" s="130" t="str">
        <x:v>Individual/Sole Proprietor</x:v>
      </x:c>
      <x:c r="BC85" s="130" t="str">
        <x:v>SSN</x:v>
      </x:c>
      <x:c r="BD85" s="130" t="str">
        <x:v>***-**-0114</x:v>
      </x:c>
      <x:c r="BE85" s="130"/>
      <x:c r="BF85" s="180" t="n">
        <x:v>45579</x:v>
      </x:c>
      <x:c r="BG85" s="130" t="str">
        <x:v>Received</x:v>
      </x:c>
      <x:c r="BH85" s="130" t="str">
        <x:v>Checking</x:v>
      </x:c>
      <x:c r="BI85" s="130" t="str">
        <x:v>Direct Deposit</x:v>
      </x:c>
      <x:c r="BJ85" s="180" t="n">
        <x:v>45579</x:v>
      </x:c>
      <x:c r="BK85" s="130" t="str">
        <x:v>Verified</x:v>
      </x:c>
      <x:c r="BL85" s="180" t="n">
        <x:v>45572</x:v>
      </x:c>
      <x:c r="BM85" s="130" t="str">
        <x:v>E. Barnes</x:v>
      </x:c>
      <x:c r="BN85" s="130" t="str">
        <x:v>Sleeper tractor</x:v>
      </x:c>
      <x:c r="BO85" s="130" t="str">
        <x:v>53 ft dry van</x:v>
      </x:c>
      <x:c r="BP85" s="130" t="str">
        <x:v>Chicago, IL</x:v>
      </x:c>
      <x:c r="BQ85" s="130" t="n">
        <x:v>4</x:v>
      </x:c>
      <x:c r="BR85" s="130" t="n">
        <x:v>4</x:v>
      </x:c>
      <x:c r="BS85" s="130" t="n">
        <x:v>4</x:v>
      </x:c>
      <x:c r="BT85" s="130" t="n">
        <x:v>4</x:v>
      </x:c>
      <x:c r="BU85" s="130" t="n">
        <x:v>4</x:v>
      </x:c>
      <x:c r="BV85" s="130" t="n">
        <x:v>4</x:v>
      </x:c>
      <x:c r="BW85" s="130" t="n">
        <x:v>4</x:v>
      </x:c>
      <x:c r="BX85" s="130" t="n">
        <x:v>4</x:v>
      </x:c>
      <x:c r="BY85" s="130" t="n">
        <x:v>4</x:v>
      </x:c>
      <x:c r="BZ85" s="130" t="str">
        <x:v>Pass</x:v>
      </x:c>
      <x:c r="CA85" s="130" t="str">
        <x:v>Corrective lenses</x:v>
      </x:c>
      <x:c r="CB85" s="130" t="str">
        <x:v>Passed</x:v>
      </x:c>
      <x:c r="CC85" s="130" t="str">
        <x:v>Enrolled</x:v>
      </x:c>
      <x:c r="CD85" s="130" t="str">
        <x:v>Query Completed</x:v>
      </x:c>
      <x:c r="CE85" s="180" t="n">
        <x:v>46037</x:v>
      </x:c>
      <x:c r="CF85" s="180" t="n">
        <x:v>46218</x:v>
      </x:c>
      <x:c r="CG85" s="130"/>
      <x:c r="CH85" s="130" t="str">
        <x:v>Compliant</x:v>
      </x:c>
      <x:c r="CI85" s="130"/>
      <x:c r="CJ85" s="130" t="str">
        <x:v>Robert</x:v>
      </x:c>
      <x:c r="CK85" s="130" t="str">
        <x:v>Johnson</x:v>
      </x:c>
      <x:c r="CL85" s="130" t="str">
        <x:v>IL0000036</x:v>
      </x:c>
      <x:c r="CM85" s="130" t="str">
        <x:v>IL</x:v>
      </x:c>
      <x:c r="CN85" s="130" t="str">
        <x:v>CDL Holder</x:v>
      </x:c>
      <x:c r="CO85" s="130" t="str">
        <x:v>Robert Johnson</x:v>
      </x:c>
      <x:c r="CP85" s="180" t="n">
        <x:v>45879</x:v>
      </x:c>
      <x:c r="CQ85" s="180" t="n">
        <x:v>46609</x:v>
      </x:c>
      <x:c r="CR85" s="130" t="str">
        <x:v>(312) 555-0103</x:v>
      </x:c>
      <x:c r="CS85" s="130" t="str">
        <x:v>Dr. Victor Reed</x:v>
      </x:c>
      <x:c r="CT85" s="180" t="n">
        <x:v>45879</x:v>
      </x:c>
      <x:c r="CU85" s="130" t="str">
        <x:v>IL-ME-120233</x:v>
      </x:c>
      <x:c r="CV85" s="130" t="str">
        <x:v>ME100012</x:v>
      </x:c>
      <x:c r="CW85" s="130" t="str">
        <x:v>DO</x:v>
      </x:c>
      <x:c r="CX85" s="130" t="str">
        <x:v>IL</x:v>
      </x:c>
      <x:c r="CY85" s="130" t="str">
        <x:v>Federal Motor Carrier Safety Regulations</x:v>
      </x:c>
      <x:c r="CZ85" s="130"/>
      <x:c r="DA85" s="130" t="str">
        <x:v>No</x:v>
      </x:c>
      <x:c r="DB85" s="130" t="str">
        <x:v>No</x:v>
      </x:c>
      <x:c r="DC85" s="130" t="str">
        <x:v>No</x:v>
      </x:c>
      <x:c r="DD85" s="130" t="str">
        <x:v>No</x:v>
      </x:c>
      <x:c r="DE85" s="130" t="str">
        <x:v>Yes</x:v>
      </x:c>
      <x:c r="DF85" s="130" t="str">
        <x:v>No</x:v>
      </x:c>
      <x:c r="DG85" s="130" t="str">
        <x:v>Jane Doe</x:v>
      </x:c>
      <x:c r="DH85" s="130" t="str">
        <x:v>Sister</x:v>
      </x:c>
      <x:c r="DI85" s="130" t="str">
        <x:v>555-555-5555</x:v>
      </x:c>
      <x:c r="DJ85" s="130" t="str">
        <x:v>No</x:v>
      </x:c>
      <x:c r="DK85" s="130" t="str">
        <x:v>No</x:v>
      </x:c>
      <x:c r="DL85" s="130" t="str">
        <x:v>No</x:v>
      </x:c>
      <x:c r="DM85" s="130" t="str">
        <x:v>No</x:v>
      </x:c>
      <x:c r="DN85" s="130" t="str">
        <x:v>Yes - Appendectomy (2005)</x:v>
      </x:c>
      <x:c r="DO85" s="130" t="str">
        <x:v>20/20</x:v>
      </x:c>
      <x:c r="DP85" s="130" t="str">
        <x:v>20/20</x:v>
      </x:c>
      <x:c r="DQ85" s="130" t="str">
        <x:v>Pass</x:v>
      </x:c>
      <x:c r="DR85" s="130" t="str">
        <x:v>118</x:v>
      </x:c>
      <x:c r="DS85" s="130" t="str">
        <x:v>78</x:v>
      </x:c>
      <x:c r="DT85" s="130" t="str">
        <x:v>72</x:v>
      </x:c>
      <x:c r="DU85" s="130" t="str">
        <x:v>Normal</x:v>
      </x:c>
      <x:c r="DV85" s="180" t="n">
        <x:v>45392</x:v>
      </x:c>
      <x:c r="DW85" s="180" t="n">
        <x:v>45394</x:v>
      </x:c>
      <x:c r="DX85" s="130" t="str">
        <x:v>Negative</x:v>
      </x:c>
      <x:c r="DY85" s="180" t="n">
        <x:v>45397</x:v>
      </x:c>
      <x:c r="DZ85" s="130" t="str">
        <x:v>BOF Fleet Safety &amp; Compliance Policy 2024</x:v>
      </x:c>
      <x:c r="EA85" s="130" t="str">
        <x:v>Complete</x:v>
      </x:c>
      <x:c r="EB85" s="180" t="n">
        <x:v>45413</x:v>
      </x:c>
    </x:row>
    <x:row r="86">
      <x:c r="A86" s="130"/>
      <x:c r="B86" s="130"/>
      <x:c r="C86" s="130"/>
      <x:c r="D86" s="130"/>
      <x:c r="E86" s="130"/>
      <x:c r="F86" s="130"/>
      <x:c r="G86" s="130"/>
      <x:c r="H86" s="130"/>
      <x:c r="I86" s="130"/>
      <x:c r="J86" s="130"/>
      <x:c r="K86" s="130"/>
      <x:c r="L86" s="180"/>
      <x:c r="M86" s="180"/>
      <x:c r="N86" s="180"/>
      <x:c r="O86" s="130"/>
      <x:c r="P86" s="130"/>
      <x:c r="Q86" s="130"/>
      <x:c r="R86" s="130"/>
      <x:c r="S86" s="130"/>
      <x:c r="T86" s="130"/>
      <x:c r="U86" s="130"/>
      <x:c r="V86" s="130"/>
      <x:c r="W86" s="130"/>
      <x:c r="X86" s="130"/>
      <x:c r="Y86" s="130"/>
      <x:c r="Z86" s="130"/>
      <x:c r="AA86" s="130"/>
      <x:c r="AB86" s="130"/>
      <x:c r="AC86" s="130"/>
      <x:c r="AD86" s="130"/>
      <x:c r="AE86" s="180"/>
      <x:c r="AF86" s="130"/>
      <x:c r="AG86" s="130"/>
      <x:c r="AH86" s="180"/>
      <x:c r="AI86" s="130"/>
      <x:c r="AJ86" s="130"/>
      <x:c r="AK86" s="130"/>
      <x:c r="AL86" s="130"/>
      <x:c r="AM86" s="130"/>
      <x:c r="AN86" s="180"/>
      <x:c r="AO86" s="130"/>
      <x:c r="AP86" s="130"/>
      <x:c r="AQ86" s="130"/>
      <x:c r="AR86" s="130"/>
      <x:c r="AS86" s="180"/>
      <x:c r="AT86" s="130"/>
      <x:c r="AU86" s="130"/>
      <x:c r="AV86" s="130"/>
      <x:c r="AW86" s="130"/>
      <x:c r="AX86" s="180"/>
      <x:c r="AY86" s="130"/>
      <x:c r="AZ86" s="130"/>
      <x:c r="BA86" s="130"/>
      <x:c r="BB86" s="130"/>
      <x:c r="BC86" s="130"/>
      <x:c r="BD86" s="130"/>
      <x:c r="BE86" s="130"/>
      <x:c r="BF86" s="180"/>
      <x:c r="BG86" s="130"/>
      <x:c r="BH86" s="130"/>
      <x:c r="BI86" s="130"/>
      <x:c r="BJ86" s="180"/>
      <x:c r="BK86" s="130"/>
      <x:c r="BL86" s="180"/>
      <x:c r="BM86" s="130"/>
      <x:c r="BN86" s="130"/>
      <x:c r="BO86" s="130"/>
      <x:c r="BP86" s="130"/>
      <x:c r="BQ86" s="130"/>
      <x:c r="BR86" s="130"/>
      <x:c r="BS86" s="130"/>
      <x:c r="BT86" s="130"/>
      <x:c r="BU86" s="130"/>
      <x:c r="BV86" s="130"/>
      <x:c r="BW86" s="130"/>
      <x:c r="BX86" s="130"/>
      <x:c r="BY86" s="130"/>
      <x:c r="BZ86" s="130"/>
      <x:c r="CA86" s="130"/>
      <x:c r="CB86" s="130"/>
      <x:c r="CC86" s="130"/>
      <x:c r="CD86" s="130"/>
      <x:c r="CE86" s="180"/>
      <x:c r="CF86" s="180"/>
      <x:c r="CG86" s="130"/>
      <x:c r="CH86" s="130"/>
      <x:c r="CI86" s="130"/>
      <x:c r="CJ86" s="130"/>
      <x:c r="CK86" s="130"/>
      <x:c r="CL86" s="130"/>
      <x:c r="CM86" s="130"/>
      <x:c r="CN86" s="130"/>
      <x:c r="CO86" s="130"/>
      <x:c r="CP86" s="180"/>
      <x:c r="CQ86" s="180"/>
      <x:c r="CR86" s="130"/>
      <x:c r="CS86" s="130"/>
      <x:c r="CT86" s="180"/>
      <x:c r="CU86" s="130"/>
      <x:c r="CV86" s="130"/>
      <x:c r="CW86" s="130"/>
      <x:c r="CX86" s="130"/>
      <x:c r="CY86" s="130"/>
      <x:c r="CZ86" s="130"/>
      <x:c r="DA86" s="130"/>
      <x:c r="DB86" s="130"/>
      <x:c r="DC86" s="130"/>
      <x:c r="DD86" s="130"/>
      <x:c r="DE86" s="130"/>
      <x:c r="DF86" s="130"/>
      <x:c r="DG86" s="130"/>
      <x:c r="DH86" s="130"/>
      <x:c r="DI86" s="130"/>
      <x:c r="DJ86" s="130"/>
      <x:c r="DK86" s="130"/>
      <x:c r="DL86" s="130"/>
      <x:c r="DM86" s="130"/>
      <x:c r="DN86" s="130"/>
      <x:c r="DO86" s="130"/>
      <x:c r="DP86" s="130"/>
      <x:c r="DQ86" s="130"/>
      <x:c r="DR86" s="130"/>
      <x:c r="DS86" s="130"/>
      <x:c r="DT86" s="130"/>
      <x:c r="DU86" s="130"/>
      <x:c r="DV86" s="180"/>
      <x:c r="DW86" s="180"/>
      <x:c r="DX86" s="130"/>
      <x:c r="DY86" s="180"/>
      <x:c r="DZ86" s="130"/>
      <x:c r="EA86" s="130"/>
      <x:c r="EB86" s="180"/>
    </x:row>
    <x:row r="87">
      <x:c r="A87" s="130" t="str">
        <x:v>DRV-001    900-00-0123</x:v>
      </x:c>
      <x:c r="B87" s="130"/>
      <x:c r="C87" s="130"/>
      <x:c r="D87" s="130" t="str">
        <x:v>John T. Carter</x:v>
      </x:c>
      <x:c r="E87" s="130"/>
      <x:c r="F87" s="130"/>
      <x:c r="G87" s="130"/>
      <x:c r="H87" s="130"/>
      <x:c r="I87" s="130"/>
      <x:c r="J87" s="130"/>
      <x:c r="K87" s="130"/>
      <x:c r="L87" s="180"/>
      <x:c r="M87" s="180"/>
      <x:c r="N87" s="180"/>
      <x:c r="O87" s="130"/>
      <x:c r="P87" s="130"/>
      <x:c r="Q87" s="130"/>
      <x:c r="R87" s="130"/>
      <x:c r="S87" s="130"/>
      <x:c r="T87" s="130"/>
      <x:c r="U87" s="130"/>
      <x:c r="V87" s="130"/>
      <x:c r="W87" s="130"/>
      <x:c r="X87" s="130"/>
      <x:c r="Y87" s="130"/>
      <x:c r="Z87" s="130"/>
      <x:c r="AA87" s="130"/>
      <x:c r="AB87" s="130"/>
      <x:c r="AC87" s="130"/>
      <x:c r="AD87" s="130"/>
      <x:c r="AE87" s="180"/>
      <x:c r="AF87" s="130"/>
      <x:c r="AG87" s="130"/>
      <x:c r="AH87" s="180"/>
      <x:c r="AI87" s="130"/>
      <x:c r="AJ87" s="130"/>
      <x:c r="AK87" s="130"/>
      <x:c r="AL87" s="130"/>
      <x:c r="AM87" s="130"/>
      <x:c r="AN87" s="180"/>
      <x:c r="AO87" s="130"/>
      <x:c r="AP87" s="130"/>
      <x:c r="AQ87" s="130"/>
      <x:c r="AR87" s="130"/>
      <x:c r="AS87" s="180"/>
      <x:c r="AT87" s="130"/>
      <x:c r="AU87" s="130"/>
      <x:c r="AV87" s="130"/>
      <x:c r="AW87" s="130"/>
      <x:c r="AX87" s="180"/>
      <x:c r="AY87" s="130"/>
      <x:c r="AZ87" s="130"/>
      <x:c r="BA87" s="130"/>
      <x:c r="BB87" s="130"/>
      <x:c r="BC87" s="130"/>
      <x:c r="BD87" s="130"/>
      <x:c r="BE87" s="130"/>
      <x:c r="BF87" s="180"/>
      <x:c r="BG87" s="130"/>
      <x:c r="BH87" s="130"/>
      <x:c r="BI87" s="130"/>
      <x:c r="BJ87" s="180"/>
      <x:c r="BK87" s="130"/>
      <x:c r="BL87" s="180"/>
      <x:c r="BM87" s="130"/>
      <x:c r="BN87" s="130"/>
      <x:c r="BO87" s="130"/>
      <x:c r="BP87" s="130"/>
      <x:c r="BQ87" s="130"/>
      <x:c r="BR87" s="130"/>
      <x:c r="BS87" s="130"/>
      <x:c r="BT87" s="130"/>
      <x:c r="BU87" s="130"/>
      <x:c r="BV87" s="130"/>
      <x:c r="BW87" s="130"/>
      <x:c r="BX87" s="130"/>
      <x:c r="BY87" s="130"/>
      <x:c r="BZ87" s="130"/>
      <x:c r="CA87" s="130"/>
      <x:c r="CB87" s="130"/>
      <x:c r="CC87" s="130"/>
      <x:c r="CD87" s="130"/>
      <x:c r="CE87" s="180"/>
      <x:c r="CF87" s="180"/>
      <x:c r="CG87" s="130"/>
      <x:c r="CH87" s="130"/>
      <x:c r="CI87" s="130"/>
      <x:c r="CJ87" s="130"/>
      <x:c r="CK87" s="130"/>
      <x:c r="CL87" s="130"/>
      <x:c r="CM87" s="130"/>
      <x:c r="CN87" s="130"/>
      <x:c r="CO87" s="130"/>
      <x:c r="CP87" s="180"/>
      <x:c r="CQ87" s="180"/>
      <x:c r="CR87" s="130"/>
      <x:c r="CS87" s="130"/>
      <x:c r="CT87" s="180"/>
      <x:c r="CU87" s="130"/>
      <x:c r="CV87" s="130"/>
      <x:c r="CW87" s="130"/>
      <x:c r="CX87" s="130"/>
      <x:c r="CY87" s="130"/>
      <x:c r="CZ87" s="130"/>
      <x:c r="DA87" s="130"/>
      <x:c r="DB87" s="130"/>
      <x:c r="DC87" s="130"/>
      <x:c r="DD87" s="130"/>
      <x:c r="DE87" s="130"/>
      <x:c r="DF87" s="130"/>
      <x:c r="DG87" s="130"/>
      <x:c r="DH87" s="130"/>
      <x:c r="DI87" s="130"/>
      <x:c r="DJ87" s="130"/>
      <x:c r="DK87" s="130"/>
      <x:c r="DL87" s="130"/>
      <x:c r="DM87" s="130"/>
      <x:c r="DN87" s="130"/>
      <x:c r="DO87" s="130"/>
      <x:c r="DP87" s="130"/>
      <x:c r="DQ87" s="130"/>
      <x:c r="DR87" s="130"/>
      <x:c r="DS87" s="130"/>
      <x:c r="DT87" s="130"/>
      <x:c r="DU87" s="130"/>
      <x:c r="DV87" s="180"/>
      <x:c r="DW87" s="180"/>
      <x:c r="DX87" s="130"/>
      <x:c r="DY87" s="180"/>
      <x:c r="DZ87" s="130"/>
      <x:c r="EA87" s="130"/>
      <x:c r="EB87" s="180"/>
    </x:row>
    <x:row r="88">
      <x:c r="A88" s="130" t="str">
        <x:v>DRV-002    900-00-0105</x:v>
      </x:c>
      <x:c r="B88" s="130"/>
      <x:c r="C88" s="130"/>
      <x:c r="D88" s="130" t="str">
        <x:v>Maria E. Lopez</x:v>
      </x:c>
      <x:c r="E88" s="130"/>
      <x:c r="F88" s="130"/>
      <x:c r="G88" s="130"/>
      <x:c r="H88" s="130"/>
      <x:c r="I88" s="130"/>
      <x:c r="J88" s="130"/>
      <x:c r="K88" s="130"/>
      <x:c r="L88" s="180"/>
      <x:c r="M88" s="180"/>
      <x:c r="N88" s="180"/>
      <x:c r="O88" s="130"/>
      <x:c r="P88" s="130"/>
      <x:c r="Q88" s="130"/>
      <x:c r="R88" s="130"/>
      <x:c r="S88" s="130"/>
      <x:c r="T88" s="130"/>
      <x:c r="U88" s="130"/>
      <x:c r="V88" s="130"/>
      <x:c r="W88" s="130"/>
      <x:c r="X88" s="130"/>
      <x:c r="Y88" s="130"/>
      <x:c r="Z88" s="130"/>
      <x:c r="AA88" s="130"/>
      <x:c r="AB88" s="130"/>
      <x:c r="AC88" s="130"/>
      <x:c r="AD88" s="130"/>
      <x:c r="AE88" s="180"/>
      <x:c r="AF88" s="130"/>
      <x:c r="AG88" s="130"/>
      <x:c r="AH88" s="180"/>
      <x:c r="AI88" s="130"/>
      <x:c r="AJ88" s="130"/>
      <x:c r="AK88" s="130"/>
      <x:c r="AL88" s="130"/>
      <x:c r="AM88" s="130"/>
      <x:c r="AN88" s="180"/>
      <x:c r="AO88" s="130"/>
      <x:c r="AP88" s="130"/>
      <x:c r="AQ88" s="130"/>
      <x:c r="AR88" s="130"/>
      <x:c r="AS88" s="180"/>
      <x:c r="AT88" s="130"/>
      <x:c r="AU88" s="130"/>
      <x:c r="AV88" s="130"/>
      <x:c r="AW88" s="130"/>
      <x:c r="AX88" s="180"/>
      <x:c r="AY88" s="130"/>
      <x:c r="AZ88" s="130"/>
      <x:c r="BA88" s="130"/>
      <x:c r="BB88" s="130"/>
      <x:c r="BC88" s="130"/>
      <x:c r="BD88" s="130"/>
      <x:c r="BE88" s="130"/>
      <x:c r="BF88" s="180"/>
      <x:c r="BG88" s="130"/>
      <x:c r="BH88" s="130"/>
      <x:c r="BI88" s="130"/>
      <x:c r="BJ88" s="180"/>
      <x:c r="BK88" s="130"/>
      <x:c r="BL88" s="180"/>
      <x:c r="BM88" s="130"/>
      <x:c r="BN88" s="130"/>
      <x:c r="BO88" s="130"/>
      <x:c r="BP88" s="130"/>
      <x:c r="BQ88" s="130"/>
      <x:c r="BR88" s="130"/>
      <x:c r="BS88" s="130"/>
      <x:c r="BT88" s="130"/>
      <x:c r="BU88" s="130"/>
      <x:c r="BV88" s="130"/>
      <x:c r="BW88" s="130"/>
      <x:c r="BX88" s="130"/>
      <x:c r="BY88" s="130"/>
      <x:c r="BZ88" s="130"/>
      <x:c r="CA88" s="130"/>
      <x:c r="CB88" s="130"/>
      <x:c r="CC88" s="130"/>
      <x:c r="CD88" s="130"/>
      <x:c r="CE88" s="180"/>
      <x:c r="CF88" s="180"/>
      <x:c r="CG88" s="130"/>
      <x:c r="CH88" s="130"/>
      <x:c r="CI88" s="130"/>
      <x:c r="CJ88" s="130"/>
      <x:c r="CK88" s="130"/>
      <x:c r="CL88" s="130"/>
      <x:c r="CM88" s="130"/>
      <x:c r="CN88" s="130"/>
      <x:c r="CO88" s="130"/>
      <x:c r="CP88" s="180"/>
      <x:c r="CQ88" s="180"/>
      <x:c r="CR88" s="130"/>
      <x:c r="CS88" s="130"/>
      <x:c r="CT88" s="180"/>
      <x:c r="CU88" s="130"/>
      <x:c r="CV88" s="130"/>
      <x:c r="CW88" s="130"/>
      <x:c r="CX88" s="130"/>
      <x:c r="CY88" s="130"/>
      <x:c r="CZ88" s="130"/>
      <x:c r="DA88" s="130"/>
      <x:c r="DB88" s="130"/>
      <x:c r="DC88" s="130"/>
      <x:c r="DD88" s="130"/>
      <x:c r="DE88" s="130"/>
      <x:c r="DF88" s="130"/>
      <x:c r="DG88" s="130"/>
      <x:c r="DH88" s="130"/>
      <x:c r="DI88" s="130"/>
      <x:c r="DJ88" s="130"/>
      <x:c r="DK88" s="130"/>
      <x:c r="DL88" s="130"/>
      <x:c r="DM88" s="130"/>
      <x:c r="DN88" s="130"/>
      <x:c r="DO88" s="130"/>
      <x:c r="DP88" s="130"/>
      <x:c r="DQ88" s="130"/>
      <x:c r="DR88" s="130"/>
      <x:c r="DS88" s="130"/>
      <x:c r="DT88" s="130"/>
      <x:c r="DU88" s="130"/>
      <x:c r="DV88" s="180"/>
      <x:c r="DW88" s="180"/>
      <x:c r="DX88" s="130"/>
      <x:c r="DY88" s="180"/>
      <x:c r="DZ88" s="130"/>
      <x:c r="EA88" s="130"/>
      <x:c r="EB88" s="180"/>
    </x:row>
    <x:row r="89">
      <x:c r="A89" s="130" t="str">
        <x:v>DRV-003    900-00-0116</x:v>
      </x:c>
      <x:c r="B89" s="130"/>
      <x:c r="C89" s="130"/>
      <x:c r="D89" s="130" t="str">
        <x:v>Alex J. Kim</x:v>
      </x:c>
      <x:c r="E89" s="130"/>
      <x:c r="F89" s="130"/>
      <x:c r="G89" s="130"/>
      <x:c r="H89" s="130"/>
      <x:c r="I89" s="130"/>
      <x:c r="J89" s="130"/>
      <x:c r="K89" s="130"/>
      <x:c r="L89" s="180"/>
      <x:c r="M89" s="180"/>
      <x:c r="N89" s="180"/>
      <x:c r="O89" s="130"/>
      <x:c r="P89" s="130"/>
      <x:c r="Q89" s="130"/>
      <x:c r="R89" s="130"/>
      <x:c r="S89" s="130"/>
      <x:c r="T89" s="130"/>
      <x:c r="U89" s="130"/>
      <x:c r="V89" s="130"/>
      <x:c r="W89" s="130"/>
      <x:c r="X89" s="130"/>
      <x:c r="Y89" s="130"/>
      <x:c r="Z89" s="130"/>
      <x:c r="AA89" s="130"/>
      <x:c r="AB89" s="130"/>
      <x:c r="AC89" s="130"/>
      <x:c r="AD89" s="130"/>
      <x:c r="AE89" s="180"/>
      <x:c r="AF89" s="130"/>
      <x:c r="AG89" s="130"/>
      <x:c r="AH89" s="180"/>
      <x:c r="AI89" s="130"/>
      <x:c r="AJ89" s="130"/>
      <x:c r="AK89" s="130"/>
      <x:c r="AL89" s="130"/>
      <x:c r="AM89" s="130"/>
      <x:c r="AN89" s="180"/>
      <x:c r="AO89" s="130"/>
      <x:c r="AP89" s="130"/>
      <x:c r="AQ89" s="130"/>
      <x:c r="AR89" s="130"/>
      <x:c r="AS89" s="180"/>
      <x:c r="AT89" s="130"/>
      <x:c r="AU89" s="130"/>
      <x:c r="AV89" s="130"/>
      <x:c r="AW89" s="130"/>
      <x:c r="AX89" s="180"/>
      <x:c r="AY89" s="130"/>
      <x:c r="AZ89" s="130"/>
      <x:c r="BA89" s="130"/>
      <x:c r="BB89" s="130"/>
      <x:c r="BC89" s="130"/>
      <x:c r="BD89" s="130"/>
      <x:c r="BE89" s="130"/>
      <x:c r="BF89" s="180"/>
      <x:c r="BG89" s="130"/>
      <x:c r="BH89" s="130"/>
      <x:c r="BI89" s="130"/>
      <x:c r="BJ89" s="180"/>
      <x:c r="BK89" s="130"/>
      <x:c r="BL89" s="180"/>
      <x:c r="BM89" s="130"/>
      <x:c r="BN89" s="130"/>
      <x:c r="BO89" s="130"/>
      <x:c r="BP89" s="130"/>
      <x:c r="BQ89" s="130"/>
      <x:c r="BR89" s="130"/>
      <x:c r="BS89" s="130"/>
      <x:c r="BT89" s="130"/>
      <x:c r="BU89" s="130"/>
      <x:c r="BV89" s="130"/>
      <x:c r="BW89" s="130"/>
      <x:c r="BX89" s="130"/>
      <x:c r="BY89" s="130"/>
      <x:c r="BZ89" s="130"/>
      <x:c r="CA89" s="130"/>
      <x:c r="CB89" s="130"/>
      <x:c r="CC89" s="130"/>
      <x:c r="CD89" s="130"/>
      <x:c r="CE89" s="180"/>
      <x:c r="CF89" s="180"/>
      <x:c r="CG89" s="130"/>
      <x:c r="CH89" s="130"/>
      <x:c r="CI89" s="130"/>
      <x:c r="CJ89" s="130"/>
      <x:c r="CK89" s="130"/>
      <x:c r="CL89" s="130"/>
      <x:c r="CM89" s="130"/>
      <x:c r="CN89" s="130"/>
      <x:c r="CO89" s="130"/>
      <x:c r="CP89" s="180"/>
      <x:c r="CQ89" s="180"/>
      <x:c r="CR89" s="130"/>
      <x:c r="CS89" s="130"/>
      <x:c r="CT89" s="180"/>
      <x:c r="CU89" s="130"/>
      <x:c r="CV89" s="130"/>
      <x:c r="CW89" s="130"/>
      <x:c r="CX89" s="130"/>
      <x:c r="CY89" s="130"/>
      <x:c r="CZ89" s="130"/>
      <x:c r="DA89" s="130"/>
      <x:c r="DB89" s="130"/>
      <x:c r="DC89" s="130"/>
      <x:c r="DD89" s="130"/>
      <x:c r="DE89" s="130"/>
      <x:c r="DF89" s="130"/>
      <x:c r="DG89" s="130"/>
      <x:c r="DH89" s="130"/>
      <x:c r="DI89" s="130"/>
      <x:c r="DJ89" s="130"/>
      <x:c r="DK89" s="130"/>
      <x:c r="DL89" s="130"/>
      <x:c r="DM89" s="130"/>
      <x:c r="DN89" s="130"/>
      <x:c r="DO89" s="130"/>
      <x:c r="DP89" s="130"/>
      <x:c r="DQ89" s="130"/>
      <x:c r="DR89" s="130"/>
      <x:c r="DS89" s="130"/>
      <x:c r="DT89" s="130"/>
      <x:c r="DU89" s="130"/>
      <x:c r="DV89" s="180"/>
      <x:c r="DW89" s="180"/>
      <x:c r="DX89" s="130"/>
      <x:c r="DY89" s="180"/>
      <x:c r="DZ89" s="130"/>
      <x:c r="EA89" s="130"/>
      <x:c r="EB89" s="180"/>
    </x:row>
    <x:row r="90">
      <x:c r="A90" s="130" t="str">
        <x:v>DRV-004    900-00-0119</x:v>
      </x:c>
      <x:c r="B90" s="130"/>
      <x:c r="C90" s="130"/>
      <x:c r="D90" s="130" t="str">
        <x:v>Priya A. Patel</x:v>
      </x:c>
      <x:c r="E90" s="130"/>
      <x:c r="F90" s="130"/>
      <x:c r="G90" s="130"/>
      <x:c r="H90" s="130"/>
      <x:c r="I90" s="130"/>
      <x:c r="J90" s="130"/>
      <x:c r="K90" s="130"/>
      <x:c r="L90" s="180"/>
      <x:c r="M90" s="180"/>
      <x:c r="N90" s="180"/>
      <x:c r="O90" s="130"/>
      <x:c r="P90" s="130"/>
      <x:c r="Q90" s="130"/>
      <x:c r="R90" s="130"/>
      <x:c r="S90" s="130"/>
      <x:c r="T90" s="130"/>
      <x:c r="U90" s="130"/>
      <x:c r="V90" s="130"/>
      <x:c r="W90" s="130"/>
      <x:c r="X90" s="130"/>
      <x:c r="Y90" s="130"/>
      <x:c r="Z90" s="130"/>
      <x:c r="AA90" s="130"/>
      <x:c r="AB90" s="130"/>
      <x:c r="AC90" s="130"/>
      <x:c r="AD90" s="130"/>
      <x:c r="AE90" s="180"/>
      <x:c r="AF90" s="130"/>
      <x:c r="AG90" s="130"/>
      <x:c r="AH90" s="180"/>
      <x:c r="AI90" s="130"/>
      <x:c r="AJ90" s="130"/>
      <x:c r="AK90" s="130"/>
      <x:c r="AL90" s="130"/>
      <x:c r="AM90" s="130"/>
      <x:c r="AN90" s="180"/>
      <x:c r="AO90" s="130"/>
      <x:c r="AP90" s="130"/>
      <x:c r="AQ90" s="130"/>
      <x:c r="AR90" s="130"/>
      <x:c r="AS90" s="180"/>
      <x:c r="AT90" s="130"/>
      <x:c r="AU90" s="130"/>
      <x:c r="AV90" s="130"/>
      <x:c r="AW90" s="130"/>
      <x:c r="AX90" s="180"/>
      <x:c r="AY90" s="130"/>
      <x:c r="AZ90" s="130"/>
      <x:c r="BA90" s="130"/>
      <x:c r="BB90" s="130"/>
      <x:c r="BC90" s="130"/>
      <x:c r="BD90" s="130"/>
      <x:c r="BE90" s="130"/>
      <x:c r="BF90" s="180"/>
      <x:c r="BG90" s="130"/>
      <x:c r="BH90" s="130"/>
      <x:c r="BI90" s="130"/>
      <x:c r="BJ90" s="180"/>
      <x:c r="BK90" s="130"/>
      <x:c r="BL90" s="180"/>
      <x:c r="BM90" s="130"/>
      <x:c r="BN90" s="130"/>
      <x:c r="BO90" s="130"/>
      <x:c r="BP90" s="130"/>
      <x:c r="BQ90" s="130"/>
      <x:c r="BR90" s="130"/>
      <x:c r="BS90" s="130"/>
      <x:c r="BT90" s="130"/>
      <x:c r="BU90" s="130"/>
      <x:c r="BV90" s="130"/>
      <x:c r="BW90" s="130"/>
      <x:c r="BX90" s="130"/>
      <x:c r="BY90" s="130"/>
      <x:c r="BZ90" s="130"/>
      <x:c r="CA90" s="130"/>
      <x:c r="CB90" s="130"/>
      <x:c r="CC90" s="130"/>
      <x:c r="CD90" s="130"/>
      <x:c r="CE90" s="180"/>
      <x:c r="CF90" s="180"/>
      <x:c r="CG90" s="130"/>
      <x:c r="CH90" s="130"/>
      <x:c r="CI90" s="130"/>
      <x:c r="CJ90" s="130"/>
      <x:c r="CK90" s="130"/>
      <x:c r="CL90" s="130"/>
      <x:c r="CM90" s="130"/>
      <x:c r="CN90" s="130"/>
      <x:c r="CO90" s="130"/>
      <x:c r="CP90" s="180"/>
      <x:c r="CQ90" s="180"/>
      <x:c r="CR90" s="130"/>
      <x:c r="CS90" s="130"/>
      <x:c r="CT90" s="180"/>
      <x:c r="CU90" s="130"/>
      <x:c r="CV90" s="130"/>
      <x:c r="CW90" s="130"/>
      <x:c r="CX90" s="130"/>
      <x:c r="CY90" s="130"/>
      <x:c r="CZ90" s="130"/>
      <x:c r="DA90" s="130"/>
      <x:c r="DB90" s="130"/>
      <x:c r="DC90" s="130"/>
      <x:c r="DD90" s="130"/>
      <x:c r="DE90" s="130"/>
      <x:c r="DF90" s="130"/>
      <x:c r="DG90" s="130"/>
      <x:c r="DH90" s="130"/>
      <x:c r="DI90" s="130"/>
      <x:c r="DJ90" s="130"/>
      <x:c r="DK90" s="130"/>
      <x:c r="DL90" s="130"/>
      <x:c r="DM90" s="130"/>
      <x:c r="DN90" s="130"/>
      <x:c r="DO90" s="130"/>
      <x:c r="DP90" s="130"/>
      <x:c r="DQ90" s="130"/>
      <x:c r="DR90" s="130"/>
      <x:c r="DS90" s="130"/>
      <x:c r="DT90" s="130"/>
      <x:c r="DU90" s="130"/>
      <x:c r="DV90" s="180"/>
      <x:c r="DW90" s="180"/>
      <x:c r="DX90" s="130"/>
      <x:c r="DY90" s="180"/>
      <x:c r="DZ90" s="130"/>
      <x:c r="EA90" s="130"/>
      <x:c r="EB90" s="180"/>
    </x:row>
    <x:row r="91">
      <x:c r="A91" s="130" t="str">
        <x:v>DRV-005    900-00-0102</x:v>
      </x:c>
      <x:c r="B91" s="130"/>
      <x:c r="C91" s="130"/>
      <x:c r="D91" s="130" t="str">
        <x:v>Kenji H. Tanaka</x:v>
      </x:c>
      <x:c r="E91" s="130"/>
      <x:c r="F91" s="130"/>
      <x:c r="G91" s="130"/>
      <x:c r="H91" s="130"/>
      <x:c r="I91" s="130"/>
      <x:c r="J91" s="130"/>
      <x:c r="K91" s="130"/>
      <x:c r="L91" s="180"/>
      <x:c r="M91" s="180"/>
      <x:c r="N91" s="180"/>
      <x:c r="O91" s="130"/>
      <x:c r="P91" s="130"/>
      <x:c r="Q91" s="130"/>
      <x:c r="R91" s="130"/>
      <x:c r="S91" s="130"/>
      <x:c r="T91" s="130"/>
      <x:c r="U91" s="130"/>
      <x:c r="V91" s="130"/>
      <x:c r="W91" s="130"/>
      <x:c r="X91" s="130"/>
      <x:c r="Y91" s="130"/>
      <x:c r="Z91" s="130"/>
      <x:c r="AA91" s="130"/>
      <x:c r="AB91" s="130"/>
      <x:c r="AC91" s="130"/>
      <x:c r="AD91" s="130"/>
      <x:c r="AE91" s="180"/>
      <x:c r="AF91" s="130"/>
      <x:c r="AG91" s="130"/>
      <x:c r="AH91" s="180"/>
      <x:c r="AI91" s="130"/>
      <x:c r="AJ91" s="130"/>
      <x:c r="AK91" s="130"/>
      <x:c r="AL91" s="130"/>
      <x:c r="AM91" s="130"/>
      <x:c r="AN91" s="180"/>
      <x:c r="AO91" s="130"/>
      <x:c r="AP91" s="130"/>
      <x:c r="AQ91" s="130"/>
      <x:c r="AR91" s="130"/>
      <x:c r="AS91" s="180"/>
      <x:c r="AT91" s="130"/>
      <x:c r="AU91" s="130"/>
      <x:c r="AV91" s="130"/>
      <x:c r="AW91" s="130"/>
      <x:c r="AX91" s="180"/>
      <x:c r="AY91" s="130"/>
      <x:c r="AZ91" s="130"/>
      <x:c r="BA91" s="130"/>
      <x:c r="BB91" s="130"/>
      <x:c r="BC91" s="130"/>
      <x:c r="BD91" s="130"/>
      <x:c r="BE91" s="130"/>
      <x:c r="BF91" s="180"/>
      <x:c r="BG91" s="130"/>
      <x:c r="BH91" s="130"/>
      <x:c r="BI91" s="130"/>
      <x:c r="BJ91" s="180"/>
      <x:c r="BK91" s="130"/>
      <x:c r="BL91" s="180"/>
      <x:c r="BM91" s="130"/>
      <x:c r="BN91" s="130"/>
      <x:c r="BO91" s="130"/>
      <x:c r="BP91" s="130"/>
      <x:c r="BQ91" s="130"/>
      <x:c r="BR91" s="130"/>
      <x:c r="BS91" s="130"/>
      <x:c r="BT91" s="130"/>
      <x:c r="BU91" s="130"/>
      <x:c r="BV91" s="130"/>
      <x:c r="BW91" s="130"/>
      <x:c r="BX91" s="130"/>
      <x:c r="BY91" s="130"/>
      <x:c r="BZ91" s="130"/>
      <x:c r="CA91" s="130"/>
      <x:c r="CB91" s="130"/>
      <x:c r="CC91" s="130"/>
      <x:c r="CD91" s="130"/>
      <x:c r="CE91" s="180"/>
      <x:c r="CF91" s="180"/>
      <x:c r="CG91" s="130"/>
      <x:c r="CH91" s="130"/>
      <x:c r="CI91" s="130"/>
      <x:c r="CJ91" s="130"/>
      <x:c r="CK91" s="130"/>
      <x:c r="CL91" s="130"/>
      <x:c r="CM91" s="130"/>
      <x:c r="CN91" s="130"/>
      <x:c r="CO91" s="130"/>
      <x:c r="CP91" s="180"/>
      <x:c r="CQ91" s="180"/>
      <x:c r="CR91" s="130"/>
      <x:c r="CS91" s="130"/>
      <x:c r="CT91" s="180"/>
      <x:c r="CU91" s="130"/>
      <x:c r="CV91" s="130"/>
      <x:c r="CW91" s="130"/>
      <x:c r="CX91" s="130"/>
      <x:c r="CY91" s="130"/>
      <x:c r="CZ91" s="130"/>
      <x:c r="DA91" s="130"/>
      <x:c r="DB91" s="130"/>
      <x:c r="DC91" s="130"/>
      <x:c r="DD91" s="130"/>
      <x:c r="DE91" s="130"/>
      <x:c r="DF91" s="130"/>
      <x:c r="DG91" s="130"/>
      <x:c r="DH91" s="130"/>
      <x:c r="DI91" s="130"/>
      <x:c r="DJ91" s="130"/>
      <x:c r="DK91" s="130"/>
      <x:c r="DL91" s="130"/>
      <x:c r="DM91" s="130"/>
      <x:c r="DN91" s="130"/>
      <x:c r="DO91" s="130"/>
      <x:c r="DP91" s="130"/>
      <x:c r="DQ91" s="130"/>
      <x:c r="DR91" s="130"/>
      <x:c r="DS91" s="130"/>
      <x:c r="DT91" s="130"/>
      <x:c r="DU91" s="130"/>
      <x:c r="DV91" s="180"/>
      <x:c r="DW91" s="180"/>
      <x:c r="DX91" s="130"/>
      <x:c r="DY91" s="180"/>
      <x:c r="DZ91" s="130"/>
      <x:c r="EA91" s="130"/>
      <x:c r="EB91" s="180"/>
    </x:row>
    <x:row r="92">
      <x:c r="A92" s="130" t="str">
        <x:v>DRV-006    900-00-0101</x:v>
      </x:c>
      <x:c r="B92" s="130"/>
      <x:c r="C92" s="130"/>
      <x:c r="D92" s="130" t="str">
        <x:v>Marcus W. Chen</x:v>
      </x:c>
      <x:c r="E92" s="130"/>
      <x:c r="F92" s="130"/>
      <x:c r="G92" s="130"/>
      <x:c r="H92" s="130"/>
      <x:c r="I92" s="130"/>
      <x:c r="J92" s="130"/>
      <x:c r="K92" s="130"/>
      <x:c r="L92" s="180"/>
      <x:c r="M92" s="180"/>
      <x:c r="N92" s="180"/>
      <x:c r="O92" s="130"/>
      <x:c r="P92" s="130"/>
      <x:c r="Q92" s="130"/>
      <x:c r="R92" s="130"/>
      <x:c r="S92" s="130"/>
      <x:c r="T92" s="130"/>
      <x:c r="U92" s="130"/>
      <x:c r="V92" s="130"/>
      <x:c r="W92" s="130"/>
      <x:c r="X92" s="130"/>
      <x:c r="Y92" s="130"/>
      <x:c r="Z92" s="130"/>
      <x:c r="AA92" s="130"/>
      <x:c r="AB92" s="130"/>
      <x:c r="AC92" s="130"/>
      <x:c r="AD92" s="130"/>
      <x:c r="AE92" s="180"/>
      <x:c r="AF92" s="130"/>
      <x:c r="AG92" s="130"/>
      <x:c r="AH92" s="180"/>
      <x:c r="AI92" s="130"/>
      <x:c r="AJ92" s="130"/>
      <x:c r="AK92" s="130"/>
      <x:c r="AL92" s="130"/>
      <x:c r="AM92" s="130"/>
      <x:c r="AN92" s="180"/>
      <x:c r="AO92" s="130"/>
      <x:c r="AP92" s="130"/>
      <x:c r="AQ92" s="130"/>
      <x:c r="AR92" s="130"/>
      <x:c r="AS92" s="180"/>
      <x:c r="AT92" s="130"/>
      <x:c r="AU92" s="130"/>
      <x:c r="AV92" s="130"/>
      <x:c r="AW92" s="130"/>
      <x:c r="AX92" s="180"/>
      <x:c r="AY92" s="130"/>
      <x:c r="AZ92" s="130"/>
      <x:c r="BA92" s="130"/>
      <x:c r="BB92" s="130"/>
      <x:c r="BC92" s="130"/>
      <x:c r="BD92" s="130"/>
      <x:c r="BE92" s="130"/>
      <x:c r="BF92" s="180"/>
      <x:c r="BG92" s="130"/>
      <x:c r="BH92" s="130"/>
      <x:c r="BI92" s="130"/>
      <x:c r="BJ92" s="180"/>
      <x:c r="BK92" s="130"/>
      <x:c r="BL92" s="180"/>
      <x:c r="BM92" s="130"/>
      <x:c r="BN92" s="130"/>
      <x:c r="BO92" s="130"/>
      <x:c r="BP92" s="130"/>
      <x:c r="BQ92" s="130"/>
      <x:c r="BR92" s="130"/>
      <x:c r="BS92" s="130"/>
      <x:c r="BT92" s="130"/>
      <x:c r="BU92" s="130"/>
      <x:c r="BV92" s="130"/>
      <x:c r="BW92" s="130"/>
      <x:c r="BX92" s="130"/>
      <x:c r="BY92" s="130"/>
      <x:c r="BZ92" s="130"/>
      <x:c r="CA92" s="130"/>
      <x:c r="CB92" s="130"/>
      <x:c r="CC92" s="130"/>
      <x:c r="CD92" s="130"/>
      <x:c r="CE92" s="180"/>
      <x:c r="CF92" s="180"/>
      <x:c r="CG92" s="130"/>
      <x:c r="CH92" s="130"/>
      <x:c r="CI92" s="130"/>
      <x:c r="CJ92" s="130"/>
      <x:c r="CK92" s="130"/>
      <x:c r="CL92" s="130"/>
      <x:c r="CM92" s="130"/>
      <x:c r="CN92" s="130"/>
      <x:c r="CO92" s="130"/>
      <x:c r="CP92" s="180"/>
      <x:c r="CQ92" s="180"/>
      <x:c r="CR92" s="130"/>
      <x:c r="CS92" s="130"/>
      <x:c r="CT92" s="180"/>
      <x:c r="CU92" s="130"/>
      <x:c r="CV92" s="130"/>
      <x:c r="CW92" s="130"/>
      <x:c r="CX92" s="130"/>
      <x:c r="CY92" s="130"/>
      <x:c r="CZ92" s="130"/>
      <x:c r="DA92" s="130"/>
      <x:c r="DB92" s="130"/>
      <x:c r="DC92" s="130"/>
      <x:c r="DD92" s="130"/>
      <x:c r="DE92" s="130"/>
      <x:c r="DF92" s="130"/>
      <x:c r="DG92" s="130"/>
      <x:c r="DH92" s="130"/>
      <x:c r="DI92" s="130"/>
      <x:c r="DJ92" s="130"/>
      <x:c r="DK92" s="130"/>
      <x:c r="DL92" s="130"/>
      <x:c r="DM92" s="130"/>
      <x:c r="DN92" s="130"/>
      <x:c r="DO92" s="130"/>
      <x:c r="DP92" s="130"/>
      <x:c r="DQ92" s="130"/>
      <x:c r="DR92" s="130"/>
      <x:c r="DS92" s="130"/>
      <x:c r="DT92" s="130"/>
      <x:c r="DU92" s="130"/>
      <x:c r="DV92" s="180"/>
      <x:c r="DW92" s="180"/>
      <x:c r="DX92" s="130"/>
      <x:c r="DY92" s="180"/>
      <x:c r="DZ92" s="130"/>
      <x:c r="EA92" s="130"/>
      <x:c r="EB92" s="180"/>
    </x:row>
    <x:row r="93">
      <x:c r="A93" s="130" t="str">
        <x:v>DRV-007    900-00-0109</x:v>
      </x:c>
      <x:c r="B93" s="130"/>
      <x:c r="C93" s="130"/>
      <x:c r="D93" s="130" t="str">
        <x:v>Sofia I. Gomez</x:v>
      </x:c>
      <x:c r="E93" s="130"/>
      <x:c r="F93" s="130"/>
      <x:c r="G93" s="130"/>
      <x:c r="H93" s="130"/>
      <x:c r="I93" s="130"/>
      <x:c r="J93" s="130"/>
      <x:c r="K93" s="130"/>
      <x:c r="L93" s="180"/>
      <x:c r="M93" s="180"/>
      <x:c r="N93" s="180"/>
      <x:c r="O93" s="130"/>
      <x:c r="P93" s="130"/>
      <x:c r="Q93" s="130"/>
      <x:c r="R93" s="130"/>
      <x:c r="S93" s="130"/>
      <x:c r="T93" s="130"/>
      <x:c r="U93" s="130"/>
      <x:c r="V93" s="130"/>
      <x:c r="W93" s="130"/>
      <x:c r="X93" s="130"/>
      <x:c r="Y93" s="130"/>
      <x:c r="Z93" s="130"/>
      <x:c r="AA93" s="130"/>
      <x:c r="AB93" s="130"/>
      <x:c r="AC93" s="130"/>
      <x:c r="AD93" s="130"/>
      <x:c r="AE93" s="180"/>
      <x:c r="AF93" s="130"/>
      <x:c r="AG93" s="130"/>
      <x:c r="AH93" s="180"/>
      <x:c r="AI93" s="130"/>
      <x:c r="AJ93" s="130"/>
      <x:c r="AK93" s="130"/>
      <x:c r="AL93" s="130"/>
      <x:c r="AM93" s="130"/>
      <x:c r="AN93" s="180"/>
      <x:c r="AO93" s="130"/>
      <x:c r="AP93" s="130"/>
      <x:c r="AQ93" s="130"/>
      <x:c r="AR93" s="130"/>
      <x:c r="AS93" s="180"/>
      <x:c r="AT93" s="130"/>
      <x:c r="AU93" s="130"/>
      <x:c r="AV93" s="130"/>
      <x:c r="AW93" s="130"/>
      <x:c r="AX93" s="180"/>
      <x:c r="AY93" s="130"/>
      <x:c r="AZ93" s="130"/>
      <x:c r="BA93" s="130"/>
      <x:c r="BB93" s="130"/>
      <x:c r="BC93" s="130"/>
      <x:c r="BD93" s="130"/>
      <x:c r="BE93" s="130"/>
      <x:c r="BF93" s="180"/>
      <x:c r="BG93" s="130"/>
      <x:c r="BH93" s="130"/>
      <x:c r="BI93" s="130"/>
      <x:c r="BJ93" s="180"/>
      <x:c r="BK93" s="130"/>
      <x:c r="BL93" s="180"/>
      <x:c r="BM93" s="130"/>
      <x:c r="BN93" s="130"/>
      <x:c r="BO93" s="130"/>
      <x:c r="BP93" s="130"/>
      <x:c r="BQ93" s="130"/>
      <x:c r="BR93" s="130"/>
      <x:c r="BS93" s="130"/>
      <x:c r="BT93" s="130"/>
      <x:c r="BU93" s="130"/>
      <x:c r="BV93" s="130"/>
      <x:c r="BW93" s="130"/>
      <x:c r="BX93" s="130"/>
      <x:c r="BY93" s="130"/>
      <x:c r="BZ93" s="130"/>
      <x:c r="CA93" s="130"/>
      <x:c r="CB93" s="130"/>
      <x:c r="CC93" s="130"/>
      <x:c r="CD93" s="130"/>
      <x:c r="CE93" s="180"/>
      <x:c r="CF93" s="180"/>
      <x:c r="CG93" s="130"/>
      <x:c r="CH93" s="130"/>
      <x:c r="CI93" s="130"/>
      <x:c r="CJ93" s="130"/>
      <x:c r="CK93" s="130"/>
      <x:c r="CL93" s="130"/>
      <x:c r="CM93" s="130"/>
      <x:c r="CN93" s="130"/>
      <x:c r="CO93" s="130"/>
      <x:c r="CP93" s="180"/>
      <x:c r="CQ93" s="180"/>
      <x:c r="CR93" s="130"/>
      <x:c r="CS93" s="130"/>
      <x:c r="CT93" s="180"/>
      <x:c r="CU93" s="130"/>
      <x:c r="CV93" s="130"/>
      <x:c r="CW93" s="130"/>
      <x:c r="CX93" s="130"/>
      <x:c r="CY93" s="130"/>
      <x:c r="CZ93" s="130"/>
      <x:c r="DA93" s="130"/>
      <x:c r="DB93" s="130"/>
      <x:c r="DC93" s="130"/>
      <x:c r="DD93" s="130"/>
      <x:c r="DE93" s="130"/>
      <x:c r="DF93" s="130"/>
      <x:c r="DG93" s="130"/>
      <x:c r="DH93" s="130"/>
      <x:c r="DI93" s="130"/>
      <x:c r="DJ93" s="130"/>
      <x:c r="DK93" s="130"/>
      <x:c r="DL93" s="130"/>
      <x:c r="DM93" s="130"/>
      <x:c r="DN93" s="130"/>
      <x:c r="DO93" s="130"/>
      <x:c r="DP93" s="130"/>
      <x:c r="DQ93" s="130"/>
      <x:c r="DR93" s="130"/>
      <x:c r="DS93" s="130"/>
      <x:c r="DT93" s="130"/>
      <x:c r="DU93" s="130"/>
      <x:c r="DV93" s="180"/>
      <x:c r="DW93" s="180"/>
      <x:c r="DX93" s="130"/>
      <x:c r="DY93" s="180"/>
      <x:c r="DZ93" s="130"/>
      <x:c r="EA93" s="130"/>
      <x:c r="EB93" s="180"/>
    </x:row>
    <x:row r="94">
      <x:c r="A94" s="130" t="str">
        <x:v>DRV-008    900-00-0108</x:v>
      </x:c>
      <x:c r="B94" s="130"/>
      <x:c r="C94" s="130"/>
      <x:c r="D94" s="130" t="str">
        <x:v>Liam P. Smith</x:v>
      </x:c>
      <x:c r="E94" s="130"/>
      <x:c r="F94" s="130"/>
      <x:c r="G94" s="130"/>
      <x:c r="H94" s="130"/>
      <x:c r="I94" s="130"/>
      <x:c r="J94" s="130"/>
      <x:c r="K94" s="130"/>
      <x:c r="L94" s="180"/>
      <x:c r="M94" s="180"/>
      <x:c r="N94" s="180"/>
      <x:c r="O94" s="130"/>
      <x:c r="P94" s="130"/>
      <x:c r="Q94" s="130"/>
      <x:c r="R94" s="130"/>
      <x:c r="S94" s="130"/>
      <x:c r="T94" s="130"/>
      <x:c r="U94" s="130"/>
      <x:c r="V94" s="130"/>
      <x:c r="W94" s="130"/>
      <x:c r="X94" s="130"/>
      <x:c r="Y94" s="130"/>
      <x:c r="Z94" s="130"/>
      <x:c r="AA94" s="130"/>
      <x:c r="AB94" s="130"/>
      <x:c r="AC94" s="130"/>
      <x:c r="AD94" s="130"/>
      <x:c r="AE94" s="180"/>
      <x:c r="AF94" s="130"/>
      <x:c r="AG94" s="130"/>
      <x:c r="AH94" s="180"/>
      <x:c r="AI94" s="130"/>
      <x:c r="AJ94" s="130"/>
      <x:c r="AK94" s="130"/>
      <x:c r="AL94" s="130"/>
      <x:c r="AM94" s="130"/>
      <x:c r="AN94" s="180"/>
      <x:c r="AO94" s="130"/>
      <x:c r="AP94" s="130"/>
      <x:c r="AQ94" s="130"/>
      <x:c r="AR94" s="130"/>
      <x:c r="AS94" s="180"/>
      <x:c r="AT94" s="130"/>
      <x:c r="AU94" s="130"/>
      <x:c r="AV94" s="130"/>
      <x:c r="AW94" s="130"/>
      <x:c r="AX94" s="180"/>
      <x:c r="AY94" s="130"/>
      <x:c r="AZ94" s="130"/>
      <x:c r="BA94" s="130"/>
      <x:c r="BB94" s="130"/>
      <x:c r="BC94" s="130"/>
      <x:c r="BD94" s="130"/>
      <x:c r="BE94" s="130"/>
      <x:c r="BF94" s="180"/>
      <x:c r="BG94" s="130"/>
      <x:c r="BH94" s="130"/>
      <x:c r="BI94" s="130"/>
      <x:c r="BJ94" s="180"/>
      <x:c r="BK94" s="130"/>
      <x:c r="BL94" s="180"/>
      <x:c r="BM94" s="130"/>
      <x:c r="BN94" s="130"/>
      <x:c r="BO94" s="130"/>
      <x:c r="BP94" s="130"/>
      <x:c r="BQ94" s="130"/>
      <x:c r="BR94" s="130"/>
      <x:c r="BS94" s="130"/>
      <x:c r="BT94" s="130"/>
      <x:c r="BU94" s="130"/>
      <x:c r="BV94" s="130"/>
      <x:c r="BW94" s="130"/>
      <x:c r="BX94" s="130"/>
      <x:c r="BY94" s="130"/>
      <x:c r="BZ94" s="130"/>
      <x:c r="CA94" s="130"/>
      <x:c r="CB94" s="130"/>
      <x:c r="CC94" s="130"/>
      <x:c r="CD94" s="130"/>
      <x:c r="CE94" s="180"/>
      <x:c r="CF94" s="180"/>
      <x:c r="CG94" s="130"/>
      <x:c r="CH94" s="130"/>
      <x:c r="CI94" s="130"/>
      <x:c r="CJ94" s="130"/>
      <x:c r="CK94" s="130"/>
      <x:c r="CL94" s="130"/>
      <x:c r="CM94" s="130"/>
      <x:c r="CN94" s="130"/>
      <x:c r="CO94" s="130"/>
      <x:c r="CP94" s="180"/>
      <x:c r="CQ94" s="180"/>
      <x:c r="CR94" s="130"/>
      <x:c r="CS94" s="130"/>
      <x:c r="CT94" s="180"/>
      <x:c r="CU94" s="130"/>
      <x:c r="CV94" s="130"/>
      <x:c r="CW94" s="130"/>
      <x:c r="CX94" s="130"/>
      <x:c r="CY94" s="130"/>
      <x:c r="CZ94" s="130"/>
      <x:c r="DA94" s="130"/>
      <x:c r="DB94" s="130"/>
      <x:c r="DC94" s="130"/>
      <x:c r="DD94" s="130"/>
      <x:c r="DE94" s="130"/>
      <x:c r="DF94" s="130"/>
      <x:c r="DG94" s="130"/>
      <x:c r="DH94" s="130"/>
      <x:c r="DI94" s="130"/>
      <x:c r="DJ94" s="130"/>
      <x:c r="DK94" s="130"/>
      <x:c r="DL94" s="130"/>
      <x:c r="DM94" s="130"/>
      <x:c r="DN94" s="130"/>
      <x:c r="DO94" s="130"/>
      <x:c r="DP94" s="130"/>
      <x:c r="DQ94" s="130"/>
      <x:c r="DR94" s="130"/>
      <x:c r="DS94" s="130"/>
      <x:c r="DT94" s="130"/>
      <x:c r="DU94" s="130"/>
      <x:c r="DV94" s="180"/>
      <x:c r="DW94" s="180"/>
      <x:c r="DX94" s="130"/>
      <x:c r="DY94" s="180"/>
      <x:c r="DZ94" s="130"/>
      <x:c r="EA94" s="130"/>
      <x:c r="EB94" s="180"/>
    </x:row>
    <x:row r="95">
      <x:c r="A95" s="130" t="str">
        <x:v>DRV-009    900-00-0124</x:v>
      </x:c>
      <x:c r="B95" s="130"/>
      <x:c r="C95" s="130"/>
      <x:c r="D95" s="130" t="str">
        <x:v>Emma C. Brown</x:v>
      </x:c>
      <x:c r="E95" s="130"/>
      <x:c r="F95" s="130"/>
      <x:c r="G95" s="130"/>
      <x:c r="H95" s="130"/>
      <x:c r="I95" s="130"/>
      <x:c r="J95" s="130"/>
      <x:c r="K95" s="130"/>
      <x:c r="L95" s="180"/>
      <x:c r="M95" s="180"/>
      <x:c r="N95" s="180"/>
      <x:c r="O95" s="130"/>
      <x:c r="P95" s="130"/>
      <x:c r="Q95" s="130"/>
      <x:c r="R95" s="130"/>
      <x:c r="S95" s="130"/>
      <x:c r="T95" s="130"/>
      <x:c r="U95" s="130"/>
      <x:c r="V95" s="130"/>
      <x:c r="W95" s="130"/>
      <x:c r="X95" s="130"/>
      <x:c r="Y95" s="130"/>
      <x:c r="Z95" s="130"/>
      <x:c r="AA95" s="130"/>
      <x:c r="AB95" s="130"/>
      <x:c r="AC95" s="130"/>
      <x:c r="AD95" s="130"/>
      <x:c r="AE95" s="180"/>
      <x:c r="AF95" s="130"/>
      <x:c r="AG95" s="130"/>
      <x:c r="AH95" s="180"/>
      <x:c r="AI95" s="130"/>
      <x:c r="AJ95" s="130"/>
      <x:c r="AK95" s="130"/>
      <x:c r="AL95" s="130"/>
      <x:c r="AM95" s="130"/>
      <x:c r="AN95" s="180"/>
      <x:c r="AO95" s="130"/>
      <x:c r="AP95" s="130"/>
      <x:c r="AQ95" s="130"/>
      <x:c r="AR95" s="130"/>
      <x:c r="AS95" s="180"/>
      <x:c r="AT95" s="130"/>
      <x:c r="AU95" s="130"/>
      <x:c r="AV95" s="130"/>
      <x:c r="AW95" s="130"/>
      <x:c r="AX95" s="180"/>
      <x:c r="AY95" s="130"/>
      <x:c r="AZ95" s="130"/>
      <x:c r="BA95" s="130"/>
      <x:c r="BB95" s="130"/>
      <x:c r="BC95" s="130"/>
      <x:c r="BD95" s="130"/>
      <x:c r="BE95" s="130"/>
      <x:c r="BF95" s="180"/>
      <x:c r="BG95" s="130"/>
      <x:c r="BH95" s="130"/>
      <x:c r="BI95" s="130"/>
      <x:c r="BJ95" s="180"/>
      <x:c r="BK95" s="130"/>
      <x:c r="BL95" s="180"/>
      <x:c r="BM95" s="130"/>
      <x:c r="BN95" s="130"/>
      <x:c r="BO95" s="130"/>
      <x:c r="BP95" s="130"/>
      <x:c r="BQ95" s="130"/>
      <x:c r="BR95" s="130"/>
      <x:c r="BS95" s="130"/>
      <x:c r="BT95" s="130"/>
      <x:c r="BU95" s="130"/>
      <x:c r="BV95" s="130"/>
      <x:c r="BW95" s="130"/>
      <x:c r="BX95" s="130"/>
      <x:c r="BY95" s="130"/>
      <x:c r="BZ95" s="130"/>
      <x:c r="CA95" s="130"/>
      <x:c r="CB95" s="130"/>
      <x:c r="CC95" s="130"/>
      <x:c r="CD95" s="130"/>
      <x:c r="CE95" s="180"/>
      <x:c r="CF95" s="180"/>
      <x:c r="CG95" s="130"/>
      <x:c r="CH95" s="130"/>
      <x:c r="CI95" s="130"/>
      <x:c r="CJ95" s="130"/>
      <x:c r="CK95" s="130"/>
      <x:c r="CL95" s="130"/>
      <x:c r="CM95" s="130"/>
      <x:c r="CN95" s="130"/>
      <x:c r="CO95" s="130"/>
      <x:c r="CP95" s="180"/>
      <x:c r="CQ95" s="180"/>
      <x:c r="CR95" s="130"/>
      <x:c r="CS95" s="130"/>
      <x:c r="CT95" s="180"/>
      <x:c r="CU95" s="130"/>
      <x:c r="CV95" s="130"/>
      <x:c r="CW95" s="130"/>
      <x:c r="CX95" s="130"/>
      <x:c r="CY95" s="130"/>
      <x:c r="CZ95" s="130"/>
      <x:c r="DA95" s="130"/>
      <x:c r="DB95" s="130"/>
      <x:c r="DC95" s="130"/>
      <x:c r="DD95" s="130"/>
      <x:c r="DE95" s="130"/>
      <x:c r="DF95" s="130"/>
      <x:c r="DG95" s="130"/>
      <x:c r="DH95" s="130"/>
      <x:c r="DI95" s="130"/>
      <x:c r="DJ95" s="130"/>
      <x:c r="DK95" s="130"/>
      <x:c r="DL95" s="130"/>
      <x:c r="DM95" s="130"/>
      <x:c r="DN95" s="130"/>
      <x:c r="DO95" s="130"/>
      <x:c r="DP95" s="130"/>
      <x:c r="DQ95" s="130"/>
      <x:c r="DR95" s="130"/>
      <x:c r="DS95" s="130"/>
      <x:c r="DT95" s="130"/>
      <x:c r="DU95" s="130"/>
      <x:c r="DV95" s="180"/>
      <x:c r="DW95" s="180"/>
      <x:c r="DX95" s="130"/>
      <x:c r="DY95" s="180"/>
      <x:c r="DZ95" s="130"/>
      <x:c r="EA95" s="130"/>
      <x:c r="EB95" s="180"/>
    </x:row>
    <x:row r="96">
      <x:c r="A96" s="130" t="str">
        <x:v>DRV-010    900-00-0112</x:v>
      </x:c>
      <x:c r="B96" s="130"/>
      <x:c r="C96" s="130"/>
      <x:c r="D96" s="130" t="str">
        <x:v>Noah R. Wilson</x:v>
      </x:c>
      <x:c r="E96" s="130"/>
      <x:c r="F96" s="130"/>
      <x:c r="G96" s="130"/>
      <x:c r="H96" s="130"/>
      <x:c r="I96" s="130"/>
      <x:c r="J96" s="130"/>
      <x:c r="K96" s="130"/>
      <x:c r="L96" s="180"/>
      <x:c r="M96" s="180"/>
      <x:c r="N96" s="180"/>
      <x:c r="O96" s="130"/>
      <x:c r="P96" s="130"/>
      <x:c r="Q96" s="130"/>
      <x:c r="R96" s="130"/>
      <x:c r="S96" s="130"/>
      <x:c r="T96" s="130"/>
      <x:c r="U96" s="130"/>
      <x:c r="V96" s="130"/>
      <x:c r="W96" s="130"/>
      <x:c r="X96" s="130"/>
      <x:c r="Y96" s="130"/>
      <x:c r="Z96" s="130"/>
      <x:c r="AA96" s="130"/>
      <x:c r="AB96" s="130"/>
      <x:c r="AC96" s="130"/>
      <x:c r="AD96" s="130"/>
      <x:c r="AE96" s="180"/>
      <x:c r="AF96" s="130"/>
      <x:c r="AG96" s="130"/>
      <x:c r="AH96" s="180"/>
      <x:c r="AI96" s="130"/>
      <x:c r="AJ96" s="130"/>
      <x:c r="AK96" s="130"/>
      <x:c r="AL96" s="130"/>
      <x:c r="AM96" s="130"/>
      <x:c r="AN96" s="180"/>
      <x:c r="AO96" s="130"/>
      <x:c r="AP96" s="130"/>
      <x:c r="AQ96" s="130"/>
      <x:c r="AR96" s="130"/>
      <x:c r="AS96" s="180"/>
      <x:c r="AT96" s="130"/>
      <x:c r="AU96" s="130"/>
      <x:c r="AV96" s="130"/>
      <x:c r="AW96" s="130"/>
      <x:c r="AX96" s="180"/>
      <x:c r="AY96" s="130"/>
      <x:c r="AZ96" s="130"/>
      <x:c r="BA96" s="130"/>
      <x:c r="BB96" s="130"/>
      <x:c r="BC96" s="130"/>
      <x:c r="BD96" s="130"/>
      <x:c r="BE96" s="130"/>
      <x:c r="BF96" s="180"/>
      <x:c r="BG96" s="130"/>
      <x:c r="BH96" s="130"/>
      <x:c r="BI96" s="130"/>
      <x:c r="BJ96" s="180"/>
      <x:c r="BK96" s="130"/>
      <x:c r="BL96" s="180"/>
      <x:c r="BM96" s="130"/>
      <x:c r="BN96" s="130"/>
      <x:c r="BO96" s="130"/>
      <x:c r="BP96" s="130"/>
      <x:c r="BQ96" s="130"/>
      <x:c r="BR96" s="130"/>
      <x:c r="BS96" s="130"/>
      <x:c r="BT96" s="130"/>
      <x:c r="BU96" s="130"/>
      <x:c r="BV96" s="130"/>
      <x:c r="BW96" s="130"/>
      <x:c r="BX96" s="130"/>
      <x:c r="BY96" s="130"/>
      <x:c r="BZ96" s="130"/>
      <x:c r="CA96" s="130"/>
      <x:c r="CB96" s="130"/>
      <x:c r="CC96" s="130"/>
      <x:c r="CD96" s="130"/>
      <x:c r="CE96" s="180"/>
      <x:c r="CF96" s="180"/>
      <x:c r="CG96" s="130"/>
      <x:c r="CH96" s="130"/>
      <x:c r="CI96" s="130"/>
      <x:c r="CJ96" s="130"/>
      <x:c r="CK96" s="130"/>
      <x:c r="CL96" s="130"/>
      <x:c r="CM96" s="130"/>
      <x:c r="CN96" s="130"/>
      <x:c r="CO96" s="130"/>
      <x:c r="CP96" s="180"/>
      <x:c r="CQ96" s="180"/>
      <x:c r="CR96" s="130"/>
      <x:c r="CS96" s="130"/>
      <x:c r="CT96" s="180"/>
      <x:c r="CU96" s="130"/>
      <x:c r="CV96" s="130"/>
      <x:c r="CW96" s="130"/>
      <x:c r="CX96" s="130"/>
      <x:c r="CY96" s="130"/>
      <x:c r="CZ96" s="130"/>
      <x:c r="DA96" s="130"/>
      <x:c r="DB96" s="130"/>
      <x:c r="DC96" s="130"/>
      <x:c r="DD96" s="130"/>
      <x:c r="DE96" s="130"/>
      <x:c r="DF96" s="130"/>
      <x:c r="DG96" s="130"/>
      <x:c r="DH96" s="130"/>
      <x:c r="DI96" s="130"/>
      <x:c r="DJ96" s="130"/>
      <x:c r="DK96" s="130"/>
      <x:c r="DL96" s="130"/>
      <x:c r="DM96" s="130"/>
      <x:c r="DN96" s="130"/>
      <x:c r="DO96" s="130"/>
      <x:c r="DP96" s="130"/>
      <x:c r="DQ96" s="130"/>
      <x:c r="DR96" s="130"/>
      <x:c r="DS96" s="130"/>
      <x:c r="DT96" s="130"/>
      <x:c r="DU96" s="130"/>
      <x:c r="DV96" s="180"/>
      <x:c r="DW96" s="180"/>
      <x:c r="DX96" s="130"/>
      <x:c r="DY96" s="180"/>
      <x:c r="DZ96" s="130"/>
      <x:c r="EA96" s="130"/>
      <x:c r="EB96" s="180"/>
    </x:row>
    <x:row r="97">
      <x:c r="A97" s="130" t="str">
        <x:v>DRV-011    900-00-0111</x:v>
      </x:c>
      <x:c r="B97" s="130"/>
      <x:c r="C97" s="130"/>
      <x:c r="D97" s="130" t="str">
        <x:v>Olivia M. Lee</x:v>
      </x:c>
      <x:c r="E97" s="130"/>
      <x:c r="F97" s="130"/>
      <x:c r="G97" s="130"/>
      <x:c r="H97" s="130"/>
      <x:c r="I97" s="130"/>
      <x:c r="J97" s="130"/>
      <x:c r="K97" s="130"/>
      <x:c r="L97" s="180"/>
      <x:c r="M97" s="180"/>
      <x:c r="N97" s="180"/>
      <x:c r="O97" s="130"/>
      <x:c r="P97" s="130"/>
      <x:c r="Q97" s="130"/>
      <x:c r="R97" s="130"/>
      <x:c r="S97" s="130"/>
      <x:c r="T97" s="130"/>
      <x:c r="U97" s="130"/>
      <x:c r="V97" s="130"/>
      <x:c r="W97" s="130"/>
      <x:c r="X97" s="130"/>
      <x:c r="Y97" s="130"/>
      <x:c r="Z97" s="130"/>
      <x:c r="AA97" s="130"/>
      <x:c r="AB97" s="130"/>
      <x:c r="AC97" s="130"/>
      <x:c r="AD97" s="130"/>
      <x:c r="AE97" s="180"/>
      <x:c r="AF97" s="130"/>
      <x:c r="AG97" s="130"/>
      <x:c r="AH97" s="180"/>
      <x:c r="AI97" s="130"/>
      <x:c r="AJ97" s="130"/>
      <x:c r="AK97" s="130"/>
      <x:c r="AL97" s="130"/>
      <x:c r="AM97" s="130"/>
      <x:c r="AN97" s="180"/>
      <x:c r="AO97" s="130"/>
      <x:c r="AP97" s="130"/>
      <x:c r="AQ97" s="130"/>
      <x:c r="AR97" s="130"/>
      <x:c r="AS97" s="180"/>
      <x:c r="AT97" s="130"/>
      <x:c r="AU97" s="130"/>
      <x:c r="AV97" s="130"/>
      <x:c r="AW97" s="130"/>
      <x:c r="AX97" s="180"/>
      <x:c r="AY97" s="130"/>
      <x:c r="AZ97" s="130"/>
      <x:c r="BA97" s="130"/>
      <x:c r="BB97" s="130"/>
      <x:c r="BC97" s="130"/>
      <x:c r="BD97" s="130"/>
      <x:c r="BE97" s="130"/>
      <x:c r="BF97" s="180"/>
      <x:c r="BG97" s="130"/>
      <x:c r="BH97" s="130"/>
      <x:c r="BI97" s="130"/>
      <x:c r="BJ97" s="180"/>
      <x:c r="BK97" s="130"/>
      <x:c r="BL97" s="180"/>
      <x:c r="BM97" s="130"/>
      <x:c r="BN97" s="130"/>
      <x:c r="BO97" s="130"/>
      <x:c r="BP97" s="130"/>
      <x:c r="BQ97" s="130"/>
      <x:c r="BR97" s="130"/>
      <x:c r="BS97" s="130"/>
      <x:c r="BT97" s="130"/>
      <x:c r="BU97" s="130"/>
      <x:c r="BV97" s="130"/>
      <x:c r="BW97" s="130"/>
      <x:c r="BX97" s="130"/>
      <x:c r="BY97" s="130"/>
      <x:c r="BZ97" s="130"/>
      <x:c r="CA97" s="130"/>
      <x:c r="CB97" s="130"/>
      <x:c r="CC97" s="130"/>
      <x:c r="CD97" s="130"/>
      <x:c r="CE97" s="180"/>
      <x:c r="CF97" s="180"/>
      <x:c r="CG97" s="130"/>
      <x:c r="CH97" s="130"/>
      <x:c r="CI97" s="130"/>
      <x:c r="CJ97" s="130"/>
      <x:c r="CK97" s="130"/>
      <x:c r="CL97" s="130"/>
      <x:c r="CM97" s="130"/>
      <x:c r="CN97" s="130"/>
      <x:c r="CO97" s="130"/>
      <x:c r="CP97" s="180"/>
      <x:c r="CQ97" s="180"/>
      <x:c r="CR97" s="130"/>
      <x:c r="CS97" s="130"/>
      <x:c r="CT97" s="180"/>
      <x:c r="CU97" s="130"/>
      <x:c r="CV97" s="130"/>
      <x:c r="CW97" s="130"/>
      <x:c r="CX97" s="130"/>
      <x:c r="CY97" s="130"/>
      <x:c r="CZ97" s="130"/>
      <x:c r="DA97" s="130"/>
      <x:c r="DB97" s="130"/>
      <x:c r="DC97" s="130"/>
      <x:c r="DD97" s="130"/>
      <x:c r="DE97" s="130"/>
      <x:c r="DF97" s="130"/>
      <x:c r="DG97" s="130"/>
      <x:c r="DH97" s="130"/>
      <x:c r="DI97" s="130"/>
      <x:c r="DJ97" s="130"/>
      <x:c r="DK97" s="130"/>
      <x:c r="DL97" s="130"/>
      <x:c r="DM97" s="130"/>
      <x:c r="DN97" s="130"/>
      <x:c r="DO97" s="130"/>
      <x:c r="DP97" s="130"/>
      <x:c r="DQ97" s="130"/>
      <x:c r="DR97" s="130"/>
      <x:c r="DS97" s="130"/>
      <x:c r="DT97" s="130"/>
      <x:c r="DU97" s="130"/>
      <x:c r="DV97" s="180"/>
      <x:c r="DW97" s="180"/>
      <x:c r="DX97" s="130"/>
      <x:c r="DY97" s="180"/>
      <x:c r="DZ97" s="130"/>
      <x:c r="EA97" s="130"/>
      <x:c r="EB97" s="180"/>
    </x:row>
    <x:row r="98">
      <x:c r="A98" s="130" t="str">
        <x:v>DRV-012    900-00-0114</x:v>
      </x:c>
      <x:c r="B98" s="130"/>
      <x:c r="C98" s="130"/>
      <x:c r="D98" s="130" t="str">
        <x:v>Robert D. Johnson</x:v>
      </x:c>
      <x:c r="E98" s="130"/>
      <x:c r="F98" s="130"/>
      <x:c r="G98" s="130"/>
      <x:c r="H98" s="130"/>
      <x:c r="I98" s="130"/>
      <x:c r="J98" s="130"/>
      <x:c r="K98" s="130"/>
      <x:c r="L98" s="180"/>
      <x:c r="M98" s="180"/>
      <x:c r="N98" s="180"/>
      <x:c r="O98" s="130"/>
      <x:c r="P98" s="130"/>
      <x:c r="Q98" s="130"/>
      <x:c r="R98" s="130"/>
      <x:c r="S98" s="130"/>
      <x:c r="T98" s="130"/>
      <x:c r="U98" s="130"/>
      <x:c r="V98" s="130"/>
      <x:c r="W98" s="130"/>
      <x:c r="X98" s="130"/>
      <x:c r="Y98" s="130"/>
      <x:c r="Z98" s="130"/>
      <x:c r="AA98" s="130"/>
      <x:c r="AB98" s="130"/>
      <x:c r="AC98" s="130"/>
      <x:c r="AD98" s="130"/>
      <x:c r="AE98" s="180"/>
      <x:c r="AF98" s="130"/>
      <x:c r="AG98" s="130"/>
      <x:c r="AH98" s="180"/>
      <x:c r="AI98" s="130"/>
      <x:c r="AJ98" s="130"/>
      <x:c r="AK98" s="130"/>
      <x:c r="AL98" s="130"/>
      <x:c r="AM98" s="130"/>
      <x:c r="AN98" s="180"/>
      <x:c r="AO98" s="130"/>
      <x:c r="AP98" s="130"/>
      <x:c r="AQ98" s="130"/>
      <x:c r="AR98" s="130"/>
      <x:c r="AS98" s="180"/>
      <x:c r="AT98" s="130"/>
      <x:c r="AU98" s="130"/>
      <x:c r="AV98" s="130"/>
      <x:c r="AW98" s="130"/>
      <x:c r="AX98" s="180"/>
      <x:c r="AY98" s="130"/>
      <x:c r="AZ98" s="130"/>
      <x:c r="BA98" s="130"/>
      <x:c r="BB98" s="130"/>
      <x:c r="BC98" s="130"/>
      <x:c r="BD98" s="130"/>
      <x:c r="BE98" s="130"/>
      <x:c r="BF98" s="180"/>
      <x:c r="BG98" s="130"/>
      <x:c r="BH98" s="130"/>
      <x:c r="BI98" s="130"/>
      <x:c r="BJ98" s="180"/>
      <x:c r="BK98" s="130"/>
      <x:c r="BL98" s="180"/>
      <x:c r="BM98" s="130"/>
      <x:c r="BN98" s="130"/>
      <x:c r="BO98" s="130"/>
      <x:c r="BP98" s="130"/>
      <x:c r="BQ98" s="130"/>
      <x:c r="BR98" s="130"/>
      <x:c r="BS98" s="130"/>
      <x:c r="BT98" s="130"/>
      <x:c r="BU98" s="130"/>
      <x:c r="BV98" s="130"/>
      <x:c r="BW98" s="130"/>
      <x:c r="BX98" s="130"/>
      <x:c r="BY98" s="130"/>
      <x:c r="BZ98" s="130"/>
      <x:c r="CA98" s="130"/>
      <x:c r="CB98" s="130"/>
      <x:c r="CC98" s="130"/>
      <x:c r="CD98" s="130"/>
      <x:c r="CE98" s="180"/>
      <x:c r="CF98" s="180"/>
      <x:c r="CG98" s="130"/>
      <x:c r="CH98" s="130"/>
      <x:c r="CI98" s="130"/>
      <x:c r="CJ98" s="130"/>
      <x:c r="CK98" s="130"/>
      <x:c r="CL98" s="130"/>
      <x:c r="CM98" s="130"/>
      <x:c r="CN98" s="130"/>
      <x:c r="CO98" s="130"/>
      <x:c r="CP98" s="180"/>
      <x:c r="CQ98" s="180"/>
      <x:c r="CR98" s="130"/>
      <x:c r="CS98" s="130"/>
      <x:c r="CT98" s="180"/>
      <x:c r="CU98" s="130"/>
      <x:c r="CV98" s="130"/>
      <x:c r="CW98" s="130"/>
      <x:c r="CX98" s="130"/>
      <x:c r="CY98" s="130"/>
      <x:c r="CZ98" s="130"/>
      <x:c r="DA98" s="130"/>
      <x:c r="DB98" s="130"/>
      <x:c r="DC98" s="130"/>
      <x:c r="DD98" s="130"/>
      <x:c r="DE98" s="130"/>
      <x:c r="DF98" s="130"/>
      <x:c r="DG98" s="130"/>
      <x:c r="DH98" s="130"/>
      <x:c r="DI98" s="130"/>
      <x:c r="DJ98" s="130"/>
      <x:c r="DK98" s="130"/>
      <x:c r="DL98" s="130"/>
      <x:c r="DM98" s="130"/>
      <x:c r="DN98" s="130"/>
      <x:c r="DO98" s="130"/>
      <x:c r="DP98" s="130"/>
      <x:c r="DQ98" s="130"/>
      <x:c r="DR98" s="130"/>
      <x:c r="DS98" s="130"/>
      <x:c r="DT98" s="130"/>
      <x:c r="DU98" s="130"/>
      <x:c r="DV98" s="180"/>
      <x:c r="DW98" s="180"/>
      <x:c r="DX98" s="130"/>
      <x:c r="DY98" s="180"/>
      <x:c r="DZ98" s="130"/>
      <x:c r="EA98" s="130"/>
      <x:c r="EB98" s="18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179" t="str">
        <x:v>Driver ID</x:v>
      </x:c>
      <x:c r="B1" s="179" t="str">
        <x:v>Full Name</x:v>
      </x:c>
      <x:c r="C1" s="179" t="str">
        <x:v>Document Type</x:v>
      </x:c>
      <x:c r="D1" s="179" t="str">
        <x:v>Status</x:v>
      </x:c>
      <x:c r="E1" s="179" t="str">
        <x:v>Document Number</x:v>
      </x:c>
      <x:c r="F1" s="179" t="str">
        <x:v>CDL Expiration</x:v>
      </x:c>
      <x:c r="G1" s="179" t="str">
        <x:v>Med Card Expiration</x:v>
      </x:c>
      <x:c r="H1" s="179" t="str">
        <x:v>MVR Expiration</x:v>
      </x:c>
      <x:c r="I1" s="179" t="str">
        <x:v>Medical Issue Date</x:v>
      </x:c>
      <x:c r="J1" s="179" t="str">
        <x:v>Medical Certificate Number</x:v>
      </x:c>
      <x:c r="K1" s="179" t="str">
        <x:v>Medical Examiner Name</x:v>
      </x:c>
      <x:c r="L1" s="179" t="str">
        <x:v>5876 Certificate Expiration Date</x:v>
      </x:c>
      <x:c r="M1" s="179" t="str">
        <x:v>5876 Date Certificate Signed</x:v>
      </x:c>
      <x:c r="N1" s="179" t="str">
        <x:v>DQF Status</x:v>
      </x:c>
      <x:c r="O1" s="179" t="str">
        <x:v>Source Row</x:v>
      </x:c>
    </x:row>
    <x:row r="2">
      <x:c r="A2" s="130" t="str">
        <x:v>DRV-001</x:v>
      </x:c>
      <x:c r="B2" s="130" t="str">
        <x:v>John Carter</x:v>
      </x:c>
      <x:c r="C2" s="130" t="str">
        <x:v>CDL Summary</x:v>
      </x:c>
      <x:c r="D2" s="130" t="str">
        <x:v>VALID</x:v>
      </x:c>
      <x:c r="E2" s="130" t="str">
        <x:v>OH0000075</x:v>
      </x:c>
      <x:c r="F2" s="180" t="n">
        <x:v>46621</x:v>
      </x:c>
      <x:c r="G2" s="180" t="n">
        <x:v>46272</x:v>
      </x:c>
      <x:c r="H2" s="180" t="n">
        <x:v>46310</x:v>
      </x:c>
      <x:c r="I2" s="180" t="n">
        <x:v>45364</x:v>
      </x:c>
      <x:c r="J2" s="130" t="str">
        <x:v>MC-0010108</x:v>
      </x:c>
      <x:c r="K2" s="130" t="str">
        <x:v>Dr. Patricia Owens</x:v>
      </x:c>
      <x:c r="L2" s="180" t="n">
        <x:v>46094</x:v>
      </x:c>
      <x:c r="M2" s="180" t="n">
        <x:v>45364</x:v>
      </x:c>
      <x:c r="N2" s="130" t="str">
        <x:v>Complete</x:v>
      </x:c>
      <x:c r="O2" s="130" t="n">
        <x:v>2</x:v>
      </x:c>
    </x:row>
    <x:row r="3">
      <x:c r="A3" s="130" t="str">
        <x:v>DRV-001</x:v>
      </x:c>
      <x:c r="B3" s="130" t="str">
        <x:v>John Carter</x:v>
      </x:c>
      <x:c r="C3" s="130" t="str">
        <x:v>Medical Certification</x:v>
      </x:c>
      <x:c r="D3" s="130" t="str">
        <x:v>VALID</x:v>
      </x:c>
      <x:c r="E3" s="130" t="str">
        <x:v>OH0000092</x:v>
      </x:c>
      <x:c r="F3" s="180" t="n">
        <x:v>46621</x:v>
      </x:c>
      <x:c r="G3" s="180" t="n">
        <x:v>46273</x:v>
      </x:c>
      <x:c r="H3" s="180" t="n">
        <x:v>46311</x:v>
      </x:c>
      <x:c r="I3" s="180" t="n">
        <x:v>45364</x:v>
      </x:c>
      <x:c r="J3" s="130" t="str">
        <x:v>MC-0010108</x:v>
      </x:c>
      <x:c r="K3" s="130" t="str">
        <x:v>Dr. Patricia Owens</x:v>
      </x:c>
      <x:c r="L3" s="180" t="n">
        <x:v>46094</x:v>
      </x:c>
      <x:c r="M3" s="180" t="n">
        <x:v>45364</x:v>
      </x:c>
      <x:c r="N3" s="130" t="str">
        <x:v>Complete</x:v>
      </x:c>
      <x:c r="O3" s="130" t="n">
        <x:v>3</x:v>
      </x:c>
    </x:row>
    <x:row r="4">
      <x:c r="A4" s="130" t="str">
        <x:v>DRV-001</x:v>
      </x:c>
      <x:c r="B4" s="130" t="str">
        <x:v>John Carter</x:v>
      </x:c>
      <x:c r="C4" s="130" t="str">
        <x:v>MVR Background Report</x:v>
      </x:c>
      <x:c r="D4" s="130" t="str">
        <x:v>VALID</x:v>
      </x:c>
      <x:c r="E4" s="130" t="str">
        <x:v>OH0000111</x:v>
      </x:c>
      <x:c r="F4" s="180" t="n">
        <x:v>46621</x:v>
      </x:c>
      <x:c r="G4" s="180" t="n">
        <x:v>46274</x:v>
      </x:c>
      <x:c r="H4" s="180" t="n">
        <x:v>46312</x:v>
      </x:c>
      <x:c r="I4" s="180" t="n">
        <x:v>45364</x:v>
      </x:c>
      <x:c r="J4" s="130" t="str">
        <x:v>MC-0010108</x:v>
      </x:c>
      <x:c r="K4" s="130" t="str">
        <x:v>Dr. Patricia Owens</x:v>
      </x:c>
      <x:c r="L4" s="180" t="n">
        <x:v>46094</x:v>
      </x:c>
      <x:c r="M4" s="180" t="n">
        <x:v>45364</x:v>
      </x:c>
      <x:c r="N4" s="130" t="str">
        <x:v>Complete</x:v>
      </x:c>
      <x:c r="O4" s="130" t="n">
        <x:v>4</x:v>
      </x:c>
    </x:row>
    <x:row r="5">
      <x:c r="A5" s="130" t="str">
        <x:v>DRV-001</x:v>
      </x:c>
      <x:c r="B5" s="130" t="str">
        <x:v>John Carter</x:v>
      </x:c>
      <x:c r="C5" s="130" t="str">
        <x:v>Driver Application</x:v>
      </x:c>
      <x:c r="D5" s="130" t="str">
        <x:v>VALID</x:v>
      </x:c>
      <x:c r="E5" s="130" t="str">
        <x:v>OH0000127</x:v>
      </x:c>
      <x:c r="F5" s="180" t="n">
        <x:v>46621</x:v>
      </x:c>
      <x:c r="G5" s="180" t="n">
        <x:v>46275</x:v>
      </x:c>
      <x:c r="H5" s="180" t="n">
        <x:v>46313</x:v>
      </x:c>
      <x:c r="I5" s="180" t="n">
        <x:v>45364</x:v>
      </x:c>
      <x:c r="J5" s="130" t="str">
        <x:v>MC-0010108</x:v>
      </x:c>
      <x:c r="K5" s="130" t="str">
        <x:v>Dr. Patricia Owens</x:v>
      </x:c>
      <x:c r="L5" s="180" t="n">
        <x:v>46094</x:v>
      </x:c>
      <x:c r="M5" s="180" t="n">
        <x:v>45364</x:v>
      </x:c>
      <x:c r="N5" s="130" t="str">
        <x:v>Complete</x:v>
      </x:c>
      <x:c r="O5" s="130" t="n">
        <x:v>5</x:v>
      </x:c>
    </x:row>
    <x:row r="6">
      <x:c r="A6" s="130" t="str">
        <x:v>DRV-001</x:v>
      </x:c>
      <x:c r="B6" s="130" t="str">
        <x:v>John Carter</x:v>
      </x:c>
      <x:c r="C6" s="130" t="str">
        <x:v>Road Test Certificate</x:v>
      </x:c>
      <x:c r="D6" s="130" t="str">
        <x:v>VALID</x:v>
      </x:c>
      <x:c r="E6" s="130" t="str">
        <x:v>OH0000137</x:v>
      </x:c>
      <x:c r="F6" s="180" t="n">
        <x:v>46621</x:v>
      </x:c>
      <x:c r="G6" s="180" t="n">
        <x:v>46276</x:v>
      </x:c>
      <x:c r="H6" s="180" t="n">
        <x:v>46314</x:v>
      </x:c>
      <x:c r="I6" s="180" t="n">
        <x:v>45364</x:v>
      </x:c>
      <x:c r="J6" s="130" t="str">
        <x:v>MC-0010108</x:v>
      </x:c>
      <x:c r="K6" s="130" t="str">
        <x:v>Dr. Patricia Owens</x:v>
      </x:c>
      <x:c r="L6" s="180" t="n">
        <x:v>46094</x:v>
      </x:c>
      <x:c r="M6" s="180" t="n">
        <x:v>45364</x:v>
      </x:c>
      <x:c r="N6" s="130" t="str">
        <x:v>Complete</x:v>
      </x:c>
      <x:c r="O6" s="130" t="n">
        <x:v>6</x:v>
      </x:c>
    </x:row>
    <x:row r="7">
      <x:c r="A7" s="130" t="str">
        <x:v>DRV-001</x:v>
      </x:c>
      <x:c r="B7" s="130" t="str">
        <x:v>John Carter</x:v>
      </x:c>
      <x:c r="C7" s="130" t="str">
        <x:v>Incident/Accident Report</x:v>
      </x:c>
      <x:c r="D7" s="130" t="str">
        <x:v>VALID</x:v>
      </x:c>
      <x:c r="E7" s="130" t="str">
        <x:v>OH0000138</x:v>
      </x:c>
      <x:c r="F7" s="180" t="n">
        <x:v>46621</x:v>
      </x:c>
      <x:c r="G7" s="180" t="n">
        <x:v>46277</x:v>
      </x:c>
      <x:c r="H7" s="180" t="n">
        <x:v>46315</x:v>
      </x:c>
      <x:c r="I7" s="180" t="n">
        <x:v>45364</x:v>
      </x:c>
      <x:c r="J7" s="130" t="str">
        <x:v>MC-0010108</x:v>
      </x:c>
      <x:c r="K7" s="130" t="str">
        <x:v>Dr. Patricia Owens</x:v>
      </x:c>
      <x:c r="L7" s="180" t="n">
        <x:v>46094</x:v>
      </x:c>
      <x:c r="M7" s="180" t="n">
        <x:v>45364</x:v>
      </x:c>
      <x:c r="N7" s="130" t="str">
        <x:v>Complete</x:v>
      </x:c>
      <x:c r="O7" s="130" t="n">
        <x:v>7</x:v>
      </x:c>
    </x:row>
    <x:row r="8">
      <x:c r="A8" s="130" t="str">
        <x:v>DRV-001</x:v>
      </x:c>
      <x:c r="B8" s="130" t="str">
        <x:v>John Carter</x:v>
      </x:c>
      <x:c r="C8" s="130" t="str">
        <x:v>Direct Deposit Form</x:v>
      </x:c>
      <x:c r="D8" s="130" t="str">
        <x:v>VALID</x:v>
      </x:c>
      <x:c r="E8" s="130" t="str">
        <x:v>OH0000124</x:v>
      </x:c>
      <x:c r="F8" s="180" t="n">
        <x:v>46621</x:v>
      </x:c>
      <x:c r="G8" s="180" t="n">
        <x:v>46278</x:v>
      </x:c>
      <x:c r="H8" s="180" t="n">
        <x:v>46316</x:v>
      </x:c>
      <x:c r="I8" s="180" t="n">
        <x:v>45364</x:v>
      </x:c>
      <x:c r="J8" s="130" t="str">
        <x:v>MC-0010108</x:v>
      </x:c>
      <x:c r="K8" s="130" t="str">
        <x:v>Dr. Patricia Owens</x:v>
      </x:c>
      <x:c r="L8" s="180" t="n">
        <x:v>46094</x:v>
      </x:c>
      <x:c r="M8" s="180" t="n">
        <x:v>45364</x:v>
      </x:c>
      <x:c r="N8" s="130" t="str">
        <x:v>Complete</x:v>
      </x:c>
      <x:c r="O8" s="130" t="n">
        <x:v>8</x:v>
      </x:c>
    </x:row>
    <x:row r="9">
      <x:c r="A9" s="130" t="str">
        <x:v>DRV-002</x:v>
      </x:c>
      <x:c r="B9" s="130" t="str">
        <x:v>Maria Lopez</x:v>
      </x:c>
      <x:c r="C9" s="130" t="str">
        <x:v>CDL Summary</x:v>
      </x:c>
      <x:c r="D9" s="130" t="str">
        <x:v>VALID</x:v>
      </x:c>
      <x:c r="E9" s="130" t="str">
        <x:v>IL0000041</x:v>
      </x:c>
      <x:c r="F9" s="180" t="n">
        <x:v>46518</x:v>
      </x:c>
      <x:c r="G9" s="180" t="n">
        <x:v>46596</x:v>
      </x:c>
      <x:c r="H9" s="180" t="n">
        <x:v>46455</x:v>
      </x:c>
      <x:c r="I9" s="180" t="n">
        <x:v>45866</x:v>
      </x:c>
      <x:c r="J9" s="130" t="str">
        <x:v>MC-0020104</x:v>
      </x:c>
      <x:c r="K9" s="130" t="str">
        <x:v>Dr. Kevin Marshall</x:v>
      </x:c>
      <x:c r="L9" s="180" t="n">
        <x:v>46596</x:v>
      </x:c>
      <x:c r="M9" s="180" t="n">
        <x:v>45866</x:v>
      </x:c>
      <x:c r="N9" s="130" t="str">
        <x:v>Complete</x:v>
      </x:c>
      <x:c r="O9" s="130" t="n">
        <x:v>9</x:v>
      </x:c>
    </x:row>
    <x:row r="10">
      <x:c r="A10" s="130" t="str">
        <x:v>DRV-002</x:v>
      </x:c>
      <x:c r="B10" s="130" t="str">
        <x:v>Maria Lopez</x:v>
      </x:c>
      <x:c r="C10" s="130" t="str">
        <x:v>Medical Certification</x:v>
      </x:c>
      <x:c r="D10" s="130" t="str">
        <x:v>VALID</x:v>
      </x:c>
      <x:c r="E10" s="130" t="str">
        <x:v>IL0000068</x:v>
      </x:c>
      <x:c r="F10" s="180" t="n">
        <x:v>46518</x:v>
      </x:c>
      <x:c r="G10" s="180" t="n">
        <x:v>46596</x:v>
      </x:c>
      <x:c r="H10" s="180" t="n">
        <x:v>46455</x:v>
      </x:c>
      <x:c r="I10" s="180" t="n">
        <x:v>45866</x:v>
      </x:c>
      <x:c r="J10" s="130" t="str">
        <x:v>MC-0020104</x:v>
      </x:c>
      <x:c r="K10" s="130" t="str">
        <x:v>Dr. Kevin Marshall</x:v>
      </x:c>
      <x:c r="L10" s="180" t="n">
        <x:v>46596</x:v>
      </x:c>
      <x:c r="M10" s="180" t="n">
        <x:v>45866</x:v>
      </x:c>
      <x:c r="N10" s="130" t="str">
        <x:v>Complete</x:v>
      </x:c>
      <x:c r="O10" s="130" t="n">
        <x:v>10</x:v>
      </x:c>
    </x:row>
    <x:row r="11">
      <x:c r="A11" s="130" t="str">
        <x:v>DRV-002</x:v>
      </x:c>
      <x:c r="B11" s="130" t="str">
        <x:v>Maria Lopez</x:v>
      </x:c>
      <x:c r="C11" s="130" t="str">
        <x:v>MVR Background Report</x:v>
      </x:c>
      <x:c r="D11" s="130" t="str">
        <x:v>VALID</x:v>
      </x:c>
      <x:c r="E11" s="130" t="str">
        <x:v>IL0000056</x:v>
      </x:c>
      <x:c r="F11" s="180" t="n">
        <x:v>46518</x:v>
      </x:c>
      <x:c r="G11" s="180" t="n">
        <x:v>46596</x:v>
      </x:c>
      <x:c r="H11" s="180" t="n">
        <x:v>46455</x:v>
      </x:c>
      <x:c r="I11" s="180" t="n">
        <x:v>45866</x:v>
      </x:c>
      <x:c r="J11" s="130" t="str">
        <x:v>MC-0020104</x:v>
      </x:c>
      <x:c r="K11" s="130" t="str">
        <x:v>Dr. Kevin Marshall</x:v>
      </x:c>
      <x:c r="L11" s="180" t="n">
        <x:v>46596</x:v>
      </x:c>
      <x:c r="M11" s="180" t="n">
        <x:v>45866</x:v>
      </x:c>
      <x:c r="N11" s="130" t="str">
        <x:v>Complete</x:v>
      </x:c>
      <x:c r="O11" s="130" t="n">
        <x:v>11</x:v>
      </x:c>
    </x:row>
    <x:row r="12">
      <x:c r="A12" s="130" t="str">
        <x:v>DRV-002</x:v>
      </x:c>
      <x:c r="B12" s="130" t="str">
        <x:v>Maria Lopez</x:v>
      </x:c>
      <x:c r="C12" s="130" t="str">
        <x:v>Driver Application</x:v>
      </x:c>
      <x:c r="D12" s="130" t="str">
        <x:v>VALID</x:v>
      </x:c>
      <x:c r="E12" s="130" t="str">
        <x:v>IL0000065</x:v>
      </x:c>
      <x:c r="F12" s="180" t="n">
        <x:v>46518</x:v>
      </x:c>
      <x:c r="G12" s="180" t="n">
        <x:v>46596</x:v>
      </x:c>
      <x:c r="H12" s="180" t="n">
        <x:v>46455</x:v>
      </x:c>
      <x:c r="I12" s="180" t="n">
        <x:v>45866</x:v>
      </x:c>
      <x:c r="J12" s="130" t="str">
        <x:v>MC-0020104</x:v>
      </x:c>
      <x:c r="K12" s="130" t="str">
        <x:v>Dr. Kevin Marshall</x:v>
      </x:c>
      <x:c r="L12" s="180" t="n">
        <x:v>46596</x:v>
      </x:c>
      <x:c r="M12" s="180" t="n">
        <x:v>45866</x:v>
      </x:c>
      <x:c r="N12" s="130" t="str">
        <x:v>Complete</x:v>
      </x:c>
      <x:c r="O12" s="130" t="n">
        <x:v>12</x:v>
      </x:c>
    </x:row>
    <x:row r="13">
      <x:c r="A13" s="130" t="str">
        <x:v>DRV-002</x:v>
      </x:c>
      <x:c r="B13" s="130" t="str">
        <x:v>Maria Lopez</x:v>
      </x:c>
      <x:c r="C13" s="130" t="str">
        <x:v>Road Test Certificate</x:v>
      </x:c>
      <x:c r="D13" s="130" t="str">
        <x:v>VALID</x:v>
      </x:c>
      <x:c r="E13" s="130" t="str">
        <x:v>IL0000067</x:v>
      </x:c>
      <x:c r="F13" s="180" t="n">
        <x:v>46518</x:v>
      </x:c>
      <x:c r="G13" s="180" t="n">
        <x:v>46596</x:v>
      </x:c>
      <x:c r="H13" s="180" t="n">
        <x:v>46455</x:v>
      </x:c>
      <x:c r="I13" s="180" t="n">
        <x:v>45866</x:v>
      </x:c>
      <x:c r="J13" s="130" t="str">
        <x:v>MC-0020104</x:v>
      </x:c>
      <x:c r="K13" s="130" t="str">
        <x:v>Dr. Kevin Marshall</x:v>
      </x:c>
      <x:c r="L13" s="180" t="n">
        <x:v>46596</x:v>
      </x:c>
      <x:c r="M13" s="180" t="n">
        <x:v>45866</x:v>
      </x:c>
      <x:c r="N13" s="130" t="str">
        <x:v>Complete</x:v>
      </x:c>
      <x:c r="O13" s="130" t="n">
        <x:v>13</x:v>
      </x:c>
    </x:row>
    <x:row r="14">
      <x:c r="A14" s="130" t="str">
        <x:v>DRV-002</x:v>
      </x:c>
      <x:c r="B14" s="130" t="str">
        <x:v>Maria Lopez</x:v>
      </x:c>
      <x:c r="C14" s="130" t="str">
        <x:v>Incident/Accident Report</x:v>
      </x:c>
      <x:c r="D14" s="130" t="str">
        <x:v>VALID</x:v>
      </x:c>
      <x:c r="E14" s="130" t="str">
        <x:v>IL0000058</x:v>
      </x:c>
      <x:c r="F14" s="180" t="n">
        <x:v>46518</x:v>
      </x:c>
      <x:c r="G14" s="180" t="n">
        <x:v>46596</x:v>
      </x:c>
      <x:c r="H14" s="180" t="n">
        <x:v>46455</x:v>
      </x:c>
      <x:c r="I14" s="180" t="n">
        <x:v>45866</x:v>
      </x:c>
      <x:c r="J14" s="130" t="str">
        <x:v>MC-0020104</x:v>
      </x:c>
      <x:c r="K14" s="130" t="str">
        <x:v>Dr. Kevin Marshall</x:v>
      </x:c>
      <x:c r="L14" s="180" t="n">
        <x:v>46596</x:v>
      </x:c>
      <x:c r="M14" s="180" t="n">
        <x:v>45866</x:v>
      </x:c>
      <x:c r="N14" s="130" t="str">
        <x:v>Complete</x:v>
      </x:c>
      <x:c r="O14" s="130" t="n">
        <x:v>14</x:v>
      </x:c>
    </x:row>
    <x:row r="15">
      <x:c r="A15" s="130" t="str">
        <x:v>DRV-002</x:v>
      </x:c>
      <x:c r="B15" s="130" t="str">
        <x:v>Maria Lopez</x:v>
      </x:c>
      <x:c r="C15" s="130" t="str">
        <x:v>Direct Deposit Form</x:v>
      </x:c>
      <x:c r="D15" s="130" t="str">
        <x:v>VALID</x:v>
      </x:c>
      <x:c r="E15" s="130" t="str">
        <x:v>IL0000061</x:v>
      </x:c>
      <x:c r="F15" s="180" t="n">
        <x:v>46518</x:v>
      </x:c>
      <x:c r="G15" s="180" t="n">
        <x:v>46596</x:v>
      </x:c>
      <x:c r="H15" s="180" t="n">
        <x:v>46455</x:v>
      </x:c>
      <x:c r="I15" s="180" t="n">
        <x:v>45866</x:v>
      </x:c>
      <x:c r="J15" s="130" t="str">
        <x:v>MC-0020104</x:v>
      </x:c>
      <x:c r="K15" s="130" t="str">
        <x:v>Dr. Kevin Marshall</x:v>
      </x:c>
      <x:c r="L15" s="180" t="n">
        <x:v>46596</x:v>
      </x:c>
      <x:c r="M15" s="180" t="n">
        <x:v>45866</x:v>
      </x:c>
      <x:c r="N15" s="130" t="str">
        <x:v>Complete</x:v>
      </x:c>
      <x:c r="O15" s="130" t="n">
        <x:v>15</x:v>
      </x:c>
    </x:row>
    <x:row r="16">
      <x:c r="A16" s="130" t="str">
        <x:v>DRV-003</x:v>
      </x:c>
      <x:c r="B16" s="130" t="str">
        <x:v>Alex Kim</x:v>
      </x:c>
      <x:c r="C16" s="130" t="str">
        <x:v>CDL Summary</x:v>
      </x:c>
      <x:c r="D16" s="130" t="str">
        <x:v>VALID</x:v>
      </x:c>
      <x:c r="E16" s="130" t="str">
        <x:v>GA0000013</x:v>
      </x:c>
      <x:c r="F16" s="180" t="n">
        <x:v>46420</x:v>
      </x:c>
      <x:c r="G16" s="180" t="n">
        <x:v>46659</x:v>
      </x:c>
      <x:c r="H16" s="180" t="n">
        <x:v>46449</x:v>
      </x:c>
      <x:c r="I16" s="180" t="n">
        <x:v>45929</x:v>
      </x:c>
      <x:c r="J16" s="130" t="str">
        <x:v>MC-0030104</x:v>
      </x:c>
      <x:c r="K16" s="130" t="str">
        <x:v>Dr. Lisa Bennett</x:v>
      </x:c>
      <x:c r="L16" s="180" t="n">
        <x:v>46659</x:v>
      </x:c>
      <x:c r="M16" s="180" t="n">
        <x:v>45929</x:v>
      </x:c>
      <x:c r="N16" s="130" t="str">
        <x:v>Complete</x:v>
      </x:c>
      <x:c r="O16" s="130" t="n">
        <x:v>16</x:v>
      </x:c>
    </x:row>
    <x:row r="17">
      <x:c r="A17" s="130" t="str">
        <x:v>DRV-003</x:v>
      </x:c>
      <x:c r="B17" s="130" t="str">
        <x:v>Alex Kim</x:v>
      </x:c>
      <x:c r="C17" s="130" t="str">
        <x:v>Medical Certification</x:v>
      </x:c>
      <x:c r="D17" s="130" t="str">
        <x:v>VALID</x:v>
      </x:c>
      <x:c r="E17" s="130" t="str">
        <x:v>GA0000006</x:v>
      </x:c>
      <x:c r="F17" s="180" t="n">
        <x:v>46420</x:v>
      </x:c>
      <x:c r="G17" s="180" t="n">
        <x:v>46659</x:v>
      </x:c>
      <x:c r="H17" s="180" t="n">
        <x:v>46449</x:v>
      </x:c>
      <x:c r="I17" s="180" t="n">
        <x:v>45929</x:v>
      </x:c>
      <x:c r="J17" s="130" t="str">
        <x:v>MC-0030104</x:v>
      </x:c>
      <x:c r="K17" s="130" t="str">
        <x:v>Dr. Lisa Bennett</x:v>
      </x:c>
      <x:c r="L17" s="180" t="n">
        <x:v>46659</x:v>
      </x:c>
      <x:c r="M17" s="180" t="n">
        <x:v>45929</x:v>
      </x:c>
      <x:c r="N17" s="130" t="str">
        <x:v>Complete</x:v>
      </x:c>
      <x:c r="O17" s="130" t="n">
        <x:v>17</x:v>
      </x:c>
    </x:row>
    <x:row r="18">
      <x:c r="A18" s="130" t="str">
        <x:v>DRV-003</x:v>
      </x:c>
      <x:c r="B18" s="130" t="str">
        <x:v>Alex Kim</x:v>
      </x:c>
      <x:c r="C18" s="130" t="str">
        <x:v>MVR Background Report</x:v>
      </x:c>
      <x:c r="D18" s="130" t="str">
        <x:v>VALID</x:v>
      </x:c>
      <x:c r="E18" s="130" t="str">
        <x:v>GA0000011</x:v>
      </x:c>
      <x:c r="F18" s="180" t="n">
        <x:v>46420</x:v>
      </x:c>
      <x:c r="G18" s="180" t="n">
        <x:v>46659</x:v>
      </x:c>
      <x:c r="H18" s="180" t="n">
        <x:v>46449</x:v>
      </x:c>
      <x:c r="I18" s="180" t="n">
        <x:v>45929</x:v>
      </x:c>
      <x:c r="J18" s="130" t="str">
        <x:v>MC-0030104</x:v>
      </x:c>
      <x:c r="K18" s="130" t="str">
        <x:v>Dr. Lisa Bennett</x:v>
      </x:c>
      <x:c r="L18" s="180" t="n">
        <x:v>46659</x:v>
      </x:c>
      <x:c r="M18" s="180" t="n">
        <x:v>45929</x:v>
      </x:c>
      <x:c r="N18" s="130" t="str">
        <x:v>Complete</x:v>
      </x:c>
      <x:c r="O18" s="130" t="n">
        <x:v>18</x:v>
      </x:c>
    </x:row>
    <x:row r="19">
      <x:c r="A19" s="130" t="str">
        <x:v>DRV-003</x:v>
      </x:c>
      <x:c r="B19" s="130" t="str">
        <x:v>Alex Kim</x:v>
      </x:c>
      <x:c r="C19" s="130" t="str">
        <x:v>Driver Application</x:v>
      </x:c>
      <x:c r="D19" s="130" t="str">
        <x:v>VALID</x:v>
      </x:c>
      <x:c r="E19" s="130" t="str">
        <x:v>GA0000005</x:v>
      </x:c>
      <x:c r="F19" s="180" t="n">
        <x:v>46420</x:v>
      </x:c>
      <x:c r="G19" s="180" t="n">
        <x:v>46659</x:v>
      </x:c>
      <x:c r="H19" s="180" t="n">
        <x:v>46449</x:v>
      </x:c>
      <x:c r="I19" s="180" t="n">
        <x:v>45929</x:v>
      </x:c>
      <x:c r="J19" s="130" t="str">
        <x:v>MC-0030104</x:v>
      </x:c>
      <x:c r="K19" s="130" t="str">
        <x:v>Dr. Lisa Bennett</x:v>
      </x:c>
      <x:c r="L19" s="180" t="n">
        <x:v>46659</x:v>
      </x:c>
      <x:c r="M19" s="180" t="n">
        <x:v>45929</x:v>
      </x:c>
      <x:c r="N19" s="130" t="str">
        <x:v>Complete</x:v>
      </x:c>
      <x:c r="O19" s="130" t="n">
        <x:v>19</x:v>
      </x:c>
    </x:row>
    <x:row r="20">
      <x:c r="A20" s="130" t="str">
        <x:v>DRV-003</x:v>
      </x:c>
      <x:c r="B20" s="130" t="str">
        <x:v>Alex Kim</x:v>
      </x:c>
      <x:c r="C20" s="130" t="str">
        <x:v>Road Test Certificate</x:v>
      </x:c>
      <x:c r="D20" s="130" t="str">
        <x:v>VALID</x:v>
      </x:c>
      <x:c r="E20" s="130" t="str">
        <x:v>GA0000004</x:v>
      </x:c>
      <x:c r="F20" s="180" t="n">
        <x:v>46420</x:v>
      </x:c>
      <x:c r="G20" s="180" t="n">
        <x:v>46659</x:v>
      </x:c>
      <x:c r="H20" s="180" t="n">
        <x:v>46449</x:v>
      </x:c>
      <x:c r="I20" s="180" t="n">
        <x:v>45929</x:v>
      </x:c>
      <x:c r="J20" s="130" t="str">
        <x:v>MC-0030104</x:v>
      </x:c>
      <x:c r="K20" s="130" t="str">
        <x:v>Dr. Lisa Bennett</x:v>
      </x:c>
      <x:c r="L20" s="180" t="n">
        <x:v>46659</x:v>
      </x:c>
      <x:c r="M20" s="180" t="n">
        <x:v>45929</x:v>
      </x:c>
      <x:c r="N20" s="130" t="str">
        <x:v>Complete</x:v>
      </x:c>
      <x:c r="O20" s="130" t="n">
        <x:v>20</x:v>
      </x:c>
    </x:row>
    <x:row r="21">
      <x:c r="A21" s="130" t="str">
        <x:v>DRV-003</x:v>
      </x:c>
      <x:c r="B21" s="130" t="str">
        <x:v>Alex Kim</x:v>
      </x:c>
      <x:c r="C21" s="130" t="str">
        <x:v>Incident/Accident Report</x:v>
      </x:c>
      <x:c r="D21" s="130" t="str">
        <x:v>VALID</x:v>
      </x:c>
      <x:c r="E21" s="130" t="str">
        <x:v>GA0000027</x:v>
      </x:c>
      <x:c r="F21" s="180" t="n">
        <x:v>46420</x:v>
      </x:c>
      <x:c r="G21" s="180" t="n">
        <x:v>46659</x:v>
      </x:c>
      <x:c r="H21" s="180" t="n">
        <x:v>46449</x:v>
      </x:c>
      <x:c r="I21" s="180" t="n">
        <x:v>45929</x:v>
      </x:c>
      <x:c r="J21" s="130" t="str">
        <x:v>MC-0030104</x:v>
      </x:c>
      <x:c r="K21" s="130" t="str">
        <x:v>Dr. Lisa Bennett</x:v>
      </x:c>
      <x:c r="L21" s="180" t="n">
        <x:v>46659</x:v>
      </x:c>
      <x:c r="M21" s="180" t="n">
        <x:v>45929</x:v>
      </x:c>
      <x:c r="N21" s="130" t="str">
        <x:v>Complete</x:v>
      </x:c>
      <x:c r="O21" s="130" t="n">
        <x:v>21</x:v>
      </x:c>
    </x:row>
    <x:row r="22">
      <x:c r="A22" s="130" t="str">
        <x:v>DRV-003</x:v>
      </x:c>
      <x:c r="B22" s="130" t="str">
        <x:v>Alex Kim</x:v>
      </x:c>
      <x:c r="C22" s="130" t="str">
        <x:v>Direct Deposit Form</x:v>
      </x:c>
      <x:c r="D22" s="130" t="str">
        <x:v>VALID</x:v>
      </x:c>
      <x:c r="E22" s="130" t="str">
        <x:v>GA0000002</x:v>
      </x:c>
      <x:c r="F22" s="180" t="n">
        <x:v>46420</x:v>
      </x:c>
      <x:c r="G22" s="180" t="n">
        <x:v>46659</x:v>
      </x:c>
      <x:c r="H22" s="180" t="n">
        <x:v>46449</x:v>
      </x:c>
      <x:c r="I22" s="180" t="n">
        <x:v>45929</x:v>
      </x:c>
      <x:c r="J22" s="130" t="str">
        <x:v>MC-0030104</x:v>
      </x:c>
      <x:c r="K22" s="130" t="str">
        <x:v>Dr. Lisa Bennett</x:v>
      </x:c>
      <x:c r="L22" s="180" t="n">
        <x:v>46659</x:v>
      </x:c>
      <x:c r="M22" s="180" t="n">
        <x:v>45929</x:v>
      </x:c>
      <x:c r="N22" s="130" t="str">
        <x:v>Complete</x:v>
      </x:c>
      <x:c r="O22" s="130" t="n">
        <x:v>22</x:v>
      </x:c>
    </x:row>
    <x:row r="23">
      <x:c r="A23" s="130" t="str">
        <x:v>DRV-004</x:v>
      </x:c>
      <x:c r="B23" s="130" t="str">
        <x:v>Priya Patel</x:v>
      </x:c>
      <x:c r="C23" s="130" t="str">
        <x:v>CDL Summary</x:v>
      </x:c>
      <x:c r="D23" s="130" t="str">
        <x:v>VALID</x:v>
      </x:c>
      <x:c r="E23" s="130" t="str">
        <x:v>OH0000130</x:v>
      </x:c>
      <x:c r="F23" s="180" t="n">
        <x:v>46739</x:v>
      </x:c>
      <x:c r="G23" s="180" t="n">
        <x:v>46486</x:v>
      </x:c>
      <x:c r="H23" s="180" t="n">
        <x:v>46452</x:v>
      </x:c>
      <x:c r="I23" s="180" t="n">
        <x:v>45756</x:v>
      </x:c>
      <x:c r="J23" s="130" t="str">
        <x:v>MC-0040812</x:v>
      </x:c>
      <x:c r="K23" s="130" t="str">
        <x:v>Dr. Ramon Ortiz</x:v>
      </x:c>
      <x:c r="L23" s="180" t="n">
        <x:v>46486</x:v>
      </x:c>
      <x:c r="M23" s="180" t="n">
        <x:v>45756</x:v>
      </x:c>
      <x:c r="N23" s="130" t="str">
        <x:v>Complete</x:v>
      </x:c>
      <x:c r="O23" s="130" t="n">
        <x:v>23</x:v>
      </x:c>
    </x:row>
    <x:row r="24">
      <x:c r="A24" s="130" t="str">
        <x:v>DRV-004</x:v>
      </x:c>
      <x:c r="B24" s="130" t="str">
        <x:v>Priya Patel</x:v>
      </x:c>
      <x:c r="C24" s="130" t="str">
        <x:v>Medical Certification</x:v>
      </x:c>
      <x:c r="D24" s="130" t="str">
        <x:v>VALID</x:v>
      </x:c>
      <x:c r="E24" s="130" t="str">
        <x:v>OH0000099</x:v>
      </x:c>
      <x:c r="F24" s="180" t="n">
        <x:v>46739</x:v>
      </x:c>
      <x:c r="G24" s="180" t="n">
        <x:v>46486</x:v>
      </x:c>
      <x:c r="H24" s="180" t="n">
        <x:v>46452</x:v>
      </x:c>
      <x:c r="I24" s="180" t="n">
        <x:v>45756</x:v>
      </x:c>
      <x:c r="J24" s="130" t="str">
        <x:v>MC-0040812</x:v>
      </x:c>
      <x:c r="K24" s="130" t="str">
        <x:v>Dr. Ramon Ortiz</x:v>
      </x:c>
      <x:c r="L24" s="180" t="n">
        <x:v>46486</x:v>
      </x:c>
      <x:c r="M24" s="180" t="n">
        <x:v>45756</x:v>
      </x:c>
      <x:c r="N24" s="130" t="str">
        <x:v>Complete</x:v>
      </x:c>
      <x:c r="O24" s="130" t="n">
        <x:v>24</x:v>
      </x:c>
    </x:row>
    <x:row r="25">
      <x:c r="A25" s="130" t="str">
        <x:v>DRV-004</x:v>
      </x:c>
      <x:c r="B25" s="130" t="str">
        <x:v>Priya Patel</x:v>
      </x:c>
      <x:c r="C25" s="130" t="str">
        <x:v>MVR Background Report</x:v>
      </x:c>
      <x:c r="D25" s="130" t="str">
        <x:v>VALID</x:v>
      </x:c>
      <x:c r="E25" s="130" t="str">
        <x:v>OH0000123</x:v>
      </x:c>
      <x:c r="F25" s="180" t="n">
        <x:v>46739</x:v>
      </x:c>
      <x:c r="G25" s="180" t="n">
        <x:v>46486</x:v>
      </x:c>
      <x:c r="H25" s="180" t="n">
        <x:v>46452</x:v>
      </x:c>
      <x:c r="I25" s="180" t="n">
        <x:v>45756</x:v>
      </x:c>
      <x:c r="J25" s="130" t="str">
        <x:v>MC-0040812</x:v>
      </x:c>
      <x:c r="K25" s="130" t="str">
        <x:v>Dr. Ramon Ortiz</x:v>
      </x:c>
      <x:c r="L25" s="180" t="n">
        <x:v>46486</x:v>
      </x:c>
      <x:c r="M25" s="180" t="n">
        <x:v>45756</x:v>
      </x:c>
      <x:c r="N25" s="130" t="str">
        <x:v>Complete</x:v>
      </x:c>
      <x:c r="O25" s="130" t="n">
        <x:v>25</x:v>
      </x:c>
    </x:row>
    <x:row r="26">
      <x:c r="A26" s="130" t="str">
        <x:v>DRV-004</x:v>
      </x:c>
      <x:c r="B26" s="130" t="str">
        <x:v>Priya Patel</x:v>
      </x:c>
      <x:c r="C26" s="130" t="str">
        <x:v>summary</x:v>
      </x:c>
      <x:c r="D26" s="130" t="str">
        <x:v>VALID</x:v>
      </x:c>
      <x:c r="E26" s="130" t="str">
        <x:v>OH0000149</x:v>
      </x:c>
      <x:c r="F26" s="180" t="n">
        <x:v>46739</x:v>
      </x:c>
      <x:c r="G26" s="180" t="n">
        <x:v>46486</x:v>
      </x:c>
      <x:c r="H26" s="180" t="n">
        <x:v>46452</x:v>
      </x:c>
      <x:c r="I26" s="180" t="n">
        <x:v>45756</x:v>
      </x:c>
      <x:c r="J26" s="130" t="str">
        <x:v>MC-0040812</x:v>
      </x:c>
      <x:c r="K26" s="130" t="str">
        <x:v>Dr. Ramon Ortiz</x:v>
      </x:c>
      <x:c r="L26" s="180" t="n">
        <x:v>46486</x:v>
      </x:c>
      <x:c r="M26" s="180" t="n">
        <x:v>45756</x:v>
      </x:c>
      <x:c r="N26" s="130" t="str">
        <x:v>Complete</x:v>
      </x:c>
      <x:c r="O26" s="130" t="n">
        <x:v>26</x:v>
      </x:c>
    </x:row>
    <x:row r="27">
      <x:c r="A27" s="130" t="str">
        <x:v>DRV-004</x:v>
      </x:c>
      <x:c r="B27" s="130" t="str">
        <x:v>Priya Patel</x:v>
      </x:c>
      <x:c r="C27" s="130" t="str">
        <x:v>Road Test Certificate</x:v>
      </x:c>
      <x:c r="D27" s="130" t="str">
        <x:v>VALID</x:v>
      </x:c>
      <x:c r="E27" s="130" t="str">
        <x:v>OH0000072</x:v>
      </x:c>
      <x:c r="F27" s="180" t="n">
        <x:v>46739</x:v>
      </x:c>
      <x:c r="G27" s="180" t="n">
        <x:v>46486</x:v>
      </x:c>
      <x:c r="H27" s="180" t="n">
        <x:v>46452</x:v>
      </x:c>
      <x:c r="I27" s="180" t="n">
        <x:v>45756</x:v>
      </x:c>
      <x:c r="J27" s="130" t="str">
        <x:v>MC-0040812</x:v>
      </x:c>
      <x:c r="K27" s="130" t="str">
        <x:v>Dr. Ramon Ortiz</x:v>
      </x:c>
      <x:c r="L27" s="180" t="n">
        <x:v>46486</x:v>
      </x:c>
      <x:c r="M27" s="180" t="n">
        <x:v>45756</x:v>
      </x:c>
      <x:c r="N27" s="130" t="str">
        <x:v>Complete</x:v>
      </x:c>
      <x:c r="O27" s="130" t="n">
        <x:v>27</x:v>
      </x:c>
    </x:row>
    <x:row r="28">
      <x:c r="A28" s="130" t="str">
        <x:v>DRV-004</x:v>
      </x:c>
      <x:c r="B28" s="130" t="str">
        <x:v>Priya Patel</x:v>
      </x:c>
      <x:c r="C28" s="130" t="str">
        <x:v>Incident/Accident Report</x:v>
      </x:c>
      <x:c r="D28" s="130" t="str">
        <x:v>VALID</x:v>
      </x:c>
      <x:c r="E28" s="130" t="str">
        <x:v>OH0000074</x:v>
      </x:c>
      <x:c r="F28" s="180" t="n">
        <x:v>46739</x:v>
      </x:c>
      <x:c r="G28" s="180" t="n">
        <x:v>46486</x:v>
      </x:c>
      <x:c r="H28" s="180" t="n">
        <x:v>46452</x:v>
      </x:c>
      <x:c r="I28" s="180" t="n">
        <x:v>45756</x:v>
      </x:c>
      <x:c r="J28" s="130" t="str">
        <x:v>MC-0040812</x:v>
      </x:c>
      <x:c r="K28" s="130" t="str">
        <x:v>Dr. Ramon Ortiz</x:v>
      </x:c>
      <x:c r="L28" s="180" t="n">
        <x:v>46486</x:v>
      </x:c>
      <x:c r="M28" s="180" t="n">
        <x:v>45756</x:v>
      </x:c>
      <x:c r="N28" s="130" t="str">
        <x:v>Complete</x:v>
      </x:c>
      <x:c r="O28" s="130" t="n">
        <x:v>28</x:v>
      </x:c>
    </x:row>
    <x:row r="29">
      <x:c r="A29" s="130" t="str">
        <x:v>DRV-004</x:v>
      </x:c>
      <x:c r="B29" s="130" t="str">
        <x:v>Priya Patel</x:v>
      </x:c>
      <x:c r="C29" s="130" t="str">
        <x:v>Direct Deposit Form</x:v>
      </x:c>
      <x:c r="D29" s="130" t="str">
        <x:v>VALID</x:v>
      </x:c>
      <x:c r="E29" s="130" t="str">
        <x:v>OH0000095</x:v>
      </x:c>
      <x:c r="F29" s="180" t="n">
        <x:v>46739</x:v>
      </x:c>
      <x:c r="G29" s="180" t="n">
        <x:v>46486</x:v>
      </x:c>
      <x:c r="H29" s="180" t="n">
        <x:v>46452</x:v>
      </x:c>
      <x:c r="I29" s="180" t="n">
        <x:v>45756</x:v>
      </x:c>
      <x:c r="J29" s="130" t="str">
        <x:v>MC-0040812</x:v>
      </x:c>
      <x:c r="K29" s="130" t="str">
        <x:v>Dr. Ramon Ortiz</x:v>
      </x:c>
      <x:c r="L29" s="180" t="n">
        <x:v>46486</x:v>
      </x:c>
      <x:c r="M29" s="180" t="n">
        <x:v>45756</x:v>
      </x:c>
      <x:c r="N29" s="130" t="str">
        <x:v>Complete</x:v>
      </x:c>
      <x:c r="O29" s="130" t="n">
        <x:v>29</x:v>
      </x:c>
    </x:row>
    <x:row r="30">
      <x:c r="A30" s="130" t="str">
        <x:v>DRV-005</x:v>
      </x:c>
      <x:c r="B30" s="130" t="str">
        <x:v>Kenji Tanaka</x:v>
      </x:c>
      <x:c r="C30" s="130" t="str">
        <x:v>CDL Summary</x:v>
      </x:c>
      <x:c r="D30" s="130" t="str">
        <x:v>VALID</x:v>
      </x:c>
      <x:c r="E30" s="130" t="str">
        <x:v>OH0000084</x:v>
      </x:c>
      <x:c r="F30" s="180" t="n">
        <x:v>46577</x:v>
      </x:c>
      <x:c r="G30" s="180" t="n">
        <x:v>46496</x:v>
      </x:c>
      <x:c r="H30" s="180" t="n">
        <x:v>46478</x:v>
      </x:c>
      <x:c r="I30" s="180" t="n">
        <x:v>45766</x:v>
      </x:c>
      <x:c r="J30" s="130" t="str">
        <x:v>MC-0051018</x:v>
      </x:c>
      <x:c r="K30" s="130" t="str">
        <x:v>Dr. Helen Price</x:v>
      </x:c>
      <x:c r="L30" s="180" t="n">
        <x:v>46496</x:v>
      </x:c>
      <x:c r="M30" s="180" t="n">
        <x:v>45766</x:v>
      </x:c>
      <x:c r="N30" s="130" t="str">
        <x:v>Complete</x:v>
      </x:c>
      <x:c r="O30" s="130" t="n">
        <x:v>30</x:v>
      </x:c>
    </x:row>
    <x:row r="31">
      <x:c r="A31" s="130" t="str">
        <x:v>DRV-005</x:v>
      </x:c>
      <x:c r="B31" s="130" t="str">
        <x:v>Kenji Tanaka</x:v>
      </x:c>
      <x:c r="C31" s="130" t="str">
        <x:v>Medical Certification</x:v>
      </x:c>
      <x:c r="D31" s="130" t="str">
        <x:v>VALID</x:v>
      </x:c>
      <x:c r="E31" s="130" t="str">
        <x:v>OH0000093</x:v>
      </x:c>
      <x:c r="F31" s="180" t="n">
        <x:v>46577</x:v>
      </x:c>
      <x:c r="G31" s="180" t="n">
        <x:v>46496</x:v>
      </x:c>
      <x:c r="H31" s="180" t="n">
        <x:v>46478</x:v>
      </x:c>
      <x:c r="I31" s="180" t="n">
        <x:v>45766</x:v>
      </x:c>
      <x:c r="J31" s="130" t="str">
        <x:v>MC-0051018</x:v>
      </x:c>
      <x:c r="K31" s="130" t="str">
        <x:v>Dr. Helen Price</x:v>
      </x:c>
      <x:c r="L31" s="180" t="n">
        <x:v>46496</x:v>
      </x:c>
      <x:c r="M31" s="180" t="n">
        <x:v>45766</x:v>
      </x:c>
      <x:c r="N31" s="130" t="str">
        <x:v>Complete</x:v>
      </x:c>
      <x:c r="O31" s="130" t="n">
        <x:v>31</x:v>
      </x:c>
    </x:row>
    <x:row r="32">
      <x:c r="A32" s="130" t="str">
        <x:v>DRV-005</x:v>
      </x:c>
      <x:c r="B32" s="130" t="str">
        <x:v>Kenji Tanaka</x:v>
      </x:c>
      <x:c r="C32" s="130" t="str">
        <x:v>MVR Background Report</x:v>
      </x:c>
      <x:c r="D32" s="130" t="str">
        <x:v>VALID</x:v>
      </x:c>
      <x:c r="E32" s="130" t="str">
        <x:v>OH0000119</x:v>
      </x:c>
      <x:c r="F32" s="180" t="n">
        <x:v>46577</x:v>
      </x:c>
      <x:c r="G32" s="180" t="n">
        <x:v>46496</x:v>
      </x:c>
      <x:c r="H32" s="180" t="n">
        <x:v>46478</x:v>
      </x:c>
      <x:c r="I32" s="180" t="n">
        <x:v>45766</x:v>
      </x:c>
      <x:c r="J32" s="130" t="str">
        <x:v>MC-0051018</x:v>
      </x:c>
      <x:c r="K32" s="130" t="str">
        <x:v>Dr. Helen Price</x:v>
      </x:c>
      <x:c r="L32" s="180" t="n">
        <x:v>46496</x:v>
      </x:c>
      <x:c r="M32" s="180" t="n">
        <x:v>45766</x:v>
      </x:c>
      <x:c r="N32" s="130" t="str">
        <x:v>Complete</x:v>
      </x:c>
      <x:c r="O32" s="130" t="n">
        <x:v>32</x:v>
      </x:c>
    </x:row>
    <x:row r="33">
      <x:c r="A33" s="130" t="str">
        <x:v>DRV-005</x:v>
      </x:c>
      <x:c r="B33" s="130" t="str">
        <x:v>Kenji Tanaka</x:v>
      </x:c>
      <x:c r="C33" s="130" t="str">
        <x:v>Driver Application</x:v>
      </x:c>
      <x:c r="D33" s="130" t="str">
        <x:v>VALID</x:v>
      </x:c>
      <x:c r="E33" s="130" t="str">
        <x:v>OH0000102</x:v>
      </x:c>
      <x:c r="F33" s="180" t="n">
        <x:v>46577</x:v>
      </x:c>
      <x:c r="G33" s="180" t="n">
        <x:v>46496</x:v>
      </x:c>
      <x:c r="H33" s="180" t="n">
        <x:v>46478</x:v>
      </x:c>
      <x:c r="I33" s="180" t="n">
        <x:v>45766</x:v>
      </x:c>
      <x:c r="J33" s="130" t="str">
        <x:v>MC-0051018</x:v>
      </x:c>
      <x:c r="K33" s="130" t="str">
        <x:v>Dr. Helen Price</x:v>
      </x:c>
      <x:c r="L33" s="180" t="n">
        <x:v>46496</x:v>
      </x:c>
      <x:c r="M33" s="180" t="n">
        <x:v>45766</x:v>
      </x:c>
      <x:c r="N33" s="130" t="str">
        <x:v>Complete</x:v>
      </x:c>
      <x:c r="O33" s="130" t="n">
        <x:v>33</x:v>
      </x:c>
    </x:row>
    <x:row r="34">
      <x:c r="A34" s="130" t="str">
        <x:v>DRV-005</x:v>
      </x:c>
      <x:c r="B34" s="130" t="str">
        <x:v>Kenji Tanaka</x:v>
      </x:c>
      <x:c r="C34" s="130" t="str">
        <x:v>Road Test Certificate</x:v>
      </x:c>
      <x:c r="D34" s="130" t="str">
        <x:v>VALID</x:v>
      </x:c>
      <x:c r="E34" s="130" t="str">
        <x:v>OH0000125</x:v>
      </x:c>
      <x:c r="F34" s="180" t="n">
        <x:v>46577</x:v>
      </x:c>
      <x:c r="G34" s="180" t="n">
        <x:v>46496</x:v>
      </x:c>
      <x:c r="H34" s="180" t="n">
        <x:v>46478</x:v>
      </x:c>
      <x:c r="I34" s="180" t="n">
        <x:v>45766</x:v>
      </x:c>
      <x:c r="J34" s="130" t="str">
        <x:v>MC-0051018</x:v>
      </x:c>
      <x:c r="K34" s="130" t="str">
        <x:v>Dr. Helen Price</x:v>
      </x:c>
      <x:c r="L34" s="180" t="n">
        <x:v>46496</x:v>
      </x:c>
      <x:c r="M34" s="180" t="n">
        <x:v>45766</x:v>
      </x:c>
      <x:c r="N34" s="130" t="str">
        <x:v>Complete</x:v>
      </x:c>
      <x:c r="O34" s="130" t="n">
        <x:v>34</x:v>
      </x:c>
    </x:row>
    <x:row r="35">
      <x:c r="A35" s="130" t="str">
        <x:v>DRV-005</x:v>
      </x:c>
      <x:c r="B35" s="130" t="str">
        <x:v>Kenji Tanaka</x:v>
      </x:c>
      <x:c r="C35" s="130" t="str">
        <x:v>Incident/Accident Report</x:v>
      </x:c>
      <x:c r="D35" s="130" t="str">
        <x:v>VALID</x:v>
      </x:c>
      <x:c r="E35" s="130" t="str">
        <x:v>OH0000082</x:v>
      </x:c>
      <x:c r="F35" s="180" t="n">
        <x:v>46577</x:v>
      </x:c>
      <x:c r="G35" s="180" t="n">
        <x:v>46496</x:v>
      </x:c>
      <x:c r="H35" s="180" t="n">
        <x:v>46478</x:v>
      </x:c>
      <x:c r="I35" s="180" t="n">
        <x:v>45766</x:v>
      </x:c>
      <x:c r="J35" s="130" t="str">
        <x:v>MC-0051018</x:v>
      </x:c>
      <x:c r="K35" s="130" t="str">
        <x:v>Dr. Helen Price</x:v>
      </x:c>
      <x:c r="L35" s="180" t="n">
        <x:v>46496</x:v>
      </x:c>
      <x:c r="M35" s="180" t="n">
        <x:v>45766</x:v>
      </x:c>
      <x:c r="N35" s="130" t="str">
        <x:v>Complete</x:v>
      </x:c>
      <x:c r="O35" s="130" t="n">
        <x:v>35</x:v>
      </x:c>
    </x:row>
    <x:row r="36">
      <x:c r="A36" s="130" t="str">
        <x:v>DRV-005</x:v>
      </x:c>
      <x:c r="B36" s="130" t="str">
        <x:v>Kenji Tanaka</x:v>
      </x:c>
      <x:c r="C36" s="130" t="str">
        <x:v>Direct Deposit Form</x:v>
      </x:c>
      <x:c r="D36" s="130" t="str">
        <x:v>VALID</x:v>
      </x:c>
      <x:c r="E36" s="130" t="str">
        <x:v>OH0000126</x:v>
      </x:c>
      <x:c r="F36" s="180" t="n">
        <x:v>46577</x:v>
      </x:c>
      <x:c r="G36" s="180" t="n">
        <x:v>46496</x:v>
      </x:c>
      <x:c r="H36" s="180" t="n">
        <x:v>46478</x:v>
      </x:c>
      <x:c r="I36" s="180" t="n">
        <x:v>45766</x:v>
      </x:c>
      <x:c r="J36" s="130" t="str">
        <x:v>MC-0051018</x:v>
      </x:c>
      <x:c r="K36" s="130" t="str">
        <x:v>Dr. Helen Price</x:v>
      </x:c>
      <x:c r="L36" s="180" t="n">
        <x:v>46496</x:v>
      </x:c>
      <x:c r="M36" s="180" t="n">
        <x:v>45766</x:v>
      </x:c>
      <x:c r="N36" s="130" t="str">
        <x:v>Complete</x:v>
      </x:c>
      <x:c r="O36" s="130" t="n">
        <x:v>36</x:v>
      </x:c>
    </x:row>
    <x:row r="37">
      <x:c r="A37" s="130" t="str">
        <x:v>DRV-006</x:v>
      </x:c>
      <x:c r="B37" s="130" t="str">
        <x:v>Marcus Chen</x:v>
      </x:c>
      <x:c r="C37" s="130" t="str">
        <x:v>CDL Summary</x:v>
      </x:c>
      <x:c r="D37" s="130" t="str">
        <x:v>VALID</x:v>
      </x:c>
      <x:c r="E37" s="130" t="str">
        <x:v>TX0000158</x:v>
      </x:c>
      <x:c r="F37" s="180" t="n">
        <x:v>45826</x:v>
      </x:c>
      <x:c r="G37" s="180" t="n">
        <x:v>46394</x:v>
      </x:c>
      <x:c r="H37" s="180" t="n">
        <x:v>46455</x:v>
      </x:c>
      <x:c r="I37" s="180" t="n">
        <x:v>45664</x:v>
      </x:c>
      <x:c r="J37" s="130" t="str">
        <x:v>MC-0060208</x:v>
      </x:c>
      <x:c r="K37" s="130" t="str">
        <x:v>Dr. Monica Steele</x:v>
      </x:c>
      <x:c r="L37" s="180" t="n">
        <x:v>46394</x:v>
      </x:c>
      <x:c r="M37" s="180" t="n">
        <x:v>45664</x:v>
      </x:c>
      <x:c r="N37" s="130" t="str">
        <x:v>Complete</x:v>
      </x:c>
      <x:c r="O37" s="130" t="n">
        <x:v>37</x:v>
      </x:c>
    </x:row>
    <x:row r="38">
      <x:c r="A38" s="130" t="str">
        <x:v>DRV-006</x:v>
      </x:c>
      <x:c r="B38" s="130" t="str">
        <x:v>Marcus Chen</x:v>
      </x:c>
      <x:c r="C38" s="130" t="str">
        <x:v>Medical Certification</x:v>
      </x:c>
      <x:c r="D38" s="130" t="str">
        <x:v>VALID</x:v>
      </x:c>
      <x:c r="E38" s="130" t="str">
        <x:v>TX0000165</x:v>
      </x:c>
      <x:c r="F38" s="180" t="n">
        <x:v>45826</x:v>
      </x:c>
      <x:c r="G38" s="180" t="n">
        <x:v>46394</x:v>
      </x:c>
      <x:c r="H38" s="180" t="n">
        <x:v>46455</x:v>
      </x:c>
      <x:c r="I38" s="180" t="n">
        <x:v>45664</x:v>
      </x:c>
      <x:c r="J38" s="130" t="str">
        <x:v>MC-0060208</x:v>
      </x:c>
      <x:c r="K38" s="130" t="str">
        <x:v>Dr. Monica Steele</x:v>
      </x:c>
      <x:c r="L38" s="180" t="n">
        <x:v>46394</x:v>
      </x:c>
      <x:c r="M38" s="180" t="n">
        <x:v>45664</x:v>
      </x:c>
      <x:c r="N38" s="130" t="str">
        <x:v>Complete</x:v>
      </x:c>
      <x:c r="O38" s="130" t="n">
        <x:v>38</x:v>
      </x:c>
    </x:row>
    <x:row r="39">
      <x:c r="A39" s="130" t="str">
        <x:v>DRV-006</x:v>
      </x:c>
      <x:c r="B39" s="130" t="str">
        <x:v>Marcus Chen</x:v>
      </x:c>
      <x:c r="C39" s="130" t="str">
        <x:v>MVR Background Report</x:v>
      </x:c>
      <x:c r="D39" s="130" t="str">
        <x:v>VALID</x:v>
      </x:c>
      <x:c r="E39" s="130" t="str">
        <x:v>TX0000155</x:v>
      </x:c>
      <x:c r="F39" s="180" t="n">
        <x:v>45826</x:v>
      </x:c>
      <x:c r="G39" s="180" t="n">
        <x:v>46394</x:v>
      </x:c>
      <x:c r="H39" s="180" t="n">
        <x:v>46455</x:v>
      </x:c>
      <x:c r="I39" s="180" t="n">
        <x:v>45664</x:v>
      </x:c>
      <x:c r="J39" s="130" t="str">
        <x:v>MC-0060208</x:v>
      </x:c>
      <x:c r="K39" s="130" t="str">
        <x:v>Dr. Monica Steele</x:v>
      </x:c>
      <x:c r="L39" s="180" t="n">
        <x:v>46394</x:v>
      </x:c>
      <x:c r="M39" s="180" t="n">
        <x:v>45664</x:v>
      </x:c>
      <x:c r="N39" s="130" t="str">
        <x:v>Complete</x:v>
      </x:c>
      <x:c r="O39" s="130" t="n">
        <x:v>39</x:v>
      </x:c>
    </x:row>
    <x:row r="40">
      <x:c r="A40" s="130" t="str">
        <x:v>DRV-006</x:v>
      </x:c>
      <x:c r="B40" s="130" t="str">
        <x:v>Marcus Chen</x:v>
      </x:c>
      <x:c r="C40" s="130" t="str">
        <x:v>Driver Application</x:v>
      </x:c>
      <x:c r="D40" s="130" t="str">
        <x:v>VALID</x:v>
      </x:c>
      <x:c r="E40" s="130" t="str">
        <x:v>TX0000166</x:v>
      </x:c>
      <x:c r="F40" s="180" t="n">
        <x:v>45826</x:v>
      </x:c>
      <x:c r="G40" s="180" t="n">
        <x:v>46394</x:v>
      </x:c>
      <x:c r="H40" s="180" t="n">
        <x:v>46455</x:v>
      </x:c>
      <x:c r="I40" s="180" t="n">
        <x:v>45664</x:v>
      </x:c>
      <x:c r="J40" s="130" t="str">
        <x:v>MC-0060208</x:v>
      </x:c>
      <x:c r="K40" s="130" t="str">
        <x:v>Dr. Monica Steele</x:v>
      </x:c>
      <x:c r="L40" s="180" t="n">
        <x:v>46394</x:v>
      </x:c>
      <x:c r="M40" s="180" t="n">
        <x:v>45664</x:v>
      </x:c>
      <x:c r="N40" s="130" t="str">
        <x:v>Complete</x:v>
      </x:c>
      <x:c r="O40" s="130" t="n">
        <x:v>40</x:v>
      </x:c>
    </x:row>
    <x:row r="41">
      <x:c r="A41" s="130" t="str">
        <x:v>DRV-006</x:v>
      </x:c>
      <x:c r="B41" s="130" t="str">
        <x:v>Marcus Chen</x:v>
      </x:c>
      <x:c r="C41" s="130" t="str">
        <x:v>Road Test Certificate</x:v>
      </x:c>
      <x:c r="D41" s="130" t="str">
        <x:v>VALID</x:v>
      </x:c>
      <x:c r="E41" s="130" t="str">
        <x:v>TX0000156</x:v>
      </x:c>
      <x:c r="F41" s="180" t="n">
        <x:v>45826</x:v>
      </x:c>
      <x:c r="G41" s="180" t="n">
        <x:v>46394</x:v>
      </x:c>
      <x:c r="H41" s="180" t="n">
        <x:v>46455</x:v>
      </x:c>
      <x:c r="I41" s="180" t="n">
        <x:v>45664</x:v>
      </x:c>
      <x:c r="J41" s="130" t="str">
        <x:v>MC-0060208</x:v>
      </x:c>
      <x:c r="K41" s="130" t="str">
        <x:v>Dr. Monica Steele</x:v>
      </x:c>
      <x:c r="L41" s="180" t="n">
        <x:v>46394</x:v>
      </x:c>
      <x:c r="M41" s="180" t="n">
        <x:v>45664</x:v>
      </x:c>
      <x:c r="N41" s="130" t="str">
        <x:v>Complete</x:v>
      </x:c>
      <x:c r="O41" s="130" t="n">
        <x:v>41</x:v>
      </x:c>
    </x:row>
    <x:row r="42">
      <x:c r="A42" s="130" t="str">
        <x:v>DRV-006</x:v>
      </x:c>
      <x:c r="B42" s="130" t="str">
        <x:v>Marcus Chen</x:v>
      </x:c>
      <x:c r="C42" s="130" t="str">
        <x:v>Incident/Accident Report</x:v>
      </x:c>
      <x:c r="D42" s="130" t="str">
        <x:v>VALID</x:v>
      </x:c>
      <x:c r="E42" s="130" t="str">
        <x:v>TX0000167</x:v>
      </x:c>
      <x:c r="F42" s="180" t="n">
        <x:v>45826</x:v>
      </x:c>
      <x:c r="G42" s="180" t="n">
        <x:v>46394</x:v>
      </x:c>
      <x:c r="H42" s="180" t="n">
        <x:v>46455</x:v>
      </x:c>
      <x:c r="I42" s="180" t="n">
        <x:v>45664</x:v>
      </x:c>
      <x:c r="J42" s="130" t="str">
        <x:v>MC-0060208</x:v>
      </x:c>
      <x:c r="K42" s="130" t="str">
        <x:v>Dr. Monica Steele</x:v>
      </x:c>
      <x:c r="L42" s="180" t="n">
        <x:v>46394</x:v>
      </x:c>
      <x:c r="M42" s="180" t="n">
        <x:v>45664</x:v>
      </x:c>
      <x:c r="N42" s="130" t="str">
        <x:v>Complete</x:v>
      </x:c>
      <x:c r="O42" s="130" t="n">
        <x:v>42</x:v>
      </x:c>
    </x:row>
    <x:row r="43">
      <x:c r="A43" s="130" t="str">
        <x:v>DRV-006</x:v>
      </x:c>
      <x:c r="B43" s="130" t="str">
        <x:v>Marcus Chen</x:v>
      </x:c>
      <x:c r="C43" s="130" t="str">
        <x:v>Direct Deposit Form</x:v>
      </x:c>
      <x:c r="D43" s="130" t="str">
        <x:v>VALID</x:v>
      </x:c>
      <x:c r="E43" s="130" t="str">
        <x:v>TX0000157</x:v>
      </x:c>
      <x:c r="F43" s="180" t="n">
        <x:v>45826</x:v>
      </x:c>
      <x:c r="G43" s="180" t="n">
        <x:v>46394</x:v>
      </x:c>
      <x:c r="H43" s="180" t="n">
        <x:v>46455</x:v>
      </x:c>
      <x:c r="I43" s="180" t="n">
        <x:v>45664</x:v>
      </x:c>
      <x:c r="J43" s="130" t="str">
        <x:v>MC-0060208</x:v>
      </x:c>
      <x:c r="K43" s="130" t="str">
        <x:v>Dr. Monica Steele</x:v>
      </x:c>
      <x:c r="L43" s="180" t="n">
        <x:v>46394</x:v>
      </x:c>
      <x:c r="M43" s="180" t="n">
        <x:v>45664</x:v>
      </x:c>
      <x:c r="N43" s="130" t="str">
        <x:v>Complete</x:v>
      </x:c>
      <x:c r="O43" s="130" t="n">
        <x:v>43</x:v>
      </x:c>
    </x:row>
    <x:row r="44">
      <x:c r="A44" s="130" t="str">
        <x:v>DRV-007</x:v>
      </x:c>
      <x:c r="B44" s="130" t="str">
        <x:v>Sofia Gomez</x:v>
      </x:c>
      <x:c r="C44" s="130" t="str">
        <x:v>CDL Summary</x:v>
      </x:c>
      <x:c r="D44" s="130" t="str">
        <x:v>VALID</x:v>
      </x:c>
      <x:c r="E44" s="130" t="str">
        <x:v>OH0000112</x:v>
      </x:c>
      <x:c r="F44" s="180" t="n">
        <x:v>46530</x:v>
      </x:c>
      <x:c r="G44" s="180" t="n">
        <x:v>45739</x:v>
      </x:c>
      <x:c r="H44" s="180" t="n">
        <x:v>46456</x:v>
      </x:c>
      <x:c r="I44" s="180" t="n">
        <x:v>45009</x:v>
      </x:c>
      <x:c r="J44" s="130" t="str">
        <x:v>MC-0071214</x:v>
      </x:c>
      <x:c r="K44" s="130" t="str">
        <x:v>Dr. James Carter</x:v>
      </x:c>
      <x:c r="L44" s="180" t="n">
        <x:v>45739</x:v>
      </x:c>
      <x:c r="M44" s="180" t="n">
        <x:v>45009</x:v>
      </x:c>
      <x:c r="N44" s="130" t="str">
        <x:v>Complete</x:v>
      </x:c>
      <x:c r="O44" s="130" t="n">
        <x:v>44</x:v>
      </x:c>
    </x:row>
    <x:row r="45">
      <x:c r="A45" s="130" t="str">
        <x:v>DRV-007</x:v>
      </x:c>
      <x:c r="B45" s="130" t="str">
        <x:v>Sofia Gomez</x:v>
      </x:c>
      <x:c r="C45" s="130" t="str">
        <x:v>Medical Certification</x:v>
      </x:c>
      <x:c r="D45" s="130" t="str">
        <x:v>VALID</x:v>
      </x:c>
      <x:c r="E45" s="130" t="str">
        <x:v>OH0000103</x:v>
      </x:c>
      <x:c r="F45" s="180" t="n">
        <x:v>46530</x:v>
      </x:c>
      <x:c r="G45" s="180" t="n">
        <x:v>45739</x:v>
      </x:c>
      <x:c r="H45" s="180" t="n">
        <x:v>46456</x:v>
      </x:c>
      <x:c r="I45" s="180" t="n">
        <x:v>45009</x:v>
      </x:c>
      <x:c r="J45" s="130" t="str">
        <x:v>MC-0071214</x:v>
      </x:c>
      <x:c r="K45" s="130" t="str">
        <x:v>Dr. James Carter</x:v>
      </x:c>
      <x:c r="L45" s="180" t="n">
        <x:v>45739</x:v>
      </x:c>
      <x:c r="M45" s="180" t="n">
        <x:v>45009</x:v>
      </x:c>
      <x:c r="N45" s="130" t="str">
        <x:v>Complete</x:v>
      </x:c>
      <x:c r="O45" s="130" t="n">
        <x:v>45</x:v>
      </x:c>
    </x:row>
    <x:row r="46">
      <x:c r="A46" s="130" t="str">
        <x:v>DRV-007</x:v>
      </x:c>
      <x:c r="B46" s="130" t="str">
        <x:v>Sofia Gomez</x:v>
      </x:c>
      <x:c r="C46" s="130" t="str">
        <x:v>MVR Background Report</x:v>
      </x:c>
      <x:c r="D46" s="130" t="str">
        <x:v>VALID</x:v>
      </x:c>
      <x:c r="E46" s="130" t="str">
        <x:v>OH0000101</x:v>
      </x:c>
      <x:c r="F46" s="180" t="n">
        <x:v>46530</x:v>
      </x:c>
      <x:c r="G46" s="180" t="n">
        <x:v>45739</x:v>
      </x:c>
      <x:c r="H46" s="180" t="n">
        <x:v>46456</x:v>
      </x:c>
      <x:c r="I46" s="180" t="n">
        <x:v>45009</x:v>
      </x:c>
      <x:c r="J46" s="130" t="str">
        <x:v>MC-0071214</x:v>
      </x:c>
      <x:c r="K46" s="130" t="str">
        <x:v>Dr. James Carter</x:v>
      </x:c>
      <x:c r="L46" s="180" t="n">
        <x:v>45739</x:v>
      </x:c>
      <x:c r="M46" s="180" t="n">
        <x:v>45009</x:v>
      </x:c>
      <x:c r="N46" s="130" t="str">
        <x:v>Complete</x:v>
      </x:c>
      <x:c r="O46" s="130" t="n">
        <x:v>46</x:v>
      </x:c>
    </x:row>
    <x:row r="47">
      <x:c r="A47" s="130" t="str">
        <x:v>DRV-007</x:v>
      </x:c>
      <x:c r="B47" s="130" t="str">
        <x:v>Sofia Gomez</x:v>
      </x:c>
      <x:c r="C47" s="130" t="str">
        <x:v>Driver Application</x:v>
      </x:c>
      <x:c r="D47" s="130" t="str">
        <x:v>VALID</x:v>
      </x:c>
      <x:c r="E47" s="130" t="str">
        <x:v>OH0000129</x:v>
      </x:c>
      <x:c r="F47" s="180" t="n">
        <x:v>46530</x:v>
      </x:c>
      <x:c r="G47" s="180" t="n">
        <x:v>45739</x:v>
      </x:c>
      <x:c r="H47" s="180" t="n">
        <x:v>46456</x:v>
      </x:c>
      <x:c r="I47" s="180" t="n">
        <x:v>45009</x:v>
      </x:c>
      <x:c r="J47" s="130" t="str">
        <x:v>MC-0071214</x:v>
      </x:c>
      <x:c r="K47" s="130" t="str">
        <x:v>Dr. James Carter</x:v>
      </x:c>
      <x:c r="L47" s="180" t="n">
        <x:v>45739</x:v>
      </x:c>
      <x:c r="M47" s="180" t="n">
        <x:v>45009</x:v>
      </x:c>
      <x:c r="N47" s="130" t="str">
        <x:v>Complete</x:v>
      </x:c>
      <x:c r="O47" s="130" t="n">
        <x:v>47</x:v>
      </x:c>
    </x:row>
    <x:row r="48">
      <x:c r="A48" s="130" t="str">
        <x:v>DRV-007</x:v>
      </x:c>
      <x:c r="B48" s="130" t="str">
        <x:v>Sofia Gomez</x:v>
      </x:c>
      <x:c r="C48" s="130" t="str">
        <x:v>Road Test Certificate</x:v>
      </x:c>
      <x:c r="D48" s="130" t="str">
        <x:v>VALID</x:v>
      </x:c>
      <x:c r="E48" s="130" t="str">
        <x:v>OH0000120</x:v>
      </x:c>
      <x:c r="F48" s="180" t="n">
        <x:v>46530</x:v>
      </x:c>
      <x:c r="G48" s="180" t="n">
        <x:v>45739</x:v>
      </x:c>
      <x:c r="H48" s="180" t="n">
        <x:v>46456</x:v>
      </x:c>
      <x:c r="I48" s="180" t="n">
        <x:v>45009</x:v>
      </x:c>
      <x:c r="J48" s="130" t="str">
        <x:v>MC-0071214</x:v>
      </x:c>
      <x:c r="K48" s="130" t="str">
        <x:v>Dr. James Carter</x:v>
      </x:c>
      <x:c r="L48" s="180" t="n">
        <x:v>45739</x:v>
      </x:c>
      <x:c r="M48" s="180" t="n">
        <x:v>45009</x:v>
      </x:c>
      <x:c r="N48" s="130" t="str">
        <x:v>Complete</x:v>
      </x:c>
      <x:c r="O48" s="130" t="n">
        <x:v>48</x:v>
      </x:c>
    </x:row>
    <x:row r="49">
      <x:c r="A49" s="130" t="str">
        <x:v>DRV-007</x:v>
      </x:c>
      <x:c r="B49" s="130" t="str">
        <x:v>Sofia Gomez</x:v>
      </x:c>
      <x:c r="C49" s="130" t="str">
        <x:v>Incident/Accident Report</x:v>
      </x:c>
      <x:c r="D49" s="130" t="str">
        <x:v>VALID</x:v>
      </x:c>
      <x:c r="E49" s="130" t="str">
        <x:v>OH0000121</x:v>
      </x:c>
      <x:c r="F49" s="180" t="n">
        <x:v>46530</x:v>
      </x:c>
      <x:c r="G49" s="180" t="n">
        <x:v>45739</x:v>
      </x:c>
      <x:c r="H49" s="180" t="n">
        <x:v>46456</x:v>
      </x:c>
      <x:c r="I49" s="180" t="n">
        <x:v>45009</x:v>
      </x:c>
      <x:c r="J49" s="130" t="str">
        <x:v>MC-0071214</x:v>
      </x:c>
      <x:c r="K49" s="130" t="str">
        <x:v>Dr. James Carter</x:v>
      </x:c>
      <x:c r="L49" s="180" t="n">
        <x:v>45739</x:v>
      </x:c>
      <x:c r="M49" s="180" t="n">
        <x:v>45009</x:v>
      </x:c>
      <x:c r="N49" s="130" t="str">
        <x:v>Complete</x:v>
      </x:c>
      <x:c r="O49" s="130" t="n">
        <x:v>49</x:v>
      </x:c>
    </x:row>
    <x:row r="50">
      <x:c r="A50" s="130" t="str">
        <x:v>DRV-007</x:v>
      </x:c>
      <x:c r="B50" s="130" t="str">
        <x:v>Sofia Gomez</x:v>
      </x:c>
      <x:c r="C50" s="130" t="str">
        <x:v>Direct Deposit Form</x:v>
      </x:c>
      <x:c r="D50" s="130" t="str">
        <x:v>VALID</x:v>
      </x:c>
      <x:c r="E50" s="130" t="str">
        <x:v>OH0000073</x:v>
      </x:c>
      <x:c r="F50" s="180" t="n">
        <x:v>46530</x:v>
      </x:c>
      <x:c r="G50" s="180" t="n">
        <x:v>45739</x:v>
      </x:c>
      <x:c r="H50" s="180" t="n">
        <x:v>46456</x:v>
      </x:c>
      <x:c r="I50" s="180" t="n">
        <x:v>45009</x:v>
      </x:c>
      <x:c r="J50" s="130" t="str">
        <x:v>MC-0071214</x:v>
      </x:c>
      <x:c r="K50" s="130" t="str">
        <x:v>Dr. James Carter</x:v>
      </x:c>
      <x:c r="L50" s="180" t="n">
        <x:v>45739</x:v>
      </x:c>
      <x:c r="M50" s="180" t="n">
        <x:v>45009</x:v>
      </x:c>
      <x:c r="N50" s="130" t="str">
        <x:v>Complete</x:v>
      </x:c>
      <x:c r="O50" s="130" t="n">
        <x:v>50</x:v>
      </x:c>
    </x:row>
    <x:row r="51">
      <x:c r="A51" s="130" t="str">
        <x:v>DRV-008</x:v>
      </x:c>
      <x:c r="B51" s="130" t="str">
        <x:v>Liam Smith</x:v>
      </x:c>
      <x:c r="C51" s="130" t="str">
        <x:v>CDL Summary</x:v>
      </x:c>
      <x:c r="D51" s="130" t="str">
        <x:v>VALID</x:v>
      </x:c>
      <x:c r="E51" s="130" t="str">
        <x:v>OH0000141</x:v>
      </x:c>
      <x:c r="F51" s="180" t="n">
        <x:v>46620</x:v>
      </x:c>
      <x:c r="G51" s="180" t="n">
        <x:v>46670</x:v>
      </x:c>
      <x:c r="H51" s="180" t="n">
        <x:v>46452</x:v>
      </x:c>
      <x:c r="I51" s="180" t="n">
        <x:v>45940</x:v>
      </x:c>
      <x:c r="J51" s="130" t="str">
        <x:v>MC-0080823</x:v>
      </x:c>
      <x:c r="K51" s="130" t="str">
        <x:v>Dr. Alicia Brooks</x:v>
      </x:c>
      <x:c r="L51" s="180" t="n">
        <x:v>46670</x:v>
      </x:c>
      <x:c r="M51" s="180" t="n">
        <x:v>45940</x:v>
      </x:c>
      <x:c r="N51" s="130" t="str">
        <x:v>Complete</x:v>
      </x:c>
      <x:c r="O51" s="130" t="n">
        <x:v>51</x:v>
      </x:c>
    </x:row>
    <x:row r="52">
      <x:c r="A52" s="130" t="str">
        <x:v>DRV-008</x:v>
      </x:c>
      <x:c r="B52" s="130" t="str">
        <x:v>Liam Smith</x:v>
      </x:c>
      <x:c r="C52" s="130" t="str">
        <x:v>Medical Certification</x:v>
      </x:c>
      <x:c r="D52" s="130" t="str">
        <x:v>VALID</x:v>
      </x:c>
      <x:c r="E52" s="130" t="str">
        <x:v>OH0000139</x:v>
      </x:c>
      <x:c r="F52" s="180" t="n">
        <x:v>46620</x:v>
      </x:c>
      <x:c r="G52" s="180" t="n">
        <x:v>46670</x:v>
      </x:c>
      <x:c r="H52" s="180" t="n">
        <x:v>46452</x:v>
      </x:c>
      <x:c r="I52" s="180" t="n">
        <x:v>45940</x:v>
      </x:c>
      <x:c r="J52" s="130" t="str">
        <x:v>MC-0080823</x:v>
      </x:c>
      <x:c r="K52" s="130" t="str">
        <x:v>Dr. Alicia Brooks</x:v>
      </x:c>
      <x:c r="L52" s="180" t="n">
        <x:v>46670</x:v>
      </x:c>
      <x:c r="M52" s="180" t="n">
        <x:v>45940</x:v>
      </x:c>
      <x:c r="N52" s="130" t="str">
        <x:v>Complete</x:v>
      </x:c>
      <x:c r="O52" s="130" t="n">
        <x:v>52</x:v>
      </x:c>
    </x:row>
    <x:row r="53">
      <x:c r="A53" s="130" t="str">
        <x:v>DRV-008</x:v>
      </x:c>
      <x:c r="B53" s="130" t="str">
        <x:v>Liam Smith</x:v>
      </x:c>
      <x:c r="C53" s="130" t="str">
        <x:v>MVR Background Report</x:v>
      </x:c>
      <x:c r="D53" s="130" t="str">
        <x:v>VALID</x:v>
      </x:c>
      <x:c r="E53" s="130" t="str">
        <x:v>OH0000091</x:v>
      </x:c>
      <x:c r="F53" s="180" t="n">
        <x:v>46620</x:v>
      </x:c>
      <x:c r="G53" s="180" t="n">
        <x:v>46670</x:v>
      </x:c>
      <x:c r="H53" s="180" t="n">
        <x:v>46452</x:v>
      </x:c>
      <x:c r="I53" s="180" t="n">
        <x:v>45940</x:v>
      </x:c>
      <x:c r="J53" s="130" t="str">
        <x:v>MC-0080823</x:v>
      </x:c>
      <x:c r="K53" s="130" t="str">
        <x:v>Dr. Alicia Brooks</x:v>
      </x:c>
      <x:c r="L53" s="180" t="n">
        <x:v>46670</x:v>
      </x:c>
      <x:c r="M53" s="180" t="n">
        <x:v>45940</x:v>
      </x:c>
      <x:c r="N53" s="130" t="str">
        <x:v>Complete</x:v>
      </x:c>
      <x:c r="O53" s="130" t="n">
        <x:v>53</x:v>
      </x:c>
    </x:row>
    <x:row r="54">
      <x:c r="A54" s="130" t="str">
        <x:v>DRV-008</x:v>
      </x:c>
      <x:c r="B54" s="130" t="str">
        <x:v>Liam Smith</x:v>
      </x:c>
      <x:c r="C54" s="130" t="str">
        <x:v>Driver Application</x:v>
      </x:c>
      <x:c r="D54" s="130" t="str">
        <x:v>VALID</x:v>
      </x:c>
      <x:c r="E54" s="130" t="str">
        <x:v>OH0000128</x:v>
      </x:c>
      <x:c r="F54" s="180" t="n">
        <x:v>46620</x:v>
      </x:c>
      <x:c r="G54" s="180" t="n">
        <x:v>46670</x:v>
      </x:c>
      <x:c r="H54" s="180" t="n">
        <x:v>46452</x:v>
      </x:c>
      <x:c r="I54" s="180" t="n">
        <x:v>45940</x:v>
      </x:c>
      <x:c r="J54" s="130" t="str">
        <x:v>MC-0080823</x:v>
      </x:c>
      <x:c r="K54" s="130" t="str">
        <x:v>Dr. Alicia Brooks</x:v>
      </x:c>
      <x:c r="L54" s="180" t="n">
        <x:v>46670</x:v>
      </x:c>
      <x:c r="M54" s="180" t="n">
        <x:v>45940</x:v>
      </x:c>
      <x:c r="N54" s="130" t="str">
        <x:v>Complete</x:v>
      </x:c>
      <x:c r="O54" s="130" t="n">
        <x:v>54</x:v>
      </x:c>
    </x:row>
    <x:row r="55">
      <x:c r="A55" s="130" t="str">
        <x:v>DRV-008</x:v>
      </x:c>
      <x:c r="B55" s="130" t="str">
        <x:v>Liam Smith</x:v>
      </x:c>
      <x:c r="C55" s="130" t="str">
        <x:v>Road Test Certificate</x:v>
      </x:c>
      <x:c r="D55" s="130" t="str">
        <x:v>VALID</x:v>
      </x:c>
      <x:c r="E55" s="130" t="str">
        <x:v>OH0000094</x:v>
      </x:c>
      <x:c r="F55" s="180" t="n">
        <x:v>46620</x:v>
      </x:c>
      <x:c r="G55" s="180" t="n">
        <x:v>46670</x:v>
      </x:c>
      <x:c r="H55" s="180" t="n">
        <x:v>46452</x:v>
      </x:c>
      <x:c r="I55" s="180" t="n">
        <x:v>45940</x:v>
      </x:c>
      <x:c r="J55" s="130" t="str">
        <x:v>MC-0080823</x:v>
      </x:c>
      <x:c r="K55" s="130" t="str">
        <x:v>Dr. Alicia Brooks</x:v>
      </x:c>
      <x:c r="L55" s="180" t="n">
        <x:v>46670</x:v>
      </x:c>
      <x:c r="M55" s="180" t="n">
        <x:v>45940</x:v>
      </x:c>
      <x:c r="N55" s="130" t="str">
        <x:v>Complete</x:v>
      </x:c>
      <x:c r="O55" s="130" t="n">
        <x:v>55</x:v>
      </x:c>
    </x:row>
    <x:row r="56">
      <x:c r="A56" s="130" t="str">
        <x:v>DRV-008</x:v>
      </x:c>
      <x:c r="B56" s="130" t="str">
        <x:v>Liam Smith</x:v>
      </x:c>
      <x:c r="C56" s="130" t="str">
        <x:v>Incident/Accident Report</x:v>
      </x:c>
      <x:c r="D56" s="130" t="str">
        <x:v>VALID</x:v>
      </x:c>
      <x:c r="E56" s="130" t="str">
        <x:v>OH0000098</x:v>
      </x:c>
      <x:c r="F56" s="180" t="n">
        <x:v>46620</x:v>
      </x:c>
      <x:c r="G56" s="180" t="n">
        <x:v>46670</x:v>
      </x:c>
      <x:c r="H56" s="180" t="n">
        <x:v>46452</x:v>
      </x:c>
      <x:c r="I56" s="180" t="n">
        <x:v>45940</x:v>
      </x:c>
      <x:c r="J56" s="130" t="str">
        <x:v>MC-0080823</x:v>
      </x:c>
      <x:c r="K56" s="130" t="str">
        <x:v>Dr. Alicia Brooks</x:v>
      </x:c>
      <x:c r="L56" s="180" t="n">
        <x:v>46670</x:v>
      </x:c>
      <x:c r="M56" s="180" t="n">
        <x:v>45940</x:v>
      </x:c>
      <x:c r="N56" s="130" t="str">
        <x:v>Complete</x:v>
      </x:c>
      <x:c r="O56" s="130" t="n">
        <x:v>56</x:v>
      </x:c>
    </x:row>
    <x:row r="57">
      <x:c r="A57" s="130" t="str">
        <x:v>DRV-008</x:v>
      </x:c>
      <x:c r="B57" s="130" t="str">
        <x:v>Liam Smith</x:v>
      </x:c>
      <x:c r="C57" s="130" t="str">
        <x:v>Direct Deposit Form</x:v>
      </x:c>
      <x:c r="D57" s="130" t="str">
        <x:v>VALID</x:v>
      </x:c>
      <x:c r="E57" s="130" t="str">
        <x:v>OH0000150</x:v>
      </x:c>
      <x:c r="F57" s="180" t="n">
        <x:v>46620</x:v>
      </x:c>
      <x:c r="G57" s="180" t="n">
        <x:v>46670</x:v>
      </x:c>
      <x:c r="H57" s="180" t="n">
        <x:v>46452</x:v>
      </x:c>
      <x:c r="I57" s="180" t="n">
        <x:v>45940</x:v>
      </x:c>
      <x:c r="J57" s="130" t="str">
        <x:v>MC-0080823</x:v>
      </x:c>
      <x:c r="K57" s="130" t="str">
        <x:v>Dr. Alicia Brooks</x:v>
      </x:c>
      <x:c r="L57" s="180" t="n">
        <x:v>46670</x:v>
      </x:c>
      <x:c r="M57" s="180" t="n">
        <x:v>45940</x:v>
      </x:c>
      <x:c r="N57" s="130" t="str">
        <x:v>Complete</x:v>
      </x:c>
      <x:c r="O57" s="130" t="n">
        <x:v>57</x:v>
      </x:c>
    </x:row>
    <x:row r="58">
      <x:c r="A58" s="130" t="str">
        <x:v>DRV-009</x:v>
      </x:c>
      <x:c r="B58" s="130" t="str">
        <x:v>Emma Brown</x:v>
      </x:c>
      <x:c r="C58" s="130" t="str">
        <x:v>CDL Summary</x:v>
      </x:c>
      <x:c r="D58" s="130" t="str">
        <x:v>VALID</x:v>
      </x:c>
      <x:c r="E58" s="130" t="str">
        <x:v>OH0000104</x:v>
      </x:c>
      <x:c r="F58" s="180" t="n">
        <x:v>46424</x:v>
      </x:c>
      <x:c r="G58" s="180" t="n">
        <x:v>46645</x:v>
      </x:c>
      <x:c r="H58" s="180" t="n">
        <x:v>46451</x:v>
      </x:c>
      <x:c r="I58" s="180" t="n">
        <x:v>45915</x:v>
      </x:c>
      <x:c r="J58" s="130" t="str">
        <x:v>MC-0091016</x:v>
      </x:c>
      <x:c r="K58" s="130" t="str">
        <x:v>Dr. David Yang</x:v>
      </x:c>
      <x:c r="L58" s="180" t="n">
        <x:v>46645</x:v>
      </x:c>
      <x:c r="M58" s="180" t="n">
        <x:v>45915</x:v>
      </x:c>
      <x:c r="N58" s="130" t="str">
        <x:v>Complete</x:v>
      </x:c>
      <x:c r="O58" s="130" t="n">
        <x:v>58</x:v>
      </x:c>
    </x:row>
    <x:row r="59">
      <x:c r="A59" s="130" t="str">
        <x:v>DRV-009</x:v>
      </x:c>
      <x:c r="B59" s="130" t="str">
        <x:v>Emma Brown</x:v>
      </x:c>
      <x:c r="C59" s="130" t="str">
        <x:v>Medical Certification</x:v>
      </x:c>
      <x:c r="D59" s="130" t="str">
        <x:v>VALID</x:v>
      </x:c>
      <x:c r="E59" s="130" t="str">
        <x:v>OH0000083</x:v>
      </x:c>
      <x:c r="F59" s="180" t="n">
        <x:v>46424</x:v>
      </x:c>
      <x:c r="G59" s="180" t="n">
        <x:v>46645</x:v>
      </x:c>
      <x:c r="H59" s="180" t="n">
        <x:v>46451</x:v>
      </x:c>
      <x:c r="I59" s="180" t="n">
        <x:v>45915</x:v>
      </x:c>
      <x:c r="J59" s="130" t="str">
        <x:v>MC-0091016</x:v>
      </x:c>
      <x:c r="K59" s="130" t="str">
        <x:v>Dr. David Yang</x:v>
      </x:c>
      <x:c r="L59" s="180" t="n">
        <x:v>46645</x:v>
      </x:c>
      <x:c r="M59" s="180" t="n">
        <x:v>45915</x:v>
      </x:c>
      <x:c r="N59" s="130" t="str">
        <x:v>Complete</x:v>
      </x:c>
      <x:c r="O59" s="130" t="n">
        <x:v>59</x:v>
      </x:c>
    </x:row>
    <x:row r="60">
      <x:c r="A60" s="130" t="str">
        <x:v>DRV-009</x:v>
      </x:c>
      <x:c r="B60" s="130" t="str">
        <x:v>Emma Brown</x:v>
      </x:c>
      <x:c r="C60" s="130" t="str">
        <x:v>MVR Background Report</x:v>
      </x:c>
      <x:c r="D60" s="130" t="str">
        <x:v>VALID</x:v>
      </x:c>
      <x:c r="E60" s="130" t="str">
        <x:v>OH0000100</x:v>
      </x:c>
      <x:c r="F60" s="180" t="n">
        <x:v>46424</x:v>
      </x:c>
      <x:c r="G60" s="180" t="n">
        <x:v>46645</x:v>
      </x:c>
      <x:c r="H60" s="180" t="n">
        <x:v>46451</x:v>
      </x:c>
      <x:c r="I60" s="180" t="n">
        <x:v>45915</x:v>
      </x:c>
      <x:c r="J60" s="130" t="str">
        <x:v>MC-0091016</x:v>
      </x:c>
      <x:c r="K60" s="130" t="str">
        <x:v>Dr. David Yang</x:v>
      </x:c>
      <x:c r="L60" s="180" t="n">
        <x:v>46645</x:v>
      </x:c>
      <x:c r="M60" s="180" t="n">
        <x:v>45915</x:v>
      </x:c>
      <x:c r="N60" s="130" t="str">
        <x:v>Complete</x:v>
      </x:c>
      <x:c r="O60" s="130" t="n">
        <x:v>60</x:v>
      </x:c>
    </x:row>
    <x:row r="61">
      <x:c r="A61" s="130" t="str">
        <x:v>DRV-009</x:v>
      </x:c>
      <x:c r="B61" s="130" t="str">
        <x:v>Emma Brown</x:v>
      </x:c>
      <x:c r="C61" s="130" t="str">
        <x:v>Driver Application</x:v>
      </x:c>
      <x:c r="D61" s="130" t="str">
        <x:v>VALID</x:v>
      </x:c>
      <x:c r="E61" s="130" t="str">
        <x:v>OH0000148</x:v>
      </x:c>
      <x:c r="F61" s="180" t="n">
        <x:v>46424</x:v>
      </x:c>
      <x:c r="G61" s="180" t="n">
        <x:v>46645</x:v>
      </x:c>
      <x:c r="H61" s="180" t="n">
        <x:v>46451</x:v>
      </x:c>
      <x:c r="I61" s="180" t="n">
        <x:v>45915</x:v>
      </x:c>
      <x:c r="J61" s="130" t="str">
        <x:v>MC-0091016</x:v>
      </x:c>
      <x:c r="K61" s="130" t="str">
        <x:v>Dr. David Yang</x:v>
      </x:c>
      <x:c r="L61" s="180" t="n">
        <x:v>46645</x:v>
      </x:c>
      <x:c r="M61" s="180" t="n">
        <x:v>45915</x:v>
      </x:c>
      <x:c r="N61" s="130" t="str">
        <x:v>Complete</x:v>
      </x:c>
      <x:c r="O61" s="130" t="n">
        <x:v>61</x:v>
      </x:c>
    </x:row>
    <x:row r="62">
      <x:c r="A62" s="130" t="str">
        <x:v>DRV-009</x:v>
      </x:c>
      <x:c r="B62" s="130" t="str">
        <x:v>Emma Brown</x:v>
      </x:c>
      <x:c r="C62" s="130" t="str">
        <x:v>Road Test Certificate</x:v>
      </x:c>
      <x:c r="D62" s="130" t="str">
        <x:v>VALID</x:v>
      </x:c>
      <x:c r="E62" s="130" t="str">
        <x:v>OH0000122</x:v>
      </x:c>
      <x:c r="F62" s="180" t="n">
        <x:v>46424</x:v>
      </x:c>
      <x:c r="G62" s="180" t="n">
        <x:v>46645</x:v>
      </x:c>
      <x:c r="H62" s="180" t="n">
        <x:v>46451</x:v>
      </x:c>
      <x:c r="I62" s="180" t="n">
        <x:v>45915</x:v>
      </x:c>
      <x:c r="J62" s="130" t="str">
        <x:v>MC-0091016</x:v>
      </x:c>
      <x:c r="K62" s="130" t="str">
        <x:v>Dr. David Yang</x:v>
      </x:c>
      <x:c r="L62" s="180" t="n">
        <x:v>46645</x:v>
      </x:c>
      <x:c r="M62" s="180" t="n">
        <x:v>45915</x:v>
      </x:c>
      <x:c r="N62" s="130" t="str">
        <x:v>Complete</x:v>
      </x:c>
      <x:c r="O62" s="130" t="n">
        <x:v>62</x:v>
      </x:c>
    </x:row>
    <x:row r="63">
      <x:c r="A63" s="130" t="str">
        <x:v>DRV-009</x:v>
      </x:c>
      <x:c r="B63" s="130" t="str">
        <x:v>Emma Brown</x:v>
      </x:c>
      <x:c r="C63" s="130" t="str">
        <x:v>Incident/Accident Report</x:v>
      </x:c>
      <x:c r="D63" s="130" t="str">
        <x:v>VALID</x:v>
      </x:c>
      <x:c r="E63" s="130" t="str">
        <x:v>OH0000096</x:v>
      </x:c>
      <x:c r="F63" s="180" t="n">
        <x:v>46424</x:v>
      </x:c>
      <x:c r="G63" s="180" t="n">
        <x:v>46645</x:v>
      </x:c>
      <x:c r="H63" s="180" t="n">
        <x:v>46451</x:v>
      </x:c>
      <x:c r="I63" s="180" t="n">
        <x:v>45915</x:v>
      </x:c>
      <x:c r="J63" s="130" t="str">
        <x:v>MC-0091016</x:v>
      </x:c>
      <x:c r="K63" s="130" t="str">
        <x:v>Dr. David Yang</x:v>
      </x:c>
      <x:c r="L63" s="180" t="n">
        <x:v>46645</x:v>
      </x:c>
      <x:c r="M63" s="180" t="n">
        <x:v>45915</x:v>
      </x:c>
      <x:c r="N63" s="130" t="str">
        <x:v>Complete</x:v>
      </x:c>
      <x:c r="O63" s="130" t="n">
        <x:v>63</x:v>
      </x:c>
    </x:row>
    <x:row r="64">
      <x:c r="A64" s="130" t="str">
        <x:v>DRV-009</x:v>
      </x:c>
      <x:c r="B64" s="130" t="str">
        <x:v>Emma Brown</x:v>
      </x:c>
      <x:c r="C64" s="130" t="str">
        <x:v>Direct Deposit Form</x:v>
      </x:c>
      <x:c r="D64" s="130" t="str">
        <x:v>VALID</x:v>
      </x:c>
      <x:c r="E64" s="130" t="str">
        <x:v>OH0000140</x:v>
      </x:c>
      <x:c r="F64" s="180" t="n">
        <x:v>46424</x:v>
      </x:c>
      <x:c r="G64" s="180" t="n">
        <x:v>46645</x:v>
      </x:c>
      <x:c r="H64" s="180" t="n">
        <x:v>46451</x:v>
      </x:c>
      <x:c r="I64" s="180" t="n">
        <x:v>45915</x:v>
      </x:c>
      <x:c r="J64" s="130" t="str">
        <x:v>MC-0091016</x:v>
      </x:c>
      <x:c r="K64" s="130" t="str">
        <x:v>Dr. David Yang</x:v>
      </x:c>
      <x:c r="L64" s="180" t="n">
        <x:v>46645</x:v>
      </x:c>
      <x:c r="M64" s="180" t="n">
        <x:v>45915</x:v>
      </x:c>
      <x:c r="N64" s="130" t="str">
        <x:v>Complete</x:v>
      </x:c>
      <x:c r="O64" s="130" t="n">
        <x:v>64</x:v>
      </x:c>
    </x:row>
    <x:row r="65">
      <x:c r="A65" s="130" t="str">
        <x:v>DRV-010</x:v>
      </x:c>
      <x:c r="B65" s="130" t="str">
        <x:v>Noah Wilson</x:v>
      </x:c>
      <x:c r="C65" s="130" t="str">
        <x:v>CDL Summary</x:v>
      </x:c>
      <x:c r="D65" s="130" t="str">
        <x:v>VALID</x:v>
      </x:c>
      <x:c r="E65" s="130" t="str">
        <x:v>IL0000049</x:v>
      </x:c>
      <x:c r="F65" s="180" t="n">
        <x:v>46647</x:v>
      </x:c>
      <x:c r="G65" s="180" t="n">
        <x:v>46752</x:v>
      </x:c>
      <x:c r="H65" s="180" t="n">
        <x:v>46481</x:v>
      </x:c>
      <x:c r="I65" s="180" t="n">
        <x:v>46022</x:v>
      </x:c>
      <x:c r="J65" s="130" t="str">
        <x:v>MC-0100911</x:v>
      </x:c>
      <x:c r="K65" s="130" t="str">
        <x:v>Dr. Shannon Cole</x:v>
      </x:c>
      <x:c r="L65" s="180" t="n">
        <x:v>46752</x:v>
      </x:c>
      <x:c r="M65" s="180" t="n">
        <x:v>46022</x:v>
      </x:c>
      <x:c r="N65" s="130" t="str">
        <x:v>Complete</x:v>
      </x:c>
      <x:c r="O65" s="130" t="n">
        <x:v>65</x:v>
      </x:c>
    </x:row>
    <x:row r="66">
      <x:c r="A66" s="130" t="str">
        <x:v>DRV-010</x:v>
      </x:c>
      <x:c r="B66" s="130" t="str">
        <x:v>Noah Wilson</x:v>
      </x:c>
      <x:c r="C66" s="130" t="str">
        <x:v>Medical Certification</x:v>
      </x:c>
      <x:c r="D66" s="130" t="str">
        <x:v>VALID</x:v>
      </x:c>
      <x:c r="E66" s="130" t="str">
        <x:v>IL0000037</x:v>
      </x:c>
      <x:c r="F66" s="180" t="n">
        <x:v>46647</x:v>
      </x:c>
      <x:c r="G66" s="180" t="n">
        <x:v>46752</x:v>
      </x:c>
      <x:c r="H66" s="180" t="n">
        <x:v>46481</x:v>
      </x:c>
      <x:c r="I66" s="180" t="n">
        <x:v>46022</x:v>
      </x:c>
      <x:c r="J66" s="130" t="str">
        <x:v>MC-0100911</x:v>
      </x:c>
      <x:c r="K66" s="130" t="str">
        <x:v>Dr. Shannon Cole</x:v>
      </x:c>
      <x:c r="L66" s="180" t="n">
        <x:v>46752</x:v>
      </x:c>
      <x:c r="M66" s="180" t="n">
        <x:v>46022</x:v>
      </x:c>
      <x:c r="N66" s="130" t="str">
        <x:v>Complete</x:v>
      </x:c>
      <x:c r="O66" s="130" t="n">
        <x:v>66</x:v>
      </x:c>
    </x:row>
    <x:row r="67">
      <x:c r="A67" s="130" t="str">
        <x:v>DRV-010</x:v>
      </x:c>
      <x:c r="B67" s="130" t="str">
        <x:v>Noah Wilson</x:v>
      </x:c>
      <x:c r="C67" s="130" t="str">
        <x:v>MVR Background Report</x:v>
      </x:c>
      <x:c r="D67" s="130" t="str">
        <x:v>VALID</x:v>
      </x:c>
      <x:c r="E67" s="130" t="str">
        <x:v>IL0000060</x:v>
      </x:c>
      <x:c r="F67" s="180" t="n">
        <x:v>46647</x:v>
      </x:c>
      <x:c r="G67" s="180" t="n">
        <x:v>46752</x:v>
      </x:c>
      <x:c r="H67" s="180" t="n">
        <x:v>46481</x:v>
      </x:c>
      <x:c r="I67" s="180" t="n">
        <x:v>46022</x:v>
      </x:c>
      <x:c r="J67" s="130" t="str">
        <x:v>MC-0100911</x:v>
      </x:c>
      <x:c r="K67" s="130" t="str">
        <x:v>Dr. Shannon Cole</x:v>
      </x:c>
      <x:c r="L67" s="180" t="n">
        <x:v>46752</x:v>
      </x:c>
      <x:c r="M67" s="180" t="n">
        <x:v>46022</x:v>
      </x:c>
      <x:c r="N67" s="130" t="str">
        <x:v>Complete</x:v>
      </x:c>
      <x:c r="O67" s="130" t="n">
        <x:v>67</x:v>
      </x:c>
    </x:row>
    <x:row r="68">
      <x:c r="A68" s="130" t="str">
        <x:v>DRV-010</x:v>
      </x:c>
      <x:c r="B68" s="130" t="str">
        <x:v>Noah Wilson</x:v>
      </x:c>
      <x:c r="C68" s="130" t="str">
        <x:v>Driver Application</x:v>
      </x:c>
      <x:c r="D68" s="130" t="str">
        <x:v>VALID</x:v>
      </x:c>
      <x:c r="E68" s="130" t="str">
        <x:v>IL0000059</x:v>
      </x:c>
      <x:c r="F68" s="180" t="n">
        <x:v>46647</x:v>
      </x:c>
      <x:c r="G68" s="180" t="n">
        <x:v>46752</x:v>
      </x:c>
      <x:c r="H68" s="180" t="n">
        <x:v>46481</x:v>
      </x:c>
      <x:c r="I68" s="180" t="n">
        <x:v>46022</x:v>
      </x:c>
      <x:c r="J68" s="130" t="str">
        <x:v>MC-0100911</x:v>
      </x:c>
      <x:c r="K68" s="130" t="str">
        <x:v>Dr. Shannon Cole</x:v>
      </x:c>
      <x:c r="L68" s="180" t="n">
        <x:v>46752</x:v>
      </x:c>
      <x:c r="M68" s="180" t="n">
        <x:v>46022</x:v>
      </x:c>
      <x:c r="N68" s="130" t="str">
        <x:v>Complete</x:v>
      </x:c>
      <x:c r="O68" s="130" t="n">
        <x:v>68</x:v>
      </x:c>
    </x:row>
    <x:row r="69">
      <x:c r="A69" s="130" t="str">
        <x:v>DRV-010</x:v>
      </x:c>
      <x:c r="B69" s="130" t="str">
        <x:v>Noah Wilson</x:v>
      </x:c>
      <x:c r="C69" s="130" t="str">
        <x:v>Road Test Certificate</x:v>
      </x:c>
      <x:c r="D69" s="130" t="str">
        <x:v>VALID</x:v>
      </x:c>
      <x:c r="E69" s="130" t="str">
        <x:v>IL0000064</x:v>
      </x:c>
      <x:c r="F69" s="180" t="n">
        <x:v>46647</x:v>
      </x:c>
      <x:c r="G69" s="180" t="n">
        <x:v>46752</x:v>
      </x:c>
      <x:c r="H69" s="180" t="n">
        <x:v>46481</x:v>
      </x:c>
      <x:c r="I69" s="180" t="n">
        <x:v>46022</x:v>
      </x:c>
      <x:c r="J69" s="130" t="str">
        <x:v>MC-0100911</x:v>
      </x:c>
      <x:c r="K69" s="130" t="str">
        <x:v>Dr. Shannon Cole</x:v>
      </x:c>
      <x:c r="L69" s="180" t="n">
        <x:v>46752</x:v>
      </x:c>
      <x:c r="M69" s="180" t="n">
        <x:v>46022</x:v>
      </x:c>
      <x:c r="N69" s="130" t="str">
        <x:v>Complete</x:v>
      </x:c>
      <x:c r="O69" s="130" t="n">
        <x:v>69</x:v>
      </x:c>
    </x:row>
    <x:row r="70">
      <x:c r="A70" s="130" t="str">
        <x:v>DRV-010</x:v>
      </x:c>
      <x:c r="B70" s="130" t="str">
        <x:v>Noah Wilson</x:v>
      </x:c>
      <x:c r="C70" s="130" t="str">
        <x:v>Incident/Accident Report</x:v>
      </x:c>
      <x:c r="D70" s="130" t="str">
        <x:v>VALID</x:v>
      </x:c>
      <x:c r="E70" s="130" t="str">
        <x:v>IL0000063</x:v>
      </x:c>
      <x:c r="F70" s="180" t="n">
        <x:v>46647</x:v>
      </x:c>
      <x:c r="G70" s="180" t="n">
        <x:v>46752</x:v>
      </x:c>
      <x:c r="H70" s="180" t="n">
        <x:v>46481</x:v>
      </x:c>
      <x:c r="I70" s="180" t="n">
        <x:v>46022</x:v>
      </x:c>
      <x:c r="J70" s="130" t="str">
        <x:v>MC-0100911</x:v>
      </x:c>
      <x:c r="K70" s="130" t="str">
        <x:v>Dr. Shannon Cole</x:v>
      </x:c>
      <x:c r="L70" s="180" t="n">
        <x:v>46752</x:v>
      </x:c>
      <x:c r="M70" s="180" t="n">
        <x:v>46022</x:v>
      </x:c>
      <x:c r="N70" s="130" t="str">
        <x:v>Complete</x:v>
      </x:c>
      <x:c r="O70" s="130" t="n">
        <x:v>70</x:v>
      </x:c>
    </x:row>
    <x:row r="71">
      <x:c r="A71" s="130" t="str">
        <x:v>DRV-010</x:v>
      </x:c>
      <x:c r="B71" s="130" t="str">
        <x:v>Noah Wilson</x:v>
      </x:c>
      <x:c r="C71" s="130" t="str">
        <x:v>Direct Deposit Form</x:v>
      </x:c>
      <x:c r="D71" s="130" t="str">
        <x:v>VALID</x:v>
      </x:c>
      <x:c r="E71" s="130" t="str">
        <x:v>IL0000038</x:v>
      </x:c>
      <x:c r="F71" s="180" t="n">
        <x:v>46647</x:v>
      </x:c>
      <x:c r="G71" s="180" t="n">
        <x:v>46752</x:v>
      </x:c>
      <x:c r="H71" s="180" t="n">
        <x:v>46481</x:v>
      </x:c>
      <x:c r="I71" s="180" t="n">
        <x:v>46022</x:v>
      </x:c>
      <x:c r="J71" s="130" t="str">
        <x:v>MC-0100911</x:v>
      </x:c>
      <x:c r="K71" s="130" t="str">
        <x:v>Dr. Shannon Cole</x:v>
      </x:c>
      <x:c r="L71" s="180" t="n">
        <x:v>46752</x:v>
      </x:c>
      <x:c r="M71" s="180" t="n">
        <x:v>46022</x:v>
      </x:c>
      <x:c r="N71" s="130" t="str">
        <x:v>Complete</x:v>
      </x:c>
      <x:c r="O71" s="130" t="n">
        <x:v>71</x:v>
      </x:c>
    </x:row>
    <x:row r="72">
      <x:c r="A72" s="130" t="str">
        <x:v>DRV-011</x:v>
      </x:c>
      <x:c r="B72" s="130" t="str">
        <x:v>Olivia Lee</x:v>
      </x:c>
      <x:c r="C72" s="130" t="str">
        <x:v>CDL Summary</x:v>
      </x:c>
      <x:c r="D72" s="130" t="str">
        <x:v>VALID</x:v>
      </x:c>
      <x:c r="E72" s="130" t="str">
        <x:v>GA0000020</x:v>
      </x:c>
      <x:c r="F72" s="180" t="n">
        <x:v>46566</x:v>
      </x:c>
      <x:c r="G72" s="180" t="n">
        <x:v>46499</x:v>
      </x:c>
      <x:c r="H72" s="180" t="n">
        <x:v>46484</x:v>
      </x:c>
      <x:c r="I72" s="180" t="n">
        <x:v>45769</x:v>
      </x:c>
      <x:c r="J72" s="130" t="str">
        <x:v>MC-0110314</x:v>
      </x:c>
      <x:c r="K72" s="130" t="str">
        <x:v>Dr. Melissa Tran</x:v>
      </x:c>
      <x:c r="L72" s="180" t="n">
        <x:v>46499</x:v>
      </x:c>
      <x:c r="M72" s="180" t="n">
        <x:v>45769</x:v>
      </x:c>
      <x:c r="N72" s="130" t="str">
        <x:v>Complete</x:v>
      </x:c>
      <x:c r="O72" s="130" t="n">
        <x:v>72</x:v>
      </x:c>
    </x:row>
    <x:row r="73">
      <x:c r="A73" s="130" t="str">
        <x:v>DRV-011</x:v>
      </x:c>
      <x:c r="B73" s="130" t="str">
        <x:v>Olivia Lee</x:v>
      </x:c>
      <x:c r="C73" s="130" t="str">
        <x:v>Medical Certification</x:v>
      </x:c>
      <x:c r="D73" s="130" t="str">
        <x:v>VALID</x:v>
      </x:c>
      <x:c r="E73" s="130" t="str">
        <x:v>GA0000007</x:v>
      </x:c>
      <x:c r="F73" s="180" t="n">
        <x:v>46566</x:v>
      </x:c>
      <x:c r="G73" s="180" t="n">
        <x:v>46499</x:v>
      </x:c>
      <x:c r="H73" s="180" t="n">
        <x:v>46484</x:v>
      </x:c>
      <x:c r="I73" s="180" t="n">
        <x:v>45769</x:v>
      </x:c>
      <x:c r="J73" s="130" t="str">
        <x:v>MC-0110314</x:v>
      </x:c>
      <x:c r="K73" s="130" t="str">
        <x:v>Dr. Melissa Tran</x:v>
      </x:c>
      <x:c r="L73" s="180" t="n">
        <x:v>46499</x:v>
      </x:c>
      <x:c r="M73" s="180" t="n">
        <x:v>45769</x:v>
      </x:c>
      <x:c r="N73" s="130" t="str">
        <x:v>Complete</x:v>
      </x:c>
      <x:c r="O73" s="130" t="n">
        <x:v>73</x:v>
      </x:c>
    </x:row>
    <x:row r="74">
      <x:c r="A74" s="130" t="str">
        <x:v>DRV-011</x:v>
      </x:c>
      <x:c r="B74" s="130" t="str">
        <x:v>Olivia Lee</x:v>
      </x:c>
      <x:c r="C74" s="130" t="str">
        <x:v>MVR Background Report</x:v>
      </x:c>
      <x:c r="D74" s="130" t="str">
        <x:v>VALID</x:v>
      </x:c>
      <x:c r="E74" s="130" t="str">
        <x:v>GA0000009</x:v>
      </x:c>
      <x:c r="F74" s="180" t="n">
        <x:v>46566</x:v>
      </x:c>
      <x:c r="G74" s="180" t="n">
        <x:v>46499</x:v>
      </x:c>
      <x:c r="H74" s="180" t="n">
        <x:v>46484</x:v>
      </x:c>
      <x:c r="I74" s="180" t="n">
        <x:v>45769</x:v>
      </x:c>
      <x:c r="J74" s="130" t="str">
        <x:v>MC-0110314</x:v>
      </x:c>
      <x:c r="K74" s="130" t="str">
        <x:v>Dr. Melissa Tran</x:v>
      </x:c>
      <x:c r="L74" s="180" t="n">
        <x:v>46499</x:v>
      </x:c>
      <x:c r="M74" s="180" t="n">
        <x:v>45769</x:v>
      </x:c>
      <x:c r="N74" s="130" t="str">
        <x:v>Complete</x:v>
      </x:c>
      <x:c r="O74" s="130" t="n">
        <x:v>74</x:v>
      </x:c>
    </x:row>
    <x:row r="75">
      <x:c r="A75" s="130" t="str">
        <x:v>DRV-011</x:v>
      </x:c>
      <x:c r="B75" s="130" t="str">
        <x:v>Olivia Lee</x:v>
      </x:c>
      <x:c r="C75" s="130" t="str">
        <x:v>Driver Application</x:v>
      </x:c>
      <x:c r="D75" s="130" t="str">
        <x:v>VALID</x:v>
      </x:c>
      <x:c r="E75" s="130" t="str">
        <x:v>GA0000010</x:v>
      </x:c>
      <x:c r="F75" s="180" t="n">
        <x:v>46566</x:v>
      </x:c>
      <x:c r="G75" s="180" t="n">
        <x:v>46499</x:v>
      </x:c>
      <x:c r="H75" s="180" t="n">
        <x:v>46484</x:v>
      </x:c>
      <x:c r="I75" s="180" t="n">
        <x:v>45769</x:v>
      </x:c>
      <x:c r="J75" s="130" t="str">
        <x:v>MC-0110314</x:v>
      </x:c>
      <x:c r="K75" s="130" t="str">
        <x:v>Dr. Melissa Tran</x:v>
      </x:c>
      <x:c r="L75" s="180" t="n">
        <x:v>46499</x:v>
      </x:c>
      <x:c r="M75" s="180" t="n">
        <x:v>45769</x:v>
      </x:c>
      <x:c r="N75" s="130" t="str">
        <x:v>Complete</x:v>
      </x:c>
      <x:c r="O75" s="130" t="n">
        <x:v>75</x:v>
      </x:c>
    </x:row>
    <x:row r="76">
      <x:c r="A76" s="130" t="str">
        <x:v>DRV-011</x:v>
      </x:c>
      <x:c r="B76" s="130" t="str">
        <x:v>Olivia Lee</x:v>
      </x:c>
      <x:c r="C76" s="130" t="str">
        <x:v>Road Test Certificate</x:v>
      </x:c>
      <x:c r="D76" s="130" t="str">
        <x:v>VALID</x:v>
      </x:c>
      <x:c r="E76" s="130" t="str">
        <x:v>GA0000012</x:v>
      </x:c>
      <x:c r="F76" s="180" t="n">
        <x:v>46566</x:v>
      </x:c>
      <x:c r="G76" s="180" t="n">
        <x:v>46499</x:v>
      </x:c>
      <x:c r="H76" s="180" t="n">
        <x:v>46484</x:v>
      </x:c>
      <x:c r="I76" s="180" t="n">
        <x:v>45769</x:v>
      </x:c>
      <x:c r="J76" s="130" t="str">
        <x:v>MC-0110314</x:v>
      </x:c>
      <x:c r="K76" s="130" t="str">
        <x:v>Dr. Melissa Tran</x:v>
      </x:c>
      <x:c r="L76" s="180" t="n">
        <x:v>46499</x:v>
      </x:c>
      <x:c r="M76" s="180" t="n">
        <x:v>45769</x:v>
      </x:c>
      <x:c r="N76" s="130" t="str">
        <x:v>Complete</x:v>
      </x:c>
      <x:c r="O76" s="130" t="n">
        <x:v>76</x:v>
      </x:c>
    </x:row>
    <x:row r="77">
      <x:c r="A77" s="130" t="str">
        <x:v>DRV-011</x:v>
      </x:c>
      <x:c r="B77" s="130" t="str">
        <x:v>Olivia Lee</x:v>
      </x:c>
      <x:c r="C77" s="130" t="str">
        <x:v>Incident/Accident Report</x:v>
      </x:c>
      <x:c r="D77" s="130" t="str">
        <x:v>VALID</x:v>
      </x:c>
      <x:c r="E77" s="130" t="str">
        <x:v>GA0000008</x:v>
      </x:c>
      <x:c r="F77" s="180" t="n">
        <x:v>46566</x:v>
      </x:c>
      <x:c r="G77" s="180" t="n">
        <x:v>46499</x:v>
      </x:c>
      <x:c r="H77" s="180" t="n">
        <x:v>46484</x:v>
      </x:c>
      <x:c r="I77" s="180" t="n">
        <x:v>45769</x:v>
      </x:c>
      <x:c r="J77" s="130" t="str">
        <x:v>MC-0110314</x:v>
      </x:c>
      <x:c r="K77" s="130" t="str">
        <x:v>Dr. Melissa Tran</x:v>
      </x:c>
      <x:c r="L77" s="180" t="n">
        <x:v>46499</x:v>
      </x:c>
      <x:c r="M77" s="180" t="n">
        <x:v>45769</x:v>
      </x:c>
      <x:c r="N77" s="130" t="str">
        <x:v>Complete</x:v>
      </x:c>
      <x:c r="O77" s="130" t="n">
        <x:v>77</x:v>
      </x:c>
    </x:row>
    <x:row r="78">
      <x:c r="A78" s="130" t="str">
        <x:v>DRV-011</x:v>
      </x:c>
      <x:c r="B78" s="130" t="str">
        <x:v>Olivia Lee</x:v>
      </x:c>
      <x:c r="C78" s="130" t="str">
        <x:v>Direct Deposit Form</x:v>
      </x:c>
      <x:c r="D78" s="130" t="str">
        <x:v>VALID</x:v>
      </x:c>
      <x:c r="E78" s="130" t="str">
        <x:v>GA0000003</x:v>
      </x:c>
      <x:c r="F78" s="180" t="n">
        <x:v>46566</x:v>
      </x:c>
      <x:c r="G78" s="180" t="n">
        <x:v>46499</x:v>
      </x:c>
      <x:c r="H78" s="180" t="n">
        <x:v>46484</x:v>
      </x:c>
      <x:c r="I78" s="180" t="n">
        <x:v>45769</x:v>
      </x:c>
      <x:c r="J78" s="130" t="str">
        <x:v>MC-0110314</x:v>
      </x:c>
      <x:c r="K78" s="130" t="str">
        <x:v>Dr. Melissa Tran</x:v>
      </x:c>
      <x:c r="L78" s="180" t="n">
        <x:v>46499</x:v>
      </x:c>
      <x:c r="M78" s="180" t="n">
        <x:v>45769</x:v>
      </x:c>
      <x:c r="N78" s="130" t="str">
        <x:v>Complete</x:v>
      </x:c>
      <x:c r="O78" s="130" t="n">
        <x:v>78</x:v>
      </x:c>
    </x:row>
    <x:row r="79">
      <x:c r="A79" s="130" t="str">
        <x:v>DRV-012</x:v>
      </x:c>
      <x:c r="B79" s="130" t="str">
        <x:v>Robert Johnson</x:v>
      </x:c>
      <x:c r="C79" s="130" t="str">
        <x:v>CDL Summary</x:v>
      </x:c>
      <x:c r="D79" s="130" t="str">
        <x:v>VALID</x:v>
      </x:c>
      <x:c r="E79" s="130" t="str">
        <x:v>IL0000030</x:v>
      </x:c>
      <x:c r="F79" s="180" t="n">
        <x:v>46706</x:v>
      </x:c>
      <x:c r="G79" s="180" t="n">
        <x:v>46609</x:v>
      </x:c>
      <x:c r="H79" s="180" t="n">
        <x:v>46519</x:v>
      </x:c>
      <x:c r="I79" s="180" t="n">
        <x:v>45879</x:v>
      </x:c>
      <x:c r="J79" s="130" t="str">
        <x:v>MC-0120411</x:v>
      </x:c>
      <x:c r="K79" s="130" t="str">
        <x:v>Dr. Victor Reed</x:v>
      </x:c>
      <x:c r="L79" s="180" t="n">
        <x:v>46609</x:v>
      </x:c>
      <x:c r="M79" s="180" t="n">
        <x:v>45879</x:v>
      </x:c>
      <x:c r="N79" s="130" t="str">
        <x:v>Complete</x:v>
      </x:c>
      <x:c r="O79" s="130" t="n">
        <x:v>79</x:v>
      </x:c>
    </x:row>
    <x:row r="80">
      <x:c r="A80" s="130" t="str">
        <x:v>DRV-012</x:v>
      </x:c>
      <x:c r="B80" s="130" t="str">
        <x:v>Robert Johnson</x:v>
      </x:c>
      <x:c r="C80" s="130" t="str">
        <x:v>Medical Certification</x:v>
      </x:c>
      <x:c r="D80" s="130" t="str">
        <x:v>VALID</x:v>
      </x:c>
      <x:c r="E80" s="130" t="str">
        <x:v>IL0000062</x:v>
      </x:c>
      <x:c r="F80" s="180" t="n">
        <x:v>46706</x:v>
      </x:c>
      <x:c r="G80" s="180" t="n">
        <x:v>46609</x:v>
      </x:c>
      <x:c r="H80" s="180" t="n">
        <x:v>46519</x:v>
      </x:c>
      <x:c r="I80" s="180" t="n">
        <x:v>45879</x:v>
      </x:c>
      <x:c r="J80" s="130" t="str">
        <x:v>MC-0120411</x:v>
      </x:c>
      <x:c r="K80" s="130" t="str">
        <x:v>Dr. Victor Reed</x:v>
      </x:c>
      <x:c r="L80" s="180" t="n">
        <x:v>46609</x:v>
      </x:c>
      <x:c r="M80" s="180" t="n">
        <x:v>45879</x:v>
      </x:c>
      <x:c r="N80" s="130" t="str">
        <x:v>Complete</x:v>
      </x:c>
      <x:c r="O80" s="130" t="n">
        <x:v>80</x:v>
      </x:c>
    </x:row>
    <x:row r="81">
      <x:c r="A81" s="130" t="str">
        <x:v>DRV-012</x:v>
      </x:c>
      <x:c r="B81" s="130" t="str">
        <x:v>Robert Johnson</x:v>
      </x:c>
      <x:c r="C81" s="130" t="str">
        <x:v>MVR Background Report</x:v>
      </x:c>
      <x:c r="D81" s="130" t="str">
        <x:v>VALID</x:v>
      </x:c>
      <x:c r="E81" s="130" t="str">
        <x:v>IL0000040</x:v>
      </x:c>
      <x:c r="F81" s="180" t="n">
        <x:v>46706</x:v>
      </x:c>
      <x:c r="G81" s="180" t="n">
        <x:v>46609</x:v>
      </x:c>
      <x:c r="H81" s="180" t="n">
        <x:v>46519</x:v>
      </x:c>
      <x:c r="I81" s="180" t="n">
        <x:v>45879</x:v>
      </x:c>
      <x:c r="J81" s="130" t="str">
        <x:v>MC-0120411</x:v>
      </x:c>
      <x:c r="K81" s="130" t="str">
        <x:v>Dr. Victor Reed</x:v>
      </x:c>
      <x:c r="L81" s="180" t="n">
        <x:v>46609</x:v>
      </x:c>
      <x:c r="M81" s="180" t="n">
        <x:v>45879</x:v>
      </x:c>
      <x:c r="N81" s="130" t="str">
        <x:v>Complete</x:v>
      </x:c>
      <x:c r="O81" s="130" t="n">
        <x:v>81</x:v>
      </x:c>
    </x:row>
    <x:row r="82">
      <x:c r="A82" s="130" t="str">
        <x:v>DRV-012</x:v>
      </x:c>
      <x:c r="B82" s="130" t="str">
        <x:v>Robert Johnson</x:v>
      </x:c>
      <x:c r="C82" s="130" t="str">
        <x:v>Driver Application</x:v>
      </x:c>
      <x:c r="D82" s="130" t="str">
        <x:v>VALID</x:v>
      </x:c>
      <x:c r="E82" s="130" t="str">
        <x:v>IL0000057</x:v>
      </x:c>
      <x:c r="F82" s="180" t="n">
        <x:v>46706</x:v>
      </x:c>
      <x:c r="G82" s="180" t="n">
        <x:v>46609</x:v>
      </x:c>
      <x:c r="H82" s="180" t="n">
        <x:v>46519</x:v>
      </x:c>
      <x:c r="I82" s="180" t="n">
        <x:v>45879</x:v>
      </x:c>
      <x:c r="J82" s="130" t="str">
        <x:v>MC-0120411</x:v>
      </x:c>
      <x:c r="K82" s="130" t="str">
        <x:v>Dr. Victor Reed</x:v>
      </x:c>
      <x:c r="L82" s="180" t="n">
        <x:v>46609</x:v>
      </x:c>
      <x:c r="M82" s="180" t="n">
        <x:v>45879</x:v>
      </x:c>
      <x:c r="N82" s="130" t="str">
        <x:v>Complete</x:v>
      </x:c>
      <x:c r="O82" s="130" t="n">
        <x:v>82</x:v>
      </x:c>
    </x:row>
    <x:row r="83">
      <x:c r="A83" s="130" t="str">
        <x:v>DRV-012</x:v>
      </x:c>
      <x:c r="B83" s="130" t="str">
        <x:v>Robert Johnson</x:v>
      </x:c>
      <x:c r="C83" s="130" t="str">
        <x:v>Road Test Certificate</x:v>
      </x:c>
      <x:c r="D83" s="130" t="str">
        <x:v>VALID</x:v>
      </x:c>
      <x:c r="E83" s="130" t="str">
        <x:v>IL0000066</x:v>
      </x:c>
      <x:c r="F83" s="180" t="n">
        <x:v>46706</x:v>
      </x:c>
      <x:c r="G83" s="180" t="n">
        <x:v>46609</x:v>
      </x:c>
      <x:c r="H83" s="180" t="n">
        <x:v>46519</x:v>
      </x:c>
      <x:c r="I83" s="180" t="n">
        <x:v>45879</x:v>
      </x:c>
      <x:c r="J83" s="130" t="str">
        <x:v>MC-0120411</x:v>
      </x:c>
      <x:c r="K83" s="130" t="str">
        <x:v>Dr. Victor Reed</x:v>
      </x:c>
      <x:c r="L83" s="180" t="n">
        <x:v>46609</x:v>
      </x:c>
      <x:c r="M83" s="180" t="n">
        <x:v>45879</x:v>
      </x:c>
      <x:c r="N83" s="130" t="str">
        <x:v>Complete</x:v>
      </x:c>
      <x:c r="O83" s="130" t="n">
        <x:v>83</x:v>
      </x:c>
    </x:row>
    <x:row r="84">
      <x:c r="A84" s="130" t="str">
        <x:v>DRV-012</x:v>
      </x:c>
      <x:c r="B84" s="130" t="str">
        <x:v>Robert Johnson</x:v>
      </x:c>
      <x:c r="C84" s="130" t="str">
        <x:v>Incident/Accident Report</x:v>
      </x:c>
      <x:c r="D84" s="130" t="str">
        <x:v>VALID</x:v>
      </x:c>
      <x:c r="E84" s="130" t="str">
        <x:v>IL0000048</x:v>
      </x:c>
      <x:c r="F84" s="180" t="n">
        <x:v>46706</x:v>
      </x:c>
      <x:c r="G84" s="180" t="n">
        <x:v>46609</x:v>
      </x:c>
      <x:c r="H84" s="180" t="n">
        <x:v>46519</x:v>
      </x:c>
      <x:c r="I84" s="180" t="n">
        <x:v>45879</x:v>
      </x:c>
      <x:c r="J84" s="130" t="str">
        <x:v>MC-0120411</x:v>
      </x:c>
      <x:c r="K84" s="130" t="str">
        <x:v>Dr. Victor Reed</x:v>
      </x:c>
      <x:c r="L84" s="180" t="n">
        <x:v>46609</x:v>
      </x:c>
      <x:c r="M84" s="180" t="n">
        <x:v>45879</x:v>
      </x:c>
      <x:c r="N84" s="130" t="str">
        <x:v>Complete</x:v>
      </x:c>
      <x:c r="O84" s="130" t="n">
        <x:v>84</x:v>
      </x:c>
    </x:row>
    <x:row r="85">
      <x:c r="A85" s="130" t="str">
        <x:v>DRV-012</x:v>
      </x:c>
      <x:c r="B85" s="130" t="str">
        <x:v>Robert Johnson</x:v>
      </x:c>
      <x:c r="C85" s="130" t="str">
        <x:v>Direct Deposit Form</x:v>
      </x:c>
      <x:c r="D85" s="130" t="str">
        <x:v>VALID</x:v>
      </x:c>
      <x:c r="E85" s="130" t="str">
        <x:v>IL0000039</x:v>
      </x:c>
      <x:c r="F85" s="180" t="n">
        <x:v>46706</x:v>
      </x:c>
      <x:c r="G85" s="180" t="n">
        <x:v>46609</x:v>
      </x:c>
      <x:c r="H85" s="180" t="n">
        <x:v>46519</x:v>
      </x:c>
      <x:c r="I85" s="180" t="n">
        <x:v>45879</x:v>
      </x:c>
      <x:c r="J85" s="130" t="str">
        <x:v>MC-0120411</x:v>
      </x:c>
      <x:c r="K85" s="130" t="str">
        <x:v>Dr. Victor Reed</x:v>
      </x:c>
      <x:c r="L85" s="180" t="n">
        <x:v>46609</x:v>
      </x:c>
      <x:c r="M85" s="180" t="n">
        <x:v>45879</x:v>
      </x:c>
      <x:c r="N85" s="130" t="str">
        <x:v>Complete</x:v>
      </x:c>
      <x:c r="O85" s="130" t="n">
        <x:v>85</x:v>
      </x:c>
    </x:row>
    <x:row r="86">
      <x:c r="A86" s="130"/>
      <x:c r="B86" s="130"/>
      <x:c r="C86" s="130"/>
      <x:c r="D86" s="130"/>
      <x:c r="E86" s="130"/>
      <x:c r="F86" s="180"/>
      <x:c r="G86" s="180"/>
      <x:c r="H86" s="180"/>
      <x:c r="I86" s="180"/>
      <x:c r="J86" s="130"/>
      <x:c r="K86" s="130"/>
      <x:c r="L86" s="180"/>
      <x:c r="M86" s="180"/>
      <x:c r="N86" s="130"/>
      <x:c r="O86" s="130" t="n">
        <x:v>86</x:v>
      </x:c>
    </x:row>
    <x:row r="87">
      <x:c r="A87" s="130" t="str">
        <x:v>DRV-001    900-00-0123</x:v>
      </x:c>
      <x:c r="B87" s="130"/>
      <x:c r="C87" s="130"/>
      <x:c r="D87" s="130"/>
      <x:c r="E87" s="130"/>
      <x:c r="F87" s="180"/>
      <x:c r="G87" s="180"/>
      <x:c r="H87" s="180"/>
      <x:c r="I87" s="180"/>
      <x:c r="J87" s="130"/>
      <x:c r="K87" s="130"/>
      <x:c r="L87" s="180"/>
      <x:c r="M87" s="180"/>
      <x:c r="N87" s="130"/>
      <x:c r="O87" s="130" t="n">
        <x:v>87</x:v>
      </x:c>
    </x:row>
    <x:row r="88">
      <x:c r="A88" s="130" t="str">
        <x:v>DRV-002    900-00-0105</x:v>
      </x:c>
      <x:c r="B88" s="130"/>
      <x:c r="C88" s="130"/>
      <x:c r="D88" s="130"/>
      <x:c r="E88" s="130"/>
      <x:c r="F88" s="180"/>
      <x:c r="G88" s="180"/>
      <x:c r="H88" s="180"/>
      <x:c r="I88" s="180"/>
      <x:c r="J88" s="130"/>
      <x:c r="K88" s="130"/>
      <x:c r="L88" s="180"/>
      <x:c r="M88" s="180"/>
      <x:c r="N88" s="130"/>
      <x:c r="O88" s="130" t="n">
        <x:v>88</x:v>
      </x:c>
    </x:row>
    <x:row r="89">
      <x:c r="A89" s="130" t="str">
        <x:v>DRV-003    900-00-0116</x:v>
      </x:c>
      <x:c r="B89" s="130"/>
      <x:c r="C89" s="130"/>
      <x:c r="D89" s="130"/>
      <x:c r="E89" s="130"/>
      <x:c r="F89" s="180"/>
      <x:c r="G89" s="180"/>
      <x:c r="H89" s="180"/>
      <x:c r="I89" s="180"/>
      <x:c r="J89" s="130"/>
      <x:c r="K89" s="130"/>
      <x:c r="L89" s="180"/>
      <x:c r="M89" s="180"/>
      <x:c r="N89" s="130"/>
      <x:c r="O89" s="130" t="n">
        <x:v>89</x:v>
      </x:c>
    </x:row>
    <x:row r="90">
      <x:c r="A90" s="130" t="str">
        <x:v>DRV-004    900-00-0119</x:v>
      </x:c>
      <x:c r="B90" s="130"/>
      <x:c r="C90" s="130"/>
      <x:c r="D90" s="130"/>
      <x:c r="E90" s="130"/>
      <x:c r="F90" s="180"/>
      <x:c r="G90" s="180"/>
      <x:c r="H90" s="180"/>
      <x:c r="I90" s="180"/>
      <x:c r="J90" s="130"/>
      <x:c r="K90" s="130"/>
      <x:c r="L90" s="180"/>
      <x:c r="M90" s="180"/>
      <x:c r="N90" s="130"/>
      <x:c r="O90" s="130" t="n">
        <x:v>90</x:v>
      </x:c>
    </x:row>
    <x:row r="91">
      <x:c r="A91" s="130" t="str">
        <x:v>DRV-005    900-00-0102</x:v>
      </x:c>
      <x:c r="B91" s="130"/>
      <x:c r="C91" s="130"/>
      <x:c r="D91" s="130"/>
      <x:c r="E91" s="130"/>
      <x:c r="F91" s="180"/>
      <x:c r="G91" s="180"/>
      <x:c r="H91" s="180"/>
      <x:c r="I91" s="180"/>
      <x:c r="J91" s="130"/>
      <x:c r="K91" s="130"/>
      <x:c r="L91" s="180"/>
      <x:c r="M91" s="180"/>
      <x:c r="N91" s="130"/>
      <x:c r="O91" s="130" t="n">
        <x:v>91</x:v>
      </x:c>
    </x:row>
    <x:row r="92">
      <x:c r="A92" s="130" t="str">
        <x:v>DRV-006    900-00-0101</x:v>
      </x:c>
      <x:c r="B92" s="130"/>
      <x:c r="C92" s="130"/>
      <x:c r="D92" s="130"/>
      <x:c r="E92" s="130"/>
      <x:c r="F92" s="180"/>
      <x:c r="G92" s="180"/>
      <x:c r="H92" s="180"/>
      <x:c r="I92" s="180"/>
      <x:c r="J92" s="130"/>
      <x:c r="K92" s="130"/>
      <x:c r="L92" s="180"/>
      <x:c r="M92" s="180"/>
      <x:c r="N92" s="130"/>
      <x:c r="O92" s="130" t="n">
        <x:v>92</x:v>
      </x:c>
    </x:row>
    <x:row r="93">
      <x:c r="A93" s="130" t="str">
        <x:v>DRV-007    900-00-0109</x:v>
      </x:c>
      <x:c r="B93" s="130"/>
      <x:c r="C93" s="130"/>
      <x:c r="D93" s="130"/>
      <x:c r="E93" s="130"/>
      <x:c r="F93" s="180"/>
      <x:c r="G93" s="180"/>
      <x:c r="H93" s="180"/>
      <x:c r="I93" s="180"/>
      <x:c r="J93" s="130"/>
      <x:c r="K93" s="130"/>
      <x:c r="L93" s="180"/>
      <x:c r="M93" s="180"/>
      <x:c r="N93" s="130"/>
      <x:c r="O93" s="130" t="n">
        <x:v>93</x:v>
      </x:c>
    </x:row>
    <x:row r="94">
      <x:c r="A94" s="130" t="str">
        <x:v>DRV-008    900-00-0108</x:v>
      </x:c>
      <x:c r="B94" s="130"/>
      <x:c r="C94" s="130"/>
      <x:c r="D94" s="130"/>
      <x:c r="E94" s="130"/>
      <x:c r="F94" s="180"/>
      <x:c r="G94" s="180"/>
      <x:c r="H94" s="180"/>
      <x:c r="I94" s="180"/>
      <x:c r="J94" s="130"/>
      <x:c r="K94" s="130"/>
      <x:c r="L94" s="180"/>
      <x:c r="M94" s="180"/>
      <x:c r="N94" s="130"/>
      <x:c r="O94" s="130" t="n">
        <x:v>94</x:v>
      </x:c>
    </x:row>
    <x:row r="95">
      <x:c r="A95" s="130" t="str">
        <x:v>DRV-009    900-00-0124</x:v>
      </x:c>
      <x:c r="B95" s="130"/>
      <x:c r="C95" s="130"/>
      <x:c r="D95" s="130"/>
      <x:c r="E95" s="130"/>
      <x:c r="F95" s="180"/>
      <x:c r="G95" s="180"/>
      <x:c r="H95" s="180"/>
      <x:c r="I95" s="180"/>
      <x:c r="J95" s="130"/>
      <x:c r="K95" s="130"/>
      <x:c r="L95" s="180"/>
      <x:c r="M95" s="180"/>
      <x:c r="N95" s="130"/>
      <x:c r="O95" s="130" t="n">
        <x:v>95</x:v>
      </x:c>
    </x:row>
    <x:row r="96">
      <x:c r="A96" s="130" t="str">
        <x:v>DRV-010    900-00-0112</x:v>
      </x:c>
      <x:c r="B96" s="130"/>
      <x:c r="C96" s="130"/>
      <x:c r="D96" s="130"/>
      <x:c r="E96" s="130"/>
      <x:c r="F96" s="180"/>
      <x:c r="G96" s="180"/>
      <x:c r="H96" s="180"/>
      <x:c r="I96" s="180"/>
      <x:c r="J96" s="130"/>
      <x:c r="K96" s="130"/>
      <x:c r="L96" s="180"/>
      <x:c r="M96" s="180"/>
      <x:c r="N96" s="130"/>
      <x:c r="O96" s="130" t="n">
        <x:v>96</x:v>
      </x:c>
    </x:row>
    <x:row r="97">
      <x:c r="A97" s="130" t="str">
        <x:v>DRV-011    900-00-0111</x:v>
      </x:c>
      <x:c r="B97" s="130"/>
      <x:c r="C97" s="130"/>
      <x:c r="D97" s="130"/>
      <x:c r="E97" s="130"/>
      <x:c r="F97" s="180"/>
      <x:c r="G97" s="180"/>
      <x:c r="H97" s="180"/>
      <x:c r="I97" s="180"/>
      <x:c r="J97" s="130"/>
      <x:c r="K97" s="130"/>
      <x:c r="L97" s="180"/>
      <x:c r="M97" s="180"/>
      <x:c r="N97" s="130"/>
      <x:c r="O97" s="130" t="n">
        <x:v>97</x:v>
      </x:c>
    </x:row>
    <x:row r="98">
      <x:c r="A98" s="130" t="str">
        <x:v>DRV-012    900-00-0114</x:v>
      </x:c>
      <x:c r="B98" s="130"/>
      <x:c r="C98" s="130"/>
      <x:c r="D98" s="130"/>
      <x:c r="E98" s="130"/>
      <x:c r="F98" s="180"/>
      <x:c r="G98" s="180"/>
      <x:c r="H98" s="180"/>
      <x:c r="I98" s="180"/>
      <x:c r="J98" s="130"/>
      <x:c r="K98" s="130"/>
      <x:c r="L98" s="180"/>
      <x:c r="M98" s="180"/>
      <x:c r="N98" s="130"/>
      <x:c r="O98" s="130" t="n">
        <x:v>98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>
      <x:c r="A1" s="179" t="str">
        <x:v>Driver</x:v>
      </x:c>
      <x:c r="B1" s="179" t="str">
        <x:v>Name</x:v>
      </x:c>
      <x:c r="C1" s="179" t="str">
        <x:v>Base Earnings</x:v>
      </x:c>
      <x:c r="D1" s="179" t="str">
        <x:v>Backhaul Pay</x:v>
      </x:c>
      <x:c r="E1" s="179" t="str">
        <x:v>Safety Bonus</x:v>
      </x:c>
      <x:c r="F1" s="179" t="str">
        <x:v>Gross Pay</x:v>
      </x:c>
      <x:c r="G1" s="179" t="str">
        <x:v>FICA</x:v>
      </x:c>
      <x:c r="H1" s="179" t="str">
        <x:v>OASDI</x:v>
      </x:c>
      <x:c r="I1" s="179" t="str">
        <x:v>Federal Withholding</x:v>
      </x:c>
      <x:c r="J1" s="179" t="str">
        <x:v>State Withholding</x:v>
      </x:c>
      <x:c r="K1" s="179" t="str">
        <x:v>SDI</x:v>
      </x:c>
      <x:c r="L1" s="179" t="str">
        <x:v>FM Leave</x:v>
      </x:c>
      <x:c r="M1" s="179" t="str">
        <x:v>Family Support</x:v>
      </x:c>
      <x:c r="N1" s="179" t="str">
        <x:v>Insurance Premiums</x:v>
      </x:c>
      <x:c r="O1" s="179" t="str">
        <x:v>Credit Union Savings Club</x:v>
      </x:c>
      <x:c r="P1" s="179" t="str">
        <x:v>401(k) Contribution</x:v>
      </x:c>
      <x:c r="Q1" s="179" t="str">
        <x:v>HSA/FSA Health Deduction</x:v>
      </x:c>
      <x:c r="R1" s="179" t="str">
        <x:v>Health Insurance Premiums</x:v>
      </x:c>
      <x:c r="S1" s="179" t="str">
        <x:v>Life Insurance Above 50k</x:v>
      </x:c>
      <x:c r="T1" s="179" t="str">
        <x:v>Total Deductions</x:v>
      </x:c>
      <x:c r="U1" s="179" t="str">
        <x:v>Fuel Reimb.</x:v>
      </x:c>
      <x:c r="V1" s="179" t="str">
        <x:v>Net Pay</x:v>
      </x:c>
      <x:c r="W1" s="179" t="str">
        <x:v>Status</x:v>
      </x:c>
      <x:c r="X1" s="179" t="str">
        <x:v>Pending Reason</x:v>
      </x:c>
      <x:c r="Y1" s="179" t="str">
        <x:v>401(k) Rate</x:v>
      </x:c>
    </x:row>
    <x:row r="2">
      <x:c r="A2" s="130" t="str">
        <x:v>DVR-001</x:v>
      </x:c>
      <x:c r="B2" s="130" t="str">
        <x:v>J. Carter</x:v>
      </x:c>
      <x:c r="C2" s="130" t="n">
        <x:v>2100</x:v>
      </x:c>
      <x:c r="D2" s="130" t="n">
        <x:v>65</x:v>
      </x:c>
      <x:c r="E2" s="130" t="n">
        <x:v>125</x:v>
      </x:c>
      <x:c r="F2" s="130" t="n">
        <x:v>2290</x:v>
      </x:c>
      <x:c r="G2" s="130" t="n">
        <x:v>141.98</x:v>
      </x:c>
      <x:c r="H2" s="130" t="n">
        <x:v>33.205</x:v>
      </x:c>
      <x:c r="I2" s="130" t="n">
        <x:v>412.2</x:v>
      </x:c>
      <x:c r="J2" s="130" t="n">
        <x:v>80.15</x:v>
      </x:c>
      <x:c r="K2" s="130" t="n">
        <x:v>10.305</x:v>
      </x:c>
      <x:c r="L2" s="130" t="n">
        <x:v>15.114</x:v>
      </x:c>
      <x:c r="M2" s="130" t="n">
        <x:v>0</x:v>
      </x:c>
      <x:c r="N2" s="130" t="n">
        <x:v>214.92</x:v>
      </x:c>
      <x:c r="O2" s="130" t="n">
        <x:v>0</x:v>
      </x:c>
      <x:c r="P2" s="130" t="n">
        <x:v>68.7</x:v>
      </x:c>
      <x:c r="Q2" s="130" t="n">
        <x:v>114.79</x:v>
      </x:c>
      <x:c r="R2" s="130" t="n">
        <x:v>0</x:v>
      </x:c>
      <x:c r="S2" s="130" t="n">
        <x:v>0</x:v>
      </x:c>
      <x:c r="T2" s="130" t="n">
        <x:v>1198.6359999999997</x:v>
      </x:c>
      <x:c r="U2" s="130" t="n">
        <x:v>0</x:v>
      </x:c>
      <x:c r="V2" s="130" t="n">
        <x:v>1091.3640000000003</x:v>
      </x:c>
      <x:c r="W2" s="130" t="str">
        <x:v>Paid</x:v>
      </x:c>
      <x:c r="X2" s="130" t="str">
        <x:v>N/A</x:v>
      </x:c>
      <x:c r="Y2" s="130" t="n">
        <x:v>0.03</x:v>
      </x:c>
    </x:row>
    <x:row r="3">
      <x:c r="A3" s="130" t="str">
        <x:v>DVR-002</x:v>
      </x:c>
      <x:c r="B3" s="130" t="str">
        <x:v>M. Lopez</x:v>
      </x:c>
      <x:c r="C3" s="130" t="n">
        <x:v>1910</x:v>
      </x:c>
      <x:c r="D3" s="130" t="n">
        <x:v>95</x:v>
      </x:c>
      <x:c r="E3" s="130" t="n">
        <x:v>125</x:v>
      </x:c>
      <x:c r="F3" s="130" t="n">
        <x:v>2130</x:v>
      </x:c>
      <x:c r="G3" s="130" t="n">
        <x:v>132.06</x:v>
      </x:c>
      <x:c r="H3" s="130" t="n">
        <x:v>30.885</x:v>
      </x:c>
      <x:c r="I3" s="130" t="n">
        <x:v>383.4</x:v>
      </x:c>
      <x:c r="J3" s="130" t="n">
        <x:v>74.55000000000001</x:v>
      </x:c>
      <x:c r="K3" s="130" t="n">
        <x:v>9.584999999999999</x:v>
      </x:c>
      <x:c r="L3" s="130" t="n">
        <x:v>14.058</x:v>
      </x:c>
      <x:c r="M3" s="130" t="n">
        <x:v>79.68</x:v>
      </x:c>
      <x:c r="N3" s="130" t="n">
        <x:v>0</x:v>
      </x:c>
      <x:c r="O3" s="130" t="n">
        <x:v>42.09</x:v>
      </x:c>
      <x:c r="P3" s="130" t="n">
        <x:v>0</x:v>
      </x:c>
      <x:c r="Q3" s="130" t="n">
        <x:v>69.33</x:v>
      </x:c>
      <x:c r="R3" s="130" t="n">
        <x:v>0</x:v>
      </x:c>
      <x:c r="S3" s="130" t="n">
        <x:v>0</x:v>
      </x:c>
      <x:c r="T3" s="130" t="n">
        <x:v>1294.3620000000003</x:v>
      </x:c>
      <x:c r="U3" s="130" t="n">
        <x:v>120</x:v>
      </x:c>
      <x:c r="V3" s="130" t="n">
        <x:v>835.6379999999997</x:v>
      </x:c>
      <x:c r="W3" s="130" t="str">
        <x:v>Pending</x:v>
      </x:c>
      <x:c r="X3" s="130" t="str">
        <x:v>Awaiting Receipts</x:v>
      </x:c>
      <x:c r="Y3" s="130" t="n">
        <x:v>0</x:v>
      </x:c>
    </x:row>
    <x:row r="4">
      <x:c r="A4" s="130" t="str">
        <x:v>DVR-003</x:v>
      </x:c>
      <x:c r="B4" s="130" t="str">
        <x:v>A. Kim</x:v>
      </x:c>
      <x:c r="C4" s="130" t="n">
        <x:v>2155</x:v>
      </x:c>
      <x:c r="D4" s="130" t="n">
        <x:v>45</x:v>
      </x:c>
      <x:c r="E4" s="130" t="n">
        <x:v>75</x:v>
      </x:c>
      <x:c r="F4" s="130" t="n">
        <x:v>2275</x:v>
      </x:c>
      <x:c r="G4" s="130" t="n">
        <x:v>141.05</x:v>
      </x:c>
      <x:c r="H4" s="130" t="n">
        <x:v>32.987500000000004</x:v>
      </x:c>
      <x:c r="I4" s="130" t="n">
        <x:v>409.5</x:v>
      </x:c>
      <x:c r="J4" s="130" t="n">
        <x:v>79.62500000000001</x:v>
      </x:c>
      <x:c r="K4" s="130" t="n">
        <x:v>10.237499999999999</x:v>
      </x:c>
      <x:c r="L4" s="130" t="n">
        <x:v>15.015</x:v>
      </x:c>
      <x:c r="M4" s="130" t="n">
        <x:v>0</x:v>
      </x:c>
      <x:c r="N4" s="130" t="n">
        <x:v>0</x:v>
      </x:c>
      <x:c r="O4" s="130" t="n">
        <x:v>30.98</x:v>
      </x:c>
      <x:c r="P4" s="130" t="n">
        <x:v>136.5</x:v>
      </x:c>
      <x:c r="Q4" s="130" t="n">
        <x:v>0</x:v>
      </x:c>
      <x:c r="R4" s="130" t="n">
        <x:v>0</x:v>
      </x:c>
      <x:c r="S4" s="130" t="n">
        <x:v>0</x:v>
      </x:c>
      <x:c r="T4" s="130" t="n">
        <x:v>1419.1049999999996</x:v>
      </x:c>
      <x:c r="U4" s="130" t="n">
        <x:v>0</x:v>
      </x:c>
      <x:c r="V4" s="130" t="n">
        <x:v>855.8950000000004</x:v>
      </x:c>
      <x:c r="W4" s="130" t="str">
        <x:v>Paid</x:v>
      </x:c>
      <x:c r="X4" s="130" t="str">
        <x:v>N/A</x:v>
      </x:c>
      <x:c r="Y4" s="130" t="n">
        <x:v>0.06</x:v>
      </x:c>
    </x:row>
    <x:row r="5">
      <x:c r="A5" s="130" t="str">
        <x:v>DVR-004</x:v>
      </x:c>
      <x:c r="B5" s="130" t="str">
        <x:v>P. Patel</x:v>
      </x:c>
      <x:c r="C5" s="130" t="n">
        <x:v>2020</x:v>
      </x:c>
      <x:c r="D5" s="130" t="n">
        <x:v>88</x:v>
      </x:c>
      <x:c r="E5" s="130" t="n">
        <x:v>25</x:v>
      </x:c>
      <x:c r="F5" s="130" t="n">
        <x:v>2133</x:v>
      </x:c>
      <x:c r="G5" s="130" t="n">
        <x:v>132.246</x:v>
      </x:c>
      <x:c r="H5" s="130" t="n">
        <x:v>30.928500000000003</x:v>
      </x:c>
      <x:c r="I5" s="130" t="n">
        <x:v>383.94</x:v>
      </x:c>
      <x:c r="J5" s="130" t="n">
        <x:v>74.655</x:v>
      </x:c>
      <x:c r="K5" s="130" t="n">
        <x:v>9.5985</x:v>
      </x:c>
      <x:c r="L5" s="130" t="n">
        <x:v>14.0778</x:v>
      </x:c>
      <x:c r="M5" s="130" t="n">
        <x:v>0</x:v>
      </x:c>
      <x:c r="N5" s="130" t="n">
        <x:v>0</x:v>
      </x:c>
      <x:c r="O5" s="130" t="n">
        <x:v>32.58</x:v>
      </x:c>
      <x:c r="P5" s="130" t="n">
        <x:v>0</x:v>
      </x:c>
      <x:c r="Q5" s="130" t="n">
        <x:v>0</x:v>
      </x:c>
      <x:c r="R5" s="130" t="n">
        <x:v>0</x:v>
      </x:c>
      <x:c r="S5" s="130" t="n">
        <x:v>0</x:v>
      </x:c>
      <x:c r="T5" s="130" t="n">
        <x:v>1454.9741999999999</x:v>
      </x:c>
      <x:c r="U5" s="130" t="n">
        <x:v>150</x:v>
      </x:c>
      <x:c r="V5" s="130" t="n">
        <x:v>678.0258000000001</x:v>
      </x:c>
      <x:c r="W5" s="130" t="str">
        <x:v>Pending</x:v>
      </x:c>
      <x:c r="X5" s="130" t="str">
        <x:v>Awaiting Receipts</x:v>
      </x:c>
      <x:c r="Y5" s="130" t="n">
        <x:v>0</x:v>
      </x:c>
    </x:row>
    <x:row r="6">
      <x:c r="A6" s="130" t="str">
        <x:v>DVR-005</x:v>
      </x:c>
      <x:c r="B6" s="130" t="str">
        <x:v>K. Tanaka</x:v>
      </x:c>
      <x:c r="C6" s="130" t="n">
        <x:v>2280</x:v>
      </x:c>
      <x:c r="D6" s="130" t="n">
        <x:v>45</x:v>
      </x:c>
      <x:c r="E6" s="130" t="n">
        <x:v>75</x:v>
      </x:c>
      <x:c r="F6" s="130" t="n">
        <x:v>2400</x:v>
      </x:c>
      <x:c r="G6" s="130" t="n">
        <x:v>148.8</x:v>
      </x:c>
      <x:c r="H6" s="130" t="n">
        <x:v>34.800000000000004</x:v>
      </x:c>
      <x:c r="I6" s="130" t="n">
        <x:v>432</x:v>
      </x:c>
      <x:c r="J6" s="130" t="n">
        <x:v>84.00000000000001</x:v>
      </x:c>
      <x:c r="K6" s="130" t="n">
        <x:v>10.799999999999999</x:v>
      </x:c>
      <x:c r="L6" s="130" t="n">
        <x:v>15.84</x:v>
      </x:c>
      <x:c r="M6" s="130" t="n">
        <x:v>187.05</x:v>
      </x:c>
      <x:c r="N6" s="130" t="n">
        <x:v>0</x:v>
      </x:c>
      <x:c r="O6" s="130" t="n">
        <x:v>72.68</x:v>
      </x:c>
      <x:c r="P6" s="130" t="n">
        <x:v>72</x:v>
      </x:c>
      <x:c r="Q6" s="130" t="n">
        <x:v>26.5</x:v>
      </x:c>
      <x:c r="R6" s="130" t="n">
        <x:v>0</x:v>
      </x:c>
      <x:c r="S6" s="130" t="n">
        <x:v>0</x:v>
      </x:c>
      <x:c r="T6" s="130" t="n">
        <x:v>1315.5299999999997</x:v>
      </x:c>
      <x:c r="U6" s="130" t="n">
        <x:v>0</x:v>
      </x:c>
      <x:c r="V6" s="130" t="n">
        <x:v>1084.4700000000003</x:v>
      </x:c>
      <x:c r="W6" s="130" t="str">
        <x:v>Pending</x:v>
      </x:c>
      <x:c r="X6" s="130" t="str">
        <x:v>Load Verification</x:v>
      </x:c>
      <x:c r="Y6" s="130" t="n">
        <x:v>0.03</x:v>
      </x:c>
    </x:row>
    <x:row r="7">
      <x:c r="A7" s="130" t="str">
        <x:v>DVR-006</x:v>
      </x:c>
      <x:c r="B7" s="130" t="str">
        <x:v>M. Chen</x:v>
      </x:c>
      <x:c r="C7" s="130" t="n">
        <x:v>2090</x:v>
      </x:c>
      <x:c r="D7" s="130" t="n">
        <x:v>72</x:v>
      </x:c>
      <x:c r="E7" s="130" t="n">
        <x:v>125</x:v>
      </x:c>
      <x:c r="F7" s="130" t="n">
        <x:v>2287</x:v>
      </x:c>
      <x:c r="G7" s="130" t="n">
        <x:v>141.794</x:v>
      </x:c>
      <x:c r="H7" s="130" t="n">
        <x:v>33.161500000000004</x:v>
      </x:c>
      <x:c r="I7" s="130" t="n">
        <x:v>411.65999999999997</x:v>
      </x:c>
      <x:c r="J7" s="130" t="n">
        <x:v>80.045</x:v>
      </x:c>
      <x:c r="K7" s="130" t="n">
        <x:v>10.2915</x:v>
      </x:c>
      <x:c r="L7" s="130" t="n">
        <x:v>15.0942</x:v>
      </x:c>
      <x:c r="M7" s="130" t="n">
        <x:v>0</x:v>
      </x:c>
      <x:c r="N7" s="130" t="n">
        <x:v>0</x:v>
      </x:c>
      <x:c r="O7" s="130" t="n">
        <x:v>0</x:v>
      </x:c>
      <x:c r="P7" s="130" t="n">
        <x:v>68.61</x:v>
      </x:c>
      <x:c r="Q7" s="130" t="n">
        <x:v>0</x:v>
      </x:c>
      <x:c r="R7" s="130" t="n">
        <x:v>0</x:v>
      </x:c>
      <x:c r="S7" s="130" t="n">
        <x:v>4.94</x:v>
      </x:c>
      <x:c r="T7" s="130" t="n">
        <x:v>1521.4038</x:v>
      </x:c>
      <x:c r="U7" s="130" t="n">
        <x:v>0</x:v>
      </x:c>
      <x:c r="V7" s="130" t="n">
        <x:v>765.5962</x:v>
      </x:c>
      <x:c r="W7" s="130" t="str">
        <x:v>Paid</x:v>
      </x:c>
      <x:c r="X7" s="130" t="str">
        <x:v>N/A</x:v>
      </x:c>
      <x:c r="Y7" s="130" t="n">
        <x:v>0.03</x:v>
      </x:c>
    </x:row>
    <x:row r="8">
      <x:c r="A8" s="130" t="str">
        <x:v>DVR-007</x:v>
      </x:c>
      <x:c r="B8" s="130" t="str">
        <x:v>S. Gomez</x:v>
      </x:c>
      <x:c r="C8" s="130" t="n">
        <x:v>1975</x:v>
      </x:c>
      <x:c r="D8" s="130" t="n">
        <x:v>58</x:v>
      </x:c>
      <x:c r="E8" s="130" t="n">
        <x:v>125</x:v>
      </x:c>
      <x:c r="F8" s="130" t="n">
        <x:v>2158</x:v>
      </x:c>
      <x:c r="G8" s="130" t="n">
        <x:v>133.796</x:v>
      </x:c>
      <x:c r="H8" s="130" t="n">
        <x:v>31.291</x:v>
      </x:c>
      <x:c r="I8" s="130" t="n">
        <x:v>388.44</x:v>
      </x:c>
      <x:c r="J8" s="130" t="n">
        <x:v>75.53</x:v>
      </x:c>
      <x:c r="K8" s="130" t="n">
        <x:v>9.710999999999999</x:v>
      </x:c>
      <x:c r="L8" s="130" t="n">
        <x:v>14.2428</x:v>
      </x:c>
      <x:c r="M8" s="130" t="n">
        <x:v>246.6</x:v>
      </x:c>
      <x:c r="N8" s="130" t="n">
        <x:v>146.97</x:v>
      </x:c>
      <x:c r="O8" s="130" t="n">
        <x:v>0</x:v>
      </x:c>
      <x:c r="P8" s="130" t="n">
        <x:v>107.9</x:v>
      </x:c>
      <x:c r="Q8" s="130" t="n">
        <x:v>0</x:v>
      </x:c>
      <x:c r="R8" s="130" t="n">
        <x:v>0</x:v>
      </x:c>
      <x:c r="S8" s="130" t="n">
        <x:v>7.04</x:v>
      </x:c>
      <x:c r="T8" s="130" t="n">
        <x:v>996.4792000000001</x:v>
      </x:c>
      <x:c r="U8" s="130" t="n">
        <x:v>0</x:v>
      </x:c>
      <x:c r="V8" s="130" t="n">
        <x:v>1161.5207999999998</x:v>
      </x:c>
      <x:c r="W8" s="130" t="str">
        <x:v>Paid</x:v>
      </x:c>
      <x:c r="X8" s="130" t="str">
        <x:v>N/A</x:v>
      </x:c>
      <x:c r="Y8" s="130" t="n">
        <x:v>0.05</x:v>
      </x:c>
    </x:row>
    <x:row r="9">
      <x:c r="A9" s="130" t="str">
        <x:v>DVR-008</x:v>
      </x:c>
      <x:c r="B9" s="130" t="str">
        <x:v>L. Smith</x:v>
      </x:c>
      <x:c r="C9" s="130" t="n">
        <x:v>2165</x:v>
      </x:c>
      <x:c r="D9" s="130" t="n">
        <x:v>81</x:v>
      </x:c>
      <x:c r="E9" s="130" t="n">
        <x:v>25</x:v>
      </x:c>
      <x:c r="F9" s="130" t="n">
        <x:v>2271</x:v>
      </x:c>
      <x:c r="G9" s="130" t="n">
        <x:v>140.802</x:v>
      </x:c>
      <x:c r="H9" s="130" t="n">
        <x:v>32.929500000000004</x:v>
      </x:c>
      <x:c r="I9" s="130" t="n">
        <x:v>408.78</x:v>
      </x:c>
      <x:c r="J9" s="130" t="n">
        <x:v>79.48500000000001</x:v>
      </x:c>
      <x:c r="K9" s="130" t="n">
        <x:v>10.2195</x:v>
      </x:c>
      <x:c r="L9" s="130" t="n">
        <x:v>14.9886</x:v>
      </x:c>
      <x:c r="M9" s="130" t="n">
        <x:v>0</x:v>
      </x:c>
      <x:c r="N9" s="130" t="n">
        <x:v>0</x:v>
      </x:c>
      <x:c r="O9" s="130" t="n">
        <x:v>45.02</x:v>
      </x:c>
      <x:c r="P9" s="130" t="n">
        <x:v>0</x:v>
      </x:c>
      <x:c r="Q9" s="130" t="n">
        <x:v>0</x:v>
      </x:c>
      <x:c r="R9" s="130" t="n">
        <x:v>111.66</x:v>
      </x:c>
      <x:c r="S9" s="130" t="n">
        <x:v>0</x:v>
      </x:c>
      <x:c r="T9" s="130" t="n">
        <x:v>1427.1154</x:v>
      </x:c>
      <x:c r="U9" s="130" t="n">
        <x:v>0</x:v>
      </x:c>
      <x:c r="V9" s="130" t="n">
        <x:v>843.8846000000001</x:v>
      </x:c>
      <x:c r="W9" s="130" t="str">
        <x:v>Pending</x:v>
      </x:c>
      <x:c r="X9" s="130" t="str">
        <x:v>Load Verification</x:v>
      </x:c>
      <x:c r="Y9" s="130" t="n">
        <x:v>0</x:v>
      </x:c>
    </x:row>
    <x:row r="10">
      <x:c r="A10" s="130" t="str">
        <x:v>DVR-009</x:v>
      </x:c>
      <x:c r="B10" s="130" t="str">
        <x:v>E. Brown</x:v>
      </x:c>
      <x:c r="C10" s="130" t="n">
        <x:v>2110</x:v>
      </x:c>
      <x:c r="D10" s="130" t="n">
        <x:v>49</x:v>
      </x:c>
      <x:c r="E10" s="130" t="n">
        <x:v>75</x:v>
      </x:c>
      <x:c r="F10" s="130" t="n">
        <x:v>2234</x:v>
      </x:c>
      <x:c r="G10" s="130" t="n">
        <x:v>138.508</x:v>
      </x:c>
      <x:c r="H10" s="130" t="n">
        <x:v>32.393</x:v>
      </x:c>
      <x:c r="I10" s="130" t="n">
        <x:v>402.12</x:v>
      </x:c>
      <x:c r="J10" s="130" t="n">
        <x:v>78.19000000000001</x:v>
      </x:c>
      <x:c r="K10" s="130" t="n">
        <x:v>10.052999999999999</x:v>
      </x:c>
      <x:c r="L10" s="130" t="n">
        <x:v>14.7444</x:v>
      </x:c>
      <x:c r="M10" s="130" t="n">
        <x:v>67.76</x:v>
      </x:c>
      <x:c r="N10" s="130" t="n">
        <x:v>0</x:v>
      </x:c>
      <x:c r="O10" s="130" t="n">
        <x:v>0</x:v>
      </x:c>
      <x:c r="P10" s="130" t="n">
        <x:v>0</x:v>
      </x:c>
      <x:c r="Q10" s="130" t="n">
        <x:v>24.17</x:v>
      </x:c>
      <x:c r="R10" s="130" t="n">
        <x:v>0</x:v>
      </x:c>
      <x:c r="S10" s="130" t="n">
        <x:v>0</x:v>
      </x:c>
      <x:c r="T10" s="130" t="n">
        <x:v>1466.0616</x:v>
      </x:c>
      <x:c r="U10" s="130" t="n">
        <x:v>0</x:v>
      </x:c>
      <x:c r="V10" s="130" t="n">
        <x:v>767.9384</x:v>
      </x:c>
      <x:c r="W10" s="130" t="str">
        <x:v>Paid</x:v>
      </x:c>
      <x:c r="X10" s="130" t="str">
        <x:v>N/A</x:v>
      </x:c>
      <x:c r="Y10" s="130" t="n">
        <x:v>0</x:v>
      </x:c>
    </x:row>
    <x:row r="11">
      <x:c r="A11" s="130" t="str">
        <x:v>DVR-010</x:v>
      </x:c>
      <x:c r="B11" s="130" t="str">
        <x:v>N. Wilson</x:v>
      </x:c>
      <x:c r="C11" s="130" t="n">
        <x:v>2080</x:v>
      </x:c>
      <x:c r="D11" s="130" t="n">
        <x:v>77</x:v>
      </x:c>
      <x:c r="E11" s="130" t="n">
        <x:v>125</x:v>
      </x:c>
      <x:c r="F11" s="130" t="n">
        <x:v>2282</x:v>
      </x:c>
      <x:c r="G11" s="130" t="n">
        <x:v>141.484</x:v>
      </x:c>
      <x:c r="H11" s="130" t="n">
        <x:v>33.089</x:v>
      </x:c>
      <x:c r="I11" s="130" t="n">
        <x:v>410.76</x:v>
      </x:c>
      <x:c r="J11" s="130" t="n">
        <x:v>79.87</x:v>
      </x:c>
      <x:c r="K11" s="130" t="n">
        <x:v>10.268999999999998</x:v>
      </x:c>
      <x:c r="L11" s="130" t="n">
        <x:v>15.0612</x:v>
      </x:c>
      <x:c r="M11" s="130" t="n">
        <x:v>0</x:v>
      </x:c>
      <x:c r="N11" s="130" t="n">
        <x:v>0</x:v>
      </x:c>
      <x:c r="O11" s="130" t="n">
        <x:v>0</x:v>
      </x:c>
      <x:c r="P11" s="130" t="n">
        <x:v>45.64</x:v>
      </x:c>
      <x:c r="Q11" s="130" t="n">
        <x:v>0</x:v>
      </x:c>
      <x:c r="R11" s="130" t="n">
        <x:v>196.15</x:v>
      </x:c>
      <x:c r="S11" s="130" t="n">
        <x:v>0</x:v>
      </x:c>
      <x:c r="T11" s="130" t="n">
        <x:v>1349.6767999999997</x:v>
      </x:c>
      <x:c r="U11" s="130" t="n">
        <x:v>0</x:v>
      </x:c>
      <x:c r="V11" s="130" t="n">
        <x:v>932.3232000000003</x:v>
      </x:c>
      <x:c r="W11" s="130" t="str">
        <x:v>Paid</x:v>
      </x:c>
      <x:c r="X11" s="130" t="str">
        <x:v>N/A</x:v>
      </x:c>
      <x:c r="Y11" s="130" t="n">
        <x:v>0.02</x:v>
      </x:c>
    </x:row>
    <x:row r="12">
      <x:c r="A12" s="130" t="str">
        <x:v>DVR-011</x:v>
      </x:c>
      <x:c r="B12" s="130" t="str">
        <x:v>O. Lee</x:v>
      </x:c>
      <x:c r="C12" s="130" t="n">
        <x:v>2010</x:v>
      </x:c>
      <x:c r="D12" s="130" t="n">
        <x:v>63</x:v>
      </x:c>
      <x:c r="E12" s="130" t="n">
        <x:v>75</x:v>
      </x:c>
      <x:c r="F12" s="130" t="n">
        <x:v>2148</x:v>
      </x:c>
      <x:c r="G12" s="130" t="n">
        <x:v>133.176</x:v>
      </x:c>
      <x:c r="H12" s="130" t="n">
        <x:v>31.146</x:v>
      </x:c>
      <x:c r="I12" s="130" t="n">
        <x:v>386.64</x:v>
      </x:c>
      <x:c r="J12" s="130" t="n">
        <x:v>75.18</x:v>
      </x:c>
      <x:c r="K12" s="130" t="n">
        <x:v>9.665999999999999</x:v>
      </x:c>
      <x:c r="L12" s="130" t="n">
        <x:v>14.1768</x:v>
      </x:c>
      <x:c r="M12" s="130" t="n">
        <x:v>50.51</x:v>
      </x:c>
      <x:c r="N12" s="130" t="n">
        <x:v>0</x:v>
      </x:c>
      <x:c r="O12" s="130" t="n">
        <x:v>0</x:v>
      </x:c>
      <x:c r="P12" s="130" t="n">
        <x:v>0</x:v>
      </x:c>
      <x:c r="Q12" s="130" t="n">
        <x:v>47.43</x:v>
      </x:c>
      <x:c r="R12" s="130" t="n">
        <x:v>0</x:v>
      </x:c>
      <x:c r="S12" s="130" t="n">
        <x:v>0</x:v>
      </x:c>
      <x:c r="T12" s="130" t="n">
        <x:v>1400.0752</x:v>
      </x:c>
      <x:c r="U12" s="130" t="n">
        <x:v>0</x:v>
      </x:c>
      <x:c r="V12" s="130" t="n">
        <x:v>747.9248</x:v>
      </x:c>
      <x:c r="W12" s="130" t="str">
        <x:v>Paid</x:v>
      </x:c>
      <x:c r="X12" s="130" t="str">
        <x:v>N/A</x:v>
      </x:c>
      <x:c r="Y12" s="130" t="n">
        <x:v>0</x:v>
      </x:c>
    </x:row>
    <x:row r="13">
      <x:c r="A13" s="130" t="str">
        <x:v>DVR-012</x:v>
      </x:c>
      <x:c r="B13" s="130" t="str">
        <x:v>R. Johnson</x:v>
      </x:c>
      <x:c r="C13" s="130" t="n">
        <x:v>2230</x:v>
      </x:c>
      <x:c r="D13" s="130" t="n">
        <x:v>69</x:v>
      </x:c>
      <x:c r="E13" s="130" t="n">
        <x:v>75</x:v>
      </x:c>
      <x:c r="F13" s="130" t="n">
        <x:v>2374</x:v>
      </x:c>
      <x:c r="G13" s="130" t="n">
        <x:v>142.538</x:v>
      </x:c>
      <x:c r="H13" s="130" t="n">
        <x:v>33.3355</x:v>
      </x:c>
      <x:c r="I13" s="130" t="n">
        <x:v>413.82</x:v>
      </x:c>
      <x:c r="J13" s="130" t="n">
        <x:v>80.465</x:v>
      </x:c>
      <x:c r="K13" s="130" t="n">
        <x:v>10.3455</x:v>
      </x:c>
      <x:c r="L13" s="130" t="n">
        <x:v>15.1734</x:v>
      </x:c>
      <x:c r="M13" s="130" t="n">
        <x:v>0</x:v>
      </x:c>
      <x:c r="N13" s="130" t="n">
        <x:v>0</x:v>
      </x:c>
      <x:c r="O13" s="130" t="n">
        <x:v>48.75</x:v>
      </x:c>
      <x:c r="P13" s="130" t="n">
        <x:v>45.98</x:v>
      </x:c>
      <x:c r="Q13" s="130" t="n">
        <x:v>22.3</x:v>
      </x:c>
      <x:c r="R13" s="130" t="n">
        <x:v>148</x:v>
      </x:c>
      <x:c r="S13" s="130" t="n">
        <x:v>2.3</x:v>
      </x:c>
      <x:c r="T13" s="130" t="n">
        <x:v>1410.9926000000003</x:v>
      </x:c>
      <x:c r="U13" s="130" t="n">
        <x:v>0</x:v>
      </x:c>
      <x:c r="V13" s="130" t="n">
        <x:v>963.0073999999997</x:v>
      </x:c>
      <x:c r="W13" s="130" t="str">
        <x:v>Paid</x:v>
      </x:c>
      <x:c r="X13" s="130" t="str">
        <x:v>N/A</x:v>
      </x:c>
      <x:c r="Y13" s="130" t="n">
        <x:v>0.020618834080717487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</x:cols>
  <x:sheetData>
    <x:row r="1">
      <x:c r="A1" s="179" t="str">
        <x:v>Metric</x:v>
      </x:c>
      <x:c r="B1" s="179" t="str">
        <x:v>Total</x:v>
      </x:c>
    </x:row>
    <x:row r="2">
      <x:c r="A2" s="130" t="str">
        <x:v>Total Base Earnings</x:v>
      </x:c>
      <x:c r="B2" s="130" t="n">
        <x:v>25125</x:v>
      </x:c>
    </x:row>
    <x:row r="3">
      <x:c r="A3" s="130" t="str">
        <x:v>Total Backhaul Pay</x:v>
      </x:c>
      <x:c r="B3" s="130" t="n">
        <x:v>807</x:v>
      </x:c>
    </x:row>
    <x:row r="4">
      <x:c r="A4" s="130" t="str">
        <x:v>Total Gross Pay</x:v>
      </x:c>
      <x:c r="B4" s="130" t="n">
        <x:v>26982</x:v>
      </x:c>
    </x:row>
    <x:row r="5">
      <x:c r="A5" s="130" t="str">
        <x:v>Total FICA</x:v>
      </x:c>
      <x:c r="B5" s="130" t="n">
        <x:v>1668.2339999999997</x:v>
      </x:c>
    </x:row>
    <x:row r="6">
      <x:c r="A6" s="130" t="str">
        <x:v>Total OASDI</x:v>
      </x:c>
      <x:c r="B6" s="130" t="n">
        <x:v>390.15150000000006</x:v>
      </x:c>
    </x:row>
    <x:row r="7">
      <x:c r="A7" s="130" t="str">
        <x:v>Total Federal Withholding</x:v>
      </x:c>
      <x:c r="B7" s="130" t="n">
        <x:v>4843.26</x:v>
      </x:c>
    </x:row>
    <x:row r="8">
      <x:c r="A8" s="130" t="str">
        <x:v>Total State Withholding</x:v>
      </x:c>
      <x:c r="B8" s="130" t="n">
        <x:v>941.7450000000002</x:v>
      </x:c>
    </x:row>
    <x:row r="9">
      <x:c r="A9" s="130" t="str">
        <x:v>Total SDI</x:v>
      </x:c>
      <x:c r="B9" s="130" t="n">
        <x:v>121.08149999999999</x:v>
      </x:c>
    </x:row>
    <x:row r="10">
      <x:c r="A10" s="130" t="str">
        <x:v>Total FM Leave</x:v>
      </x:c>
      <x:c r="B10" s="130" t="n">
        <x:v>177.58620000000002</x:v>
      </x:c>
    </x:row>
    <x:row r="11">
      <x:c r="A11" s="130" t="str">
        <x:v>Total Family Support</x:v>
      </x:c>
      <x:c r="B11" s="130" t="n">
        <x:v>631.6</x:v>
      </x:c>
    </x:row>
    <x:row r="12">
      <x:c r="A12" s="130" t="str">
        <x:v>Total Insurance Premiums</x:v>
      </x:c>
      <x:c r="B12" s="130" t="n">
        <x:v>361.89</x:v>
      </x:c>
    </x:row>
    <x:row r="13">
      <x:c r="A13" s="130" t="str">
        <x:v>Total Credit Union Savings Club</x:v>
      </x:c>
      <x:c r="B13" s="130" t="n">
        <x:v>272.1</x:v>
      </x:c>
    </x:row>
    <x:row r="14">
      <x:c r="A14" s="130" t="str">
        <x:v>Total 401(k) Contribution</x:v>
      </x:c>
      <x:c r="B14" s="130" t="n">
        <x:v>545.33</x:v>
      </x:c>
    </x:row>
    <x:row r="15">
      <x:c r="A15" s="130" t="str">
        <x:v>Total HSA/FSA Health Deduction</x:v>
      </x:c>
      <x:c r="B15" s="130" t="n">
        <x:v>304.52000000000004</x:v>
      </x:c>
    </x:row>
    <x:row r="16">
      <x:c r="A16" s="130" t="str">
        <x:v>Total Health Insurance Premiums</x:v>
      </x:c>
      <x:c r="B16" s="130" t="n">
        <x:v>455.81</x:v>
      </x:c>
    </x:row>
    <x:row r="17">
      <x:c r="A17" s="130" t="str">
        <x:v>Total Life Insurance Above 50k</x:v>
      </x:c>
      <x:c r="B17" s="130" t="n">
        <x:v>14.280000000000001</x:v>
      </x:c>
    </x:row>
    <x:row r="18">
      <x:c r="A18" s="130" t="str">
        <x:v>Total Deductions</x:v>
      </x:c>
      <x:c r="B18" s="130" t="n">
        <x:v>270</x:v>
      </x:c>
    </x:row>
    <x:row r="19">
      <x:c r="A19" s="130" t="str">
        <x:v>Total Fuel Reimb.</x:v>
      </x:c>
      <x:c r="B19" s="130" t="n">
        <x:v>10727.588200000002</x:v>
      </x:c>
    </x:row>
    <x:row r="20">
      <x:c r="A20" s="130" t="str">
        <x:v>Total Net Pay</x:v>
      </x:c>
      <x:c r="B20" s="130" t="n">
        <x:v>0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79" t="str">
        <x:v>Driver ID</x:v>
      </x:c>
      <x:c r="B1" s="179" t="str">
        <x:v>Driver Name</x:v>
      </x:c>
      <x:c r="C1" s="179" t="str">
        <x:v>Source Document Type</x:v>
      </x:c>
      <x:c r="D1" s="179" t="str">
        <x:v>Canonical Doc Type</x:v>
      </x:c>
      <x:c r="E1" s="179" t="str">
        <x:v>Field</x:v>
      </x:c>
      <x:c r="F1" s="179" t="str">
        <x:v>Main Source Value</x:v>
      </x:c>
      <x:c r="G1" s="179" t="str">
        <x:v>Imported Template Value</x:v>
      </x:c>
      <x:c r="H1" s="179" t="str">
        <x:v>Match?</x:v>
      </x:c>
      <x:c r="I1" s="179" t="str">
        <x:v>Notes</x:v>
      </x:c>
    </x:row>
    <x:row r="2">
      <x:c r="A2" s="130" t="str">
        <x:v>DRV-001</x:v>
      </x:c>
      <x:c r="B2" s="130" t="str">
        <x:v>John Carter</x:v>
      </x:c>
      <x:c r="C2" s="130" t="str">
        <x:v>CDL Summary</x:v>
      </x:c>
      <x:c r="D2" s="130" t="str">
        <x:v>CDL</x:v>
      </x:c>
      <x:c r="E2" s="130" t="str">
        <x:v>Expiration Date</x:v>
      </x:c>
      <x:c r="F2" s="180" t="n">
        <x:v>46621</x:v>
      </x:c>
      <x:c r="G2" s="180" t="n">
        <x:v>46621</x:v>
      </x:c>
      <x:c r="H2" s="130" t="str">
        <x:v>Yes</x:v>
      </x:c>
      <x:c r="I2" s="130" t="str"/>
    </x:row>
    <x:row r="3">
      <x:c r="A3" s="130" t="str">
        <x:v>DRV-001</x:v>
      </x:c>
      <x:c r="B3" s="130" t="str">
        <x:v>John Carter</x:v>
      </x:c>
      <x:c r="C3" s="130" t="str">
        <x:v>CDL Summary</x:v>
      </x:c>
      <x:c r="D3" s="130" t="str">
        <x:v>CDL</x:v>
      </x:c>
      <x:c r="E3" s="130" t="str">
        <x:v>Status</x:v>
      </x:c>
      <x:c r="F3" s="180" t="str">
        <x:v>VALID</x:v>
      </x:c>
      <x:c r="G3" s="180" t="str">
        <x:v>VALID</x:v>
      </x:c>
      <x:c r="H3" s="130" t="str">
        <x:v>Yes</x:v>
      </x:c>
      <x:c r="I3" s="130" t="str"/>
    </x:row>
    <x:row r="4">
      <x:c r="A4" s="130" t="str">
        <x:v>DRV-001</x:v>
      </x:c>
      <x:c r="B4" s="130" t="str">
        <x:v>John Carter</x:v>
      </x:c>
      <x:c r="C4" s="130" t="str">
        <x:v>Medical Certification</x:v>
      </x:c>
      <x:c r="D4" s="130" t="str">
        <x:v>MEDICAL_CARD</x:v>
      </x:c>
      <x:c r="E4" s="130" t="str">
        <x:v>Expiration Date</x:v>
      </x:c>
      <x:c r="F4" s="180" t="n">
        <x:v>46638</x:v>
      </x:c>
      <x:c r="G4" s="180" t="n">
        <x:v>46273</x:v>
      </x:c>
      <x:c r="H4" s="130" t="str">
        <x:v>No</x:v>
      </x:c>
      <x:c r="I4" s="130" t="str"/>
    </x:row>
    <x:row r="5">
      <x:c r="A5" s="130" t="str">
        <x:v>DRV-001</x:v>
      </x:c>
      <x:c r="B5" s="130" t="str">
        <x:v>John Carter</x:v>
      </x:c>
      <x:c r="C5" s="130" t="str">
        <x:v>Medical Certification</x:v>
      </x:c>
      <x:c r="D5" s="130" t="str">
        <x:v>MEDICAL_CARD</x:v>
      </x:c>
      <x:c r="E5" s="130" t="str">
        <x:v>Status</x:v>
      </x:c>
      <x:c r="F5" s="180" t="str">
        <x:v>VALID</x:v>
      </x:c>
      <x:c r="G5" s="180" t="str">
        <x:v>VALID</x:v>
      </x:c>
      <x:c r="H5" s="130" t="str">
        <x:v>Yes</x:v>
      </x:c>
      <x:c r="I5" s="130" t="str"/>
    </x:row>
    <x:row r="6">
      <x:c r="A6" s="130" t="str">
        <x:v>DRV-001</x:v>
      </x:c>
      <x:c r="B6" s="130" t="str">
        <x:v>John Carter</x:v>
      </x:c>
      <x:c r="C6" s="130" t="str">
        <x:v>MVR Background Report</x:v>
      </x:c>
      <x:c r="D6" s="130" t="str">
        <x:v>MVR</x:v>
      </x:c>
      <x:c r="E6" s="130" t="str">
        <x:v>Expiration Date</x:v>
      </x:c>
      <x:c r="F6" s="180" t="n">
        <x:v>46677</x:v>
      </x:c>
      <x:c r="G6" s="180" t="n">
        <x:v>46312</x:v>
      </x:c>
      <x:c r="H6" s="130" t="str">
        <x:v>No</x:v>
      </x:c>
      <x:c r="I6" s="130" t="str"/>
    </x:row>
    <x:row r="7">
      <x:c r="A7" s="130" t="str">
        <x:v>DRV-001</x:v>
      </x:c>
      <x:c r="B7" s="130" t="str">
        <x:v>John Carter</x:v>
      </x:c>
      <x:c r="C7" s="130" t="str">
        <x:v>MVR Background Report</x:v>
      </x:c>
      <x:c r="D7" s="130" t="str">
        <x:v>MVR</x:v>
      </x:c>
      <x:c r="E7" s="130" t="str">
        <x:v>Status</x:v>
      </x:c>
      <x:c r="F7" s="180" t="str">
        <x:v>VALID</x:v>
      </x:c>
      <x:c r="G7" s="180" t="str">
        <x:v>VALID</x:v>
      </x:c>
      <x:c r="H7" s="130" t="str">
        <x:v>Yes</x:v>
      </x:c>
      <x:c r="I7" s="130" t="str"/>
    </x:row>
    <x:row r="8">
      <x:c r="A8" s="130" t="str">
        <x:v>DRV-002</x:v>
      </x:c>
      <x:c r="B8" s="130" t="str">
        <x:v>Maria Lopez</x:v>
      </x:c>
      <x:c r="C8" s="130" t="str">
        <x:v>CDL Summary</x:v>
      </x:c>
      <x:c r="D8" s="130" t="str">
        <x:v>CDL</x:v>
      </x:c>
      <x:c r="E8" s="130" t="str">
        <x:v>Document Present</x:v>
      </x:c>
      <x:c r="F8" s="180"/>
      <x:c r="G8" s="180" t="str">
        <x:v>Present in template</x:v>
      </x:c>
      <x:c r="H8" s="130" t="str">
        <x:v>No</x:v>
      </x:c>
      <x:c r="I8" s="130" t="str">
        <x:v>Missing from main Documents_Clean</x:v>
      </x:c>
    </x:row>
    <x:row r="9">
      <x:c r="A9" s="130" t="str">
        <x:v>DRV-002</x:v>
      </x:c>
      <x:c r="B9" s="130" t="str">
        <x:v>Maria Lopez</x:v>
      </x:c>
      <x:c r="C9" s="130" t="str">
        <x:v>Medical Certification</x:v>
      </x:c>
      <x:c r="D9" s="130" t="str">
        <x:v>MEDICAL_CARD</x:v>
      </x:c>
      <x:c r="E9" s="130" t="str">
        <x:v>Expiration Date</x:v>
      </x:c>
      <x:c r="F9" s="180" t="n">
        <x:v>46596</x:v>
      </x:c>
      <x:c r="G9" s="180" t="n">
        <x:v>46596</x:v>
      </x:c>
      <x:c r="H9" s="130" t="str">
        <x:v>Yes</x:v>
      </x:c>
      <x:c r="I9" s="130" t="str"/>
    </x:row>
    <x:row r="10">
      <x:c r="A10" s="130" t="str">
        <x:v>DRV-002</x:v>
      </x:c>
      <x:c r="B10" s="130" t="str">
        <x:v>Maria Lopez</x:v>
      </x:c>
      <x:c r="C10" s="130" t="str">
        <x:v>Medical Certification</x:v>
      </x:c>
      <x:c r="D10" s="130" t="str">
        <x:v>MEDICAL_CARD</x:v>
      </x:c>
      <x:c r="E10" s="130" t="str">
        <x:v>Status</x:v>
      </x:c>
      <x:c r="F10" s="180" t="str">
        <x:v>VALID</x:v>
      </x:c>
      <x:c r="G10" s="180" t="str">
        <x:v>VALID</x:v>
      </x:c>
      <x:c r="H10" s="130" t="str">
        <x:v>Yes</x:v>
      </x:c>
      <x:c r="I10" s="130" t="str"/>
    </x:row>
    <x:row r="11">
      <x:c r="A11" s="130" t="str">
        <x:v>DRV-002</x:v>
      </x:c>
      <x:c r="B11" s="130" t="str">
        <x:v>Maria Lopez</x:v>
      </x:c>
      <x:c r="C11" s="130" t="str">
        <x:v>MVR Background Report</x:v>
      </x:c>
      <x:c r="D11" s="130" t="str">
        <x:v>MVR</x:v>
      </x:c>
      <x:c r="E11" s="130" t="str">
        <x:v>Expiration Date</x:v>
      </x:c>
      <x:c r="F11" s="180" t="n">
        <x:v>46455</x:v>
      </x:c>
      <x:c r="G11" s="180" t="n">
        <x:v>46455</x:v>
      </x:c>
      <x:c r="H11" s="130" t="str">
        <x:v>Yes</x:v>
      </x:c>
      <x:c r="I11" s="130" t="str"/>
    </x:row>
    <x:row r="12">
      <x:c r="A12" s="130" t="str">
        <x:v>DRV-002</x:v>
      </x:c>
      <x:c r="B12" s="130" t="str">
        <x:v>Maria Lopez</x:v>
      </x:c>
      <x:c r="C12" s="130" t="str">
        <x:v>MVR Background Report</x:v>
      </x:c>
      <x:c r="D12" s="130" t="str">
        <x:v>MVR</x:v>
      </x:c>
      <x:c r="E12" s="130" t="str">
        <x:v>Status</x:v>
      </x:c>
      <x:c r="F12" s="180" t="str">
        <x:v>VALID</x:v>
      </x:c>
      <x:c r="G12" s="180" t="str">
        <x:v>VALID</x:v>
      </x:c>
      <x:c r="H12" s="130" t="str">
        <x:v>Yes</x:v>
      </x:c>
      <x:c r="I12" s="130" t="str"/>
    </x:row>
    <x:row r="13">
      <x:c r="A13" s="130" t="str">
        <x:v>DRV-003</x:v>
      </x:c>
      <x:c r="B13" s="130" t="str">
        <x:v>Alex Kim</x:v>
      </x:c>
      <x:c r="C13" s="130" t="str">
        <x:v>CDL Summary</x:v>
      </x:c>
      <x:c r="D13" s="130" t="str">
        <x:v>CDL</x:v>
      </x:c>
      <x:c r="E13" s="130" t="str">
        <x:v>Expiration Date</x:v>
      </x:c>
      <x:c r="F13" s="180" t="n">
        <x:v>46420</x:v>
      </x:c>
      <x:c r="G13" s="180" t="n">
        <x:v>46420</x:v>
      </x:c>
      <x:c r="H13" s="130" t="str">
        <x:v>Yes</x:v>
      </x:c>
      <x:c r="I13" s="130" t="str"/>
    </x:row>
    <x:row r="14">
      <x:c r="A14" s="130" t="str">
        <x:v>DRV-003</x:v>
      </x:c>
      <x:c r="B14" s="130" t="str">
        <x:v>Alex Kim</x:v>
      </x:c>
      <x:c r="C14" s="130" t="str">
        <x:v>CDL Summary</x:v>
      </x:c>
      <x:c r="D14" s="130" t="str">
        <x:v>CDL</x:v>
      </x:c>
      <x:c r="E14" s="130" t="str">
        <x:v>Status</x:v>
      </x:c>
      <x:c r="F14" s="180" t="str">
        <x:v>VALID</x:v>
      </x:c>
      <x:c r="G14" s="180" t="str">
        <x:v>VALID</x:v>
      </x:c>
      <x:c r="H14" s="130" t="str">
        <x:v>Yes</x:v>
      </x:c>
      <x:c r="I14" s="130" t="str"/>
    </x:row>
    <x:row r="15">
      <x:c r="A15" s="130" t="str">
        <x:v>DRV-003</x:v>
      </x:c>
      <x:c r="B15" s="130" t="str">
        <x:v>Alex Kim</x:v>
      </x:c>
      <x:c r="C15" s="130" t="str">
        <x:v>Medical Certification</x:v>
      </x:c>
      <x:c r="D15" s="130" t="str">
        <x:v>MEDICAL_CARD</x:v>
      </x:c>
      <x:c r="E15" s="130" t="str">
        <x:v>Expiration Date</x:v>
      </x:c>
      <x:c r="F15" s="180" t="n">
        <x:v>46659</x:v>
      </x:c>
      <x:c r="G15" s="180" t="n">
        <x:v>46659</x:v>
      </x:c>
      <x:c r="H15" s="130" t="str">
        <x:v>Yes</x:v>
      </x:c>
      <x:c r="I15" s="130" t="str"/>
    </x:row>
    <x:row r="16">
      <x:c r="A16" s="130" t="str">
        <x:v>DRV-003</x:v>
      </x:c>
      <x:c r="B16" s="130" t="str">
        <x:v>Alex Kim</x:v>
      </x:c>
      <x:c r="C16" s="130" t="str">
        <x:v>Medical Certification</x:v>
      </x:c>
      <x:c r="D16" s="130" t="str">
        <x:v>MEDICAL_CARD</x:v>
      </x:c>
      <x:c r="E16" s="130" t="str">
        <x:v>Status</x:v>
      </x:c>
      <x:c r="F16" s="180" t="str">
        <x:v>VALID</x:v>
      </x:c>
      <x:c r="G16" s="180" t="str">
        <x:v>VALID</x:v>
      </x:c>
      <x:c r="H16" s="130" t="str">
        <x:v>Yes</x:v>
      </x:c>
      <x:c r="I16" s="130" t="str"/>
    </x:row>
    <x:row r="17">
      <x:c r="A17" s="130" t="str">
        <x:v>DRV-003</x:v>
      </x:c>
      <x:c r="B17" s="130" t="str">
        <x:v>Alex Kim</x:v>
      </x:c>
      <x:c r="C17" s="130" t="str">
        <x:v>MVR Background Report</x:v>
      </x:c>
      <x:c r="D17" s="130" t="str">
        <x:v>MVR</x:v>
      </x:c>
      <x:c r="E17" s="130" t="str">
        <x:v>Expiration Date</x:v>
      </x:c>
      <x:c r="F17" s="180" t="n">
        <x:v>46449</x:v>
      </x:c>
      <x:c r="G17" s="180" t="n">
        <x:v>46449</x:v>
      </x:c>
      <x:c r="H17" s="130" t="str">
        <x:v>Yes</x:v>
      </x:c>
      <x:c r="I17" s="130" t="str"/>
    </x:row>
    <x:row r="18">
      <x:c r="A18" s="130" t="str">
        <x:v>DRV-003</x:v>
      </x:c>
      <x:c r="B18" s="130" t="str">
        <x:v>Alex Kim</x:v>
      </x:c>
      <x:c r="C18" s="130" t="str">
        <x:v>MVR Background Report</x:v>
      </x:c>
      <x:c r="D18" s="130" t="str">
        <x:v>MVR</x:v>
      </x:c>
      <x:c r="E18" s="130" t="str">
        <x:v>Status</x:v>
      </x:c>
      <x:c r="F18" s="180" t="str">
        <x:v>VALID</x:v>
      </x:c>
      <x:c r="G18" s="180" t="str">
        <x:v>VALID</x:v>
      </x:c>
      <x:c r="H18" s="130" t="str">
        <x:v>Yes</x:v>
      </x:c>
      <x:c r="I18" s="130" t="str"/>
    </x:row>
    <x:row r="19">
      <x:c r="A19" s="130" t="str">
        <x:v>DRV-004</x:v>
      </x:c>
      <x:c r="B19" s="130" t="str">
        <x:v>Priya Patel</x:v>
      </x:c>
      <x:c r="C19" s="130" t="str">
        <x:v>CDL Summary</x:v>
      </x:c>
      <x:c r="D19" s="130" t="str">
        <x:v>CDL</x:v>
      </x:c>
      <x:c r="E19" s="130" t="str">
        <x:v>Expiration Date</x:v>
      </x:c>
      <x:c r="F19" s="180" t="n">
        <x:v>46739</x:v>
      </x:c>
      <x:c r="G19" s="180" t="n">
        <x:v>46739</x:v>
      </x:c>
      <x:c r="H19" s="130" t="str">
        <x:v>Yes</x:v>
      </x:c>
      <x:c r="I19" s="130" t="str"/>
    </x:row>
    <x:row r="20">
      <x:c r="A20" s="130" t="str">
        <x:v>DRV-004</x:v>
      </x:c>
      <x:c r="B20" s="130" t="str">
        <x:v>Priya Patel</x:v>
      </x:c>
      <x:c r="C20" s="130" t="str">
        <x:v>CDL Summary</x:v>
      </x:c>
      <x:c r="D20" s="130" t="str">
        <x:v>CDL</x:v>
      </x:c>
      <x:c r="E20" s="130" t="str">
        <x:v>Status</x:v>
      </x:c>
      <x:c r="F20" s="180" t="str">
        <x:v>VALID</x:v>
      </x:c>
      <x:c r="G20" s="180" t="str">
        <x:v>VALID</x:v>
      </x:c>
      <x:c r="H20" s="130" t="str">
        <x:v>Yes</x:v>
      </x:c>
      <x:c r="I20" s="130" t="str"/>
    </x:row>
    <x:row r="21">
      <x:c r="A21" s="130" t="str">
        <x:v>DRV-004</x:v>
      </x:c>
      <x:c r="B21" s="130" t="str">
        <x:v>Priya Patel</x:v>
      </x:c>
      <x:c r="C21" s="130" t="str">
        <x:v>Medical Certification</x:v>
      </x:c>
      <x:c r="D21" s="130" t="str">
        <x:v>MEDICAL_CARD</x:v>
      </x:c>
      <x:c r="E21" s="130" t="str">
        <x:v>Expiration Date</x:v>
      </x:c>
      <x:c r="F21" s="180" t="n">
        <x:v>46486</x:v>
      </x:c>
      <x:c r="G21" s="180" t="n">
        <x:v>46486</x:v>
      </x:c>
      <x:c r="H21" s="130" t="str">
        <x:v>Yes</x:v>
      </x:c>
      <x:c r="I21" s="130" t="str"/>
    </x:row>
    <x:row r="22">
      <x:c r="A22" s="130" t="str">
        <x:v>DRV-004</x:v>
      </x:c>
      <x:c r="B22" s="130" t="str">
        <x:v>Priya Patel</x:v>
      </x:c>
      <x:c r="C22" s="130" t="str">
        <x:v>Medical Certification</x:v>
      </x:c>
      <x:c r="D22" s="130" t="str">
        <x:v>MEDICAL_CARD</x:v>
      </x:c>
      <x:c r="E22" s="130" t="str">
        <x:v>Status</x:v>
      </x:c>
      <x:c r="F22" s="180" t="str">
        <x:v>VALID</x:v>
      </x:c>
      <x:c r="G22" s="180" t="str">
        <x:v>VALID</x:v>
      </x:c>
      <x:c r="H22" s="130" t="str">
        <x:v>Yes</x:v>
      </x:c>
      <x:c r="I22" s="130" t="str"/>
    </x:row>
    <x:row r="23">
      <x:c r="A23" s="130" t="str">
        <x:v>DRV-004</x:v>
      </x:c>
      <x:c r="B23" s="130" t="str">
        <x:v>Priya Patel</x:v>
      </x:c>
      <x:c r="C23" s="130" t="str">
        <x:v>MVR Background Report</x:v>
      </x:c>
      <x:c r="D23" s="130" t="str">
        <x:v>MVR</x:v>
      </x:c>
      <x:c r="E23" s="130" t="str">
        <x:v>Expiration Date</x:v>
      </x:c>
      <x:c r="F23" s="180" t="n">
        <x:v>46452</x:v>
      </x:c>
      <x:c r="G23" s="180" t="n">
        <x:v>46452</x:v>
      </x:c>
      <x:c r="H23" s="130" t="str">
        <x:v>Yes</x:v>
      </x:c>
      <x:c r="I23" s="130" t="str"/>
    </x:row>
    <x:row r="24">
      <x:c r="A24" s="130" t="str">
        <x:v>DRV-004</x:v>
      </x:c>
      <x:c r="B24" s="130" t="str">
        <x:v>Priya Patel</x:v>
      </x:c>
      <x:c r="C24" s="130" t="str">
        <x:v>MVR Background Report</x:v>
      </x:c>
      <x:c r="D24" s="130" t="str">
        <x:v>MVR</x:v>
      </x:c>
      <x:c r="E24" s="130" t="str">
        <x:v>Status</x:v>
      </x:c>
      <x:c r="F24" s="180" t="str">
        <x:v>VALID</x:v>
      </x:c>
      <x:c r="G24" s="180" t="str">
        <x:v>VALID</x:v>
      </x:c>
      <x:c r="H24" s="130" t="str">
        <x:v>Yes</x:v>
      </x:c>
      <x:c r="I24" s="130" t="str"/>
    </x:row>
    <x:row r="25">
      <x:c r="A25" s="130" t="str">
        <x:v>DRV-005</x:v>
      </x:c>
      <x:c r="B25" s="130" t="str">
        <x:v>Kenji Tanaka</x:v>
      </x:c>
      <x:c r="C25" s="130" t="str">
        <x:v>CDL Summary</x:v>
      </x:c>
      <x:c r="D25" s="130" t="str">
        <x:v>CDL</x:v>
      </x:c>
      <x:c r="E25" s="130" t="str">
        <x:v>Expiration Date</x:v>
      </x:c>
      <x:c r="F25" s="180" t="n">
        <x:v>46577</x:v>
      </x:c>
      <x:c r="G25" s="180" t="n">
        <x:v>46577</x:v>
      </x:c>
      <x:c r="H25" s="130" t="str">
        <x:v>Yes</x:v>
      </x:c>
      <x:c r="I25" s="130" t="str"/>
    </x:row>
    <x:row r="26">
      <x:c r="A26" s="130" t="str">
        <x:v>DRV-005</x:v>
      </x:c>
      <x:c r="B26" s="130" t="str">
        <x:v>Kenji Tanaka</x:v>
      </x:c>
      <x:c r="C26" s="130" t="str">
        <x:v>CDL Summary</x:v>
      </x:c>
      <x:c r="D26" s="130" t="str">
        <x:v>CDL</x:v>
      </x:c>
      <x:c r="E26" s="130" t="str">
        <x:v>Status</x:v>
      </x:c>
      <x:c r="F26" s="180" t="str">
        <x:v>VALID</x:v>
      </x:c>
      <x:c r="G26" s="180" t="str">
        <x:v>VALID</x:v>
      </x:c>
      <x:c r="H26" s="130" t="str">
        <x:v>Yes</x:v>
      </x:c>
      <x:c r="I26" s="130" t="str"/>
    </x:row>
    <x:row r="27">
      <x:c r="A27" s="130" t="str">
        <x:v>DRV-005</x:v>
      </x:c>
      <x:c r="B27" s="130" t="str">
        <x:v>Kenji Tanaka</x:v>
      </x:c>
      <x:c r="C27" s="130" t="str">
        <x:v>Medical Certification</x:v>
      </x:c>
      <x:c r="D27" s="130" t="str">
        <x:v>MEDICAL_CARD</x:v>
      </x:c>
      <x:c r="E27" s="130" t="str">
        <x:v>Expiration Date</x:v>
      </x:c>
      <x:c r="F27" s="180" t="n">
        <x:v>46496</x:v>
      </x:c>
      <x:c r="G27" s="180" t="n">
        <x:v>46496</x:v>
      </x:c>
      <x:c r="H27" s="130" t="str">
        <x:v>Yes</x:v>
      </x:c>
      <x:c r="I27" s="130" t="str"/>
    </x:row>
    <x:row r="28">
      <x:c r="A28" s="130" t="str">
        <x:v>DRV-005</x:v>
      </x:c>
      <x:c r="B28" s="130" t="str">
        <x:v>Kenji Tanaka</x:v>
      </x:c>
      <x:c r="C28" s="130" t="str">
        <x:v>Medical Certification</x:v>
      </x:c>
      <x:c r="D28" s="130" t="str">
        <x:v>MEDICAL_CARD</x:v>
      </x:c>
      <x:c r="E28" s="130" t="str">
        <x:v>Status</x:v>
      </x:c>
      <x:c r="F28" s="180" t="str">
        <x:v>VALID</x:v>
      </x:c>
      <x:c r="G28" s="180" t="str">
        <x:v>VALID</x:v>
      </x:c>
      <x:c r="H28" s="130" t="str">
        <x:v>Yes</x:v>
      </x:c>
      <x:c r="I28" s="130" t="str"/>
    </x:row>
    <x:row r="29">
      <x:c r="A29" s="130" t="str">
        <x:v>DRV-005</x:v>
      </x:c>
      <x:c r="B29" s="130" t="str">
        <x:v>Kenji Tanaka</x:v>
      </x:c>
      <x:c r="C29" s="130" t="str">
        <x:v>MVR Background Report</x:v>
      </x:c>
      <x:c r="D29" s="130" t="str">
        <x:v>MVR</x:v>
      </x:c>
      <x:c r="E29" s="130" t="str">
        <x:v>Expiration Date</x:v>
      </x:c>
      <x:c r="F29" s="180" t="n">
        <x:v>46478</x:v>
      </x:c>
      <x:c r="G29" s="180" t="n">
        <x:v>46478</x:v>
      </x:c>
      <x:c r="H29" s="130" t="str">
        <x:v>Yes</x:v>
      </x:c>
      <x:c r="I29" s="130" t="str"/>
    </x:row>
    <x:row r="30">
      <x:c r="A30" s="130" t="str">
        <x:v>DRV-005</x:v>
      </x:c>
      <x:c r="B30" s="130" t="str">
        <x:v>Kenji Tanaka</x:v>
      </x:c>
      <x:c r="C30" s="130" t="str">
        <x:v>MVR Background Report</x:v>
      </x:c>
      <x:c r="D30" s="130" t="str">
        <x:v>MVR</x:v>
      </x:c>
      <x:c r="E30" s="130" t="str">
        <x:v>Status</x:v>
      </x:c>
      <x:c r="F30" s="180" t="str">
        <x:v>VALID</x:v>
      </x:c>
      <x:c r="G30" s="180" t="str">
        <x:v>VALID</x:v>
      </x:c>
      <x:c r="H30" s="130" t="str">
        <x:v>Yes</x:v>
      </x:c>
      <x:c r="I30" s="130" t="str"/>
    </x:row>
    <x:row r="31">
      <x:c r="A31" s="130" t="str">
        <x:v>DRV-006</x:v>
      </x:c>
      <x:c r="B31" s="130" t="str">
        <x:v>Marcus Chen</x:v>
      </x:c>
      <x:c r="C31" s="130" t="str">
        <x:v>CDL Summary</x:v>
      </x:c>
      <x:c r="D31" s="130" t="str">
        <x:v>CDL</x:v>
      </x:c>
      <x:c r="E31" s="130" t="str">
        <x:v>Expiration Date</x:v>
      </x:c>
      <x:c r="F31" s="180" t="n">
        <x:v>46556</x:v>
      </x:c>
      <x:c r="G31" s="180" t="n">
        <x:v>45826</x:v>
      </x:c>
      <x:c r="H31" s="130" t="str">
        <x:v>No</x:v>
      </x:c>
      <x:c r="I31" s="130" t="str"/>
    </x:row>
    <x:row r="32">
      <x:c r="A32" s="130" t="str">
        <x:v>DRV-006</x:v>
      </x:c>
      <x:c r="B32" s="130" t="str">
        <x:v>Marcus Chen</x:v>
      </x:c>
      <x:c r="C32" s="130" t="str">
        <x:v>CDL Summary</x:v>
      </x:c>
      <x:c r="D32" s="130" t="str">
        <x:v>CDL</x:v>
      </x:c>
      <x:c r="E32" s="130" t="str">
        <x:v>Status</x:v>
      </x:c>
      <x:c r="F32" s="180" t="str">
        <x:v>VALID</x:v>
      </x:c>
      <x:c r="G32" s="180" t="str">
        <x:v>VALID</x:v>
      </x:c>
      <x:c r="H32" s="130" t="str">
        <x:v>Yes</x:v>
      </x:c>
      <x:c r="I32" s="130" t="str"/>
    </x:row>
    <x:row r="33">
      <x:c r="A33" s="130" t="str">
        <x:v>DRV-006</x:v>
      </x:c>
      <x:c r="B33" s="130" t="str">
        <x:v>Marcus Chen</x:v>
      </x:c>
      <x:c r="C33" s="130" t="str">
        <x:v>Medical Certification</x:v>
      </x:c>
      <x:c r="D33" s="130" t="str">
        <x:v>MEDICAL_CARD</x:v>
      </x:c>
      <x:c r="E33" s="130" t="str">
        <x:v>Expiration Date</x:v>
      </x:c>
      <x:c r="F33" s="180" t="n">
        <x:v>46394</x:v>
      </x:c>
      <x:c r="G33" s="180" t="n">
        <x:v>46394</x:v>
      </x:c>
      <x:c r="H33" s="130" t="str">
        <x:v>Yes</x:v>
      </x:c>
      <x:c r="I33" s="130" t="str"/>
    </x:row>
    <x:row r="34">
      <x:c r="A34" s="130" t="str">
        <x:v>DRV-006</x:v>
      </x:c>
      <x:c r="B34" s="130" t="str">
        <x:v>Marcus Chen</x:v>
      </x:c>
      <x:c r="C34" s="130" t="str">
        <x:v>Medical Certification</x:v>
      </x:c>
      <x:c r="D34" s="130" t="str">
        <x:v>MEDICAL_CARD</x:v>
      </x:c>
      <x:c r="E34" s="130" t="str">
        <x:v>Status</x:v>
      </x:c>
      <x:c r="F34" s="180" t="str">
        <x:v>VALID</x:v>
      </x:c>
      <x:c r="G34" s="180" t="str">
        <x:v>VALID</x:v>
      </x:c>
      <x:c r="H34" s="130" t="str">
        <x:v>Yes</x:v>
      </x:c>
      <x:c r="I34" s="130" t="str"/>
    </x:row>
    <x:row r="35">
      <x:c r="A35" s="130" t="str">
        <x:v>DRV-006</x:v>
      </x:c>
      <x:c r="B35" s="130" t="str">
        <x:v>Marcus Chen</x:v>
      </x:c>
      <x:c r="C35" s="130" t="str">
        <x:v>MVR Background Report</x:v>
      </x:c>
      <x:c r="D35" s="130" t="str">
        <x:v>MVR</x:v>
      </x:c>
      <x:c r="E35" s="130" t="str">
        <x:v>Expiration Date</x:v>
      </x:c>
      <x:c r="F35" s="180" t="n">
        <x:v>46455</x:v>
      </x:c>
      <x:c r="G35" s="180" t="n">
        <x:v>46455</x:v>
      </x:c>
      <x:c r="H35" s="130" t="str">
        <x:v>Yes</x:v>
      </x:c>
      <x:c r="I35" s="130" t="str"/>
    </x:row>
    <x:row r="36">
      <x:c r="A36" s="130" t="str">
        <x:v>DRV-006</x:v>
      </x:c>
      <x:c r="B36" s="130" t="str">
        <x:v>Marcus Chen</x:v>
      </x:c>
      <x:c r="C36" s="130" t="str">
        <x:v>MVR Background Report</x:v>
      </x:c>
      <x:c r="D36" s="130" t="str">
        <x:v>MVR</x:v>
      </x:c>
      <x:c r="E36" s="130" t="str">
        <x:v>Status</x:v>
      </x:c>
      <x:c r="F36" s="180" t="str">
        <x:v>VALID</x:v>
      </x:c>
      <x:c r="G36" s="180" t="str">
        <x:v>VALID</x:v>
      </x:c>
      <x:c r="H36" s="130" t="str">
        <x:v>Yes</x:v>
      </x:c>
      <x:c r="I36" s="130" t="str"/>
    </x:row>
    <x:row r="37">
      <x:c r="A37" s="130" t="str">
        <x:v>DRV-007</x:v>
      </x:c>
      <x:c r="B37" s="130" t="str">
        <x:v>Sofia Gomez</x:v>
      </x:c>
      <x:c r="C37" s="130" t="str">
        <x:v>CDL Summary</x:v>
      </x:c>
      <x:c r="D37" s="130" t="str">
        <x:v>CDL</x:v>
      </x:c>
      <x:c r="E37" s="130" t="str">
        <x:v>Expiration Date</x:v>
      </x:c>
      <x:c r="F37" s="180" t="n">
        <x:v>46530</x:v>
      </x:c>
      <x:c r="G37" s="180" t="n">
        <x:v>46530</x:v>
      </x:c>
      <x:c r="H37" s="130" t="str">
        <x:v>Yes</x:v>
      </x:c>
      <x:c r="I37" s="130" t="str"/>
    </x:row>
    <x:row r="38">
      <x:c r="A38" s="130" t="str">
        <x:v>DRV-007</x:v>
      </x:c>
      <x:c r="B38" s="130" t="str">
        <x:v>Sofia Gomez</x:v>
      </x:c>
      <x:c r="C38" s="130" t="str">
        <x:v>CDL Summary</x:v>
      </x:c>
      <x:c r="D38" s="130" t="str">
        <x:v>CDL</x:v>
      </x:c>
      <x:c r="E38" s="130" t="str">
        <x:v>Status</x:v>
      </x:c>
      <x:c r="F38" s="180" t="str">
        <x:v>VALID</x:v>
      </x:c>
      <x:c r="G38" s="180" t="str">
        <x:v>VALID</x:v>
      </x:c>
      <x:c r="H38" s="130" t="str">
        <x:v>Yes</x:v>
      </x:c>
      <x:c r="I38" s="130" t="str"/>
    </x:row>
    <x:row r="39">
      <x:c r="A39" s="130" t="str">
        <x:v>DRV-007</x:v>
      </x:c>
      <x:c r="B39" s="130" t="str">
        <x:v>Sofia Gomez</x:v>
      </x:c>
      <x:c r="C39" s="130" t="str">
        <x:v>Medical Certification</x:v>
      </x:c>
      <x:c r="D39" s="130" t="str">
        <x:v>MEDICAL_CARD</x:v>
      </x:c>
      <x:c r="E39" s="130" t="str">
        <x:v>Expiration Date</x:v>
      </x:c>
      <x:c r="F39" s="180" t="n">
        <x:v>46469</x:v>
      </x:c>
      <x:c r="G39" s="180" t="n">
        <x:v>45739</x:v>
      </x:c>
      <x:c r="H39" s="130" t="str">
        <x:v>No</x:v>
      </x:c>
      <x:c r="I39" s="130" t="str"/>
    </x:row>
    <x:row r="40">
      <x:c r="A40" s="130" t="str">
        <x:v>DRV-007</x:v>
      </x:c>
      <x:c r="B40" s="130" t="str">
        <x:v>Sofia Gomez</x:v>
      </x:c>
      <x:c r="C40" s="130" t="str">
        <x:v>Medical Certification</x:v>
      </x:c>
      <x:c r="D40" s="130" t="str">
        <x:v>MEDICAL_CARD</x:v>
      </x:c>
      <x:c r="E40" s="130" t="str">
        <x:v>Status</x:v>
      </x:c>
      <x:c r="F40" s="180" t="str">
        <x:v>VALID</x:v>
      </x:c>
      <x:c r="G40" s="180" t="str">
        <x:v>VALID</x:v>
      </x:c>
      <x:c r="H40" s="130" t="str">
        <x:v>Yes</x:v>
      </x:c>
      <x:c r="I40" s="130" t="str"/>
    </x:row>
    <x:row r="41">
      <x:c r="A41" s="130" t="str">
        <x:v>DRV-007</x:v>
      </x:c>
      <x:c r="B41" s="130" t="str">
        <x:v>Sofia Gomez</x:v>
      </x:c>
      <x:c r="C41" s="130" t="str">
        <x:v>MVR Background Report</x:v>
      </x:c>
      <x:c r="D41" s="130" t="str">
        <x:v>MVR</x:v>
      </x:c>
      <x:c r="E41" s="130" t="str">
        <x:v>Expiration Date</x:v>
      </x:c>
      <x:c r="F41" s="180" t="n">
        <x:v>46456</x:v>
      </x:c>
      <x:c r="G41" s="180" t="n">
        <x:v>46456</x:v>
      </x:c>
      <x:c r="H41" s="130" t="str">
        <x:v>Yes</x:v>
      </x:c>
      <x:c r="I41" s="130" t="str"/>
    </x:row>
    <x:row r="42">
      <x:c r="A42" s="130" t="str">
        <x:v>DRV-007</x:v>
      </x:c>
      <x:c r="B42" s="130" t="str">
        <x:v>Sofia Gomez</x:v>
      </x:c>
      <x:c r="C42" s="130" t="str">
        <x:v>MVR Background Report</x:v>
      </x:c>
      <x:c r="D42" s="130" t="str">
        <x:v>MVR</x:v>
      </x:c>
      <x:c r="E42" s="130" t="str">
        <x:v>Status</x:v>
      </x:c>
      <x:c r="F42" s="180" t="str">
        <x:v>VALID</x:v>
      </x:c>
      <x:c r="G42" s="180" t="str">
        <x:v>VALID</x:v>
      </x:c>
      <x:c r="H42" s="130" t="str">
        <x:v>Yes</x:v>
      </x:c>
      <x:c r="I42" s="130" t="str"/>
    </x:row>
    <x:row r="43">
      <x:c r="A43" s="130" t="str">
        <x:v>DRV-008</x:v>
      </x:c>
      <x:c r="B43" s="130" t="str">
        <x:v>Liam Smith</x:v>
      </x:c>
      <x:c r="C43" s="130" t="str">
        <x:v>CDL Summary</x:v>
      </x:c>
      <x:c r="D43" s="130" t="str">
        <x:v>CDL</x:v>
      </x:c>
      <x:c r="E43" s="130" t="str">
        <x:v>Expiration Date</x:v>
      </x:c>
      <x:c r="F43" s="180" t="n">
        <x:v>46620</x:v>
      </x:c>
      <x:c r="G43" s="180" t="n">
        <x:v>46620</x:v>
      </x:c>
      <x:c r="H43" s="130" t="str">
        <x:v>Yes</x:v>
      </x:c>
      <x:c r="I43" s="130" t="str"/>
    </x:row>
    <x:row r="44">
      <x:c r="A44" s="130" t="str">
        <x:v>DRV-008</x:v>
      </x:c>
      <x:c r="B44" s="130" t="str">
        <x:v>Liam Smith</x:v>
      </x:c>
      <x:c r="C44" s="130" t="str">
        <x:v>CDL Summary</x:v>
      </x:c>
      <x:c r="D44" s="130" t="str">
        <x:v>CDL</x:v>
      </x:c>
      <x:c r="E44" s="130" t="str">
        <x:v>Status</x:v>
      </x:c>
      <x:c r="F44" s="180" t="str">
        <x:v>VALID</x:v>
      </x:c>
      <x:c r="G44" s="180" t="str">
        <x:v>VALID</x:v>
      </x:c>
      <x:c r="H44" s="130" t="str">
        <x:v>Yes</x:v>
      </x:c>
      <x:c r="I44" s="130" t="str"/>
    </x:row>
    <x:row r="45">
      <x:c r="A45" s="130" t="str">
        <x:v>DRV-008</x:v>
      </x:c>
      <x:c r="B45" s="130" t="str">
        <x:v>Liam Smith</x:v>
      </x:c>
      <x:c r="C45" s="130" t="str">
        <x:v>Medical Certification</x:v>
      </x:c>
      <x:c r="D45" s="130" t="str">
        <x:v>MEDICAL_CARD</x:v>
      </x:c>
      <x:c r="E45" s="130" t="str">
        <x:v>Expiration Date</x:v>
      </x:c>
      <x:c r="F45" s="180" t="n">
        <x:v>46670</x:v>
      </x:c>
      <x:c r="G45" s="180" t="n">
        <x:v>46670</x:v>
      </x:c>
      <x:c r="H45" s="130" t="str">
        <x:v>Yes</x:v>
      </x:c>
      <x:c r="I45" s="130" t="str"/>
    </x:row>
    <x:row r="46">
      <x:c r="A46" s="130" t="str">
        <x:v>DRV-008</x:v>
      </x:c>
      <x:c r="B46" s="130" t="str">
        <x:v>Liam Smith</x:v>
      </x:c>
      <x:c r="C46" s="130" t="str">
        <x:v>Medical Certification</x:v>
      </x:c>
      <x:c r="D46" s="130" t="str">
        <x:v>MEDICAL_CARD</x:v>
      </x:c>
      <x:c r="E46" s="130" t="str">
        <x:v>Status</x:v>
      </x:c>
      <x:c r="F46" s="180" t="str">
        <x:v>VALID</x:v>
      </x:c>
      <x:c r="G46" s="180" t="str">
        <x:v>VALID</x:v>
      </x:c>
      <x:c r="H46" s="130" t="str">
        <x:v>Yes</x:v>
      </x:c>
      <x:c r="I46" s="130" t="str"/>
    </x:row>
    <x:row r="47">
      <x:c r="A47" s="130" t="str">
        <x:v>DRV-008</x:v>
      </x:c>
      <x:c r="B47" s="130" t="str">
        <x:v>Liam Smith</x:v>
      </x:c>
      <x:c r="C47" s="130" t="str">
        <x:v>MVR Background Report</x:v>
      </x:c>
      <x:c r="D47" s="130" t="str">
        <x:v>MVR</x:v>
      </x:c>
      <x:c r="E47" s="130" t="str">
        <x:v>Expiration Date</x:v>
      </x:c>
      <x:c r="F47" s="180" t="n">
        <x:v>46452</x:v>
      </x:c>
      <x:c r="G47" s="180" t="n">
        <x:v>46452</x:v>
      </x:c>
      <x:c r="H47" s="130" t="str">
        <x:v>Yes</x:v>
      </x:c>
      <x:c r="I47" s="130" t="str"/>
    </x:row>
    <x:row r="48">
      <x:c r="A48" s="130" t="str">
        <x:v>DRV-008</x:v>
      </x:c>
      <x:c r="B48" s="130" t="str">
        <x:v>Liam Smith</x:v>
      </x:c>
      <x:c r="C48" s="130" t="str">
        <x:v>MVR Background Report</x:v>
      </x:c>
      <x:c r="D48" s="130" t="str">
        <x:v>MVR</x:v>
      </x:c>
      <x:c r="E48" s="130" t="str">
        <x:v>Status</x:v>
      </x:c>
      <x:c r="F48" s="180" t="str">
        <x:v>VALID</x:v>
      </x:c>
      <x:c r="G48" s="180" t="str">
        <x:v>VALID</x:v>
      </x:c>
      <x:c r="H48" s="130" t="str">
        <x:v>Yes</x:v>
      </x:c>
      <x:c r="I48" s="130" t="str"/>
    </x:row>
    <x:row r="49">
      <x:c r="A49" s="130" t="str">
        <x:v>DRV-009</x:v>
      </x:c>
      <x:c r="B49" s="130" t="str">
        <x:v>Emma Brown</x:v>
      </x:c>
      <x:c r="C49" s="130" t="str">
        <x:v>CDL Summary</x:v>
      </x:c>
      <x:c r="D49" s="130" t="str">
        <x:v>CDL</x:v>
      </x:c>
      <x:c r="E49" s="130" t="str">
        <x:v>Expiration Date</x:v>
      </x:c>
      <x:c r="F49" s="180" t="n">
        <x:v>46424</x:v>
      </x:c>
      <x:c r="G49" s="180" t="n">
        <x:v>46424</x:v>
      </x:c>
      <x:c r="H49" s="130" t="str">
        <x:v>Yes</x:v>
      </x:c>
      <x:c r="I49" s="130" t="str"/>
    </x:row>
    <x:row r="50">
      <x:c r="A50" s="130" t="str">
        <x:v>DRV-009</x:v>
      </x:c>
      <x:c r="B50" s="130" t="str">
        <x:v>Emma Brown</x:v>
      </x:c>
      <x:c r="C50" s="130" t="str">
        <x:v>CDL Summary</x:v>
      </x:c>
      <x:c r="D50" s="130" t="str">
        <x:v>CDL</x:v>
      </x:c>
      <x:c r="E50" s="130" t="str">
        <x:v>Status</x:v>
      </x:c>
      <x:c r="F50" s="180" t="str">
        <x:v>VALID</x:v>
      </x:c>
      <x:c r="G50" s="180" t="str">
        <x:v>VALID</x:v>
      </x:c>
      <x:c r="H50" s="130" t="str">
        <x:v>Yes</x:v>
      </x:c>
      <x:c r="I50" s="130" t="str"/>
    </x:row>
    <x:row r="51">
      <x:c r="A51" s="130" t="str">
        <x:v>DRV-009</x:v>
      </x:c>
      <x:c r="B51" s="130" t="str">
        <x:v>Emma Brown</x:v>
      </x:c>
      <x:c r="C51" s="130" t="str">
        <x:v>Medical Certification</x:v>
      </x:c>
      <x:c r="D51" s="130" t="str">
        <x:v>MEDICAL_CARD</x:v>
      </x:c>
      <x:c r="E51" s="130" t="str">
        <x:v>Expiration Date</x:v>
      </x:c>
      <x:c r="F51" s="180" t="n">
        <x:v>46645</x:v>
      </x:c>
      <x:c r="G51" s="180" t="n">
        <x:v>46645</x:v>
      </x:c>
      <x:c r="H51" s="130" t="str">
        <x:v>Yes</x:v>
      </x:c>
      <x:c r="I51" s="130" t="str"/>
    </x:row>
    <x:row r="52">
      <x:c r="A52" s="130" t="str">
        <x:v>DRV-009</x:v>
      </x:c>
      <x:c r="B52" s="130" t="str">
        <x:v>Emma Brown</x:v>
      </x:c>
      <x:c r="C52" s="130" t="str">
        <x:v>Medical Certification</x:v>
      </x:c>
      <x:c r="D52" s="130" t="str">
        <x:v>MEDICAL_CARD</x:v>
      </x:c>
      <x:c r="E52" s="130" t="str">
        <x:v>Status</x:v>
      </x:c>
      <x:c r="F52" s="180" t="str">
        <x:v>VALID</x:v>
      </x:c>
      <x:c r="G52" s="180" t="str">
        <x:v>VALID</x:v>
      </x:c>
      <x:c r="H52" s="130" t="str">
        <x:v>Yes</x:v>
      </x:c>
      <x:c r="I52" s="130" t="str"/>
    </x:row>
    <x:row r="53">
      <x:c r="A53" s="130" t="str">
        <x:v>DRV-009</x:v>
      </x:c>
      <x:c r="B53" s="130" t="str">
        <x:v>Emma Brown</x:v>
      </x:c>
      <x:c r="C53" s="130" t="str">
        <x:v>MVR Background Report</x:v>
      </x:c>
      <x:c r="D53" s="130" t="str">
        <x:v>MVR</x:v>
      </x:c>
      <x:c r="E53" s="130" t="str">
        <x:v>Expiration Date</x:v>
      </x:c>
      <x:c r="F53" s="180" t="n">
        <x:v>46451</x:v>
      </x:c>
      <x:c r="G53" s="180" t="n">
        <x:v>46451</x:v>
      </x:c>
      <x:c r="H53" s="130" t="str">
        <x:v>Yes</x:v>
      </x:c>
      <x:c r="I53" s="130" t="str"/>
    </x:row>
    <x:row r="54">
      <x:c r="A54" s="130" t="str">
        <x:v>DRV-009</x:v>
      </x:c>
      <x:c r="B54" s="130" t="str">
        <x:v>Emma Brown</x:v>
      </x:c>
      <x:c r="C54" s="130" t="str">
        <x:v>MVR Background Report</x:v>
      </x:c>
      <x:c r="D54" s="130" t="str">
        <x:v>MVR</x:v>
      </x:c>
      <x:c r="E54" s="130" t="str">
        <x:v>Status</x:v>
      </x:c>
      <x:c r="F54" s="180" t="str">
        <x:v>VALID</x:v>
      </x:c>
      <x:c r="G54" s="180" t="str">
        <x:v>VALID</x:v>
      </x:c>
      <x:c r="H54" s="130" t="str">
        <x:v>Yes</x:v>
      </x:c>
      <x:c r="I54" s="130" t="str"/>
    </x:row>
    <x:row r="55">
      <x:c r="A55" s="130" t="str">
        <x:v>DRV-010</x:v>
      </x:c>
      <x:c r="B55" s="130" t="str">
        <x:v>Noah Wilson</x:v>
      </x:c>
      <x:c r="C55" s="130" t="str">
        <x:v>CDL Summary</x:v>
      </x:c>
      <x:c r="D55" s="130" t="str">
        <x:v>CDL</x:v>
      </x:c>
      <x:c r="E55" s="130" t="str">
        <x:v>Expiration Date</x:v>
      </x:c>
      <x:c r="F55" s="180" t="n">
        <x:v>46647</x:v>
      </x:c>
      <x:c r="G55" s="180" t="n">
        <x:v>46647</x:v>
      </x:c>
      <x:c r="H55" s="130" t="str">
        <x:v>Yes</x:v>
      </x:c>
      <x:c r="I55" s="130" t="str"/>
    </x:row>
    <x:row r="56">
      <x:c r="A56" s="130" t="str">
        <x:v>DRV-010</x:v>
      </x:c>
      <x:c r="B56" s="130" t="str">
        <x:v>Noah Wilson</x:v>
      </x:c>
      <x:c r="C56" s="130" t="str">
        <x:v>CDL Summary</x:v>
      </x:c>
      <x:c r="D56" s="130" t="str">
        <x:v>CDL</x:v>
      </x:c>
      <x:c r="E56" s="130" t="str">
        <x:v>Status</x:v>
      </x:c>
      <x:c r="F56" s="180" t="str">
        <x:v>VALID</x:v>
      </x:c>
      <x:c r="G56" s="180" t="str">
        <x:v>VALID</x:v>
      </x:c>
      <x:c r="H56" s="130" t="str">
        <x:v>Yes</x:v>
      </x:c>
      <x:c r="I56" s="130" t="str"/>
    </x:row>
    <x:row r="57">
      <x:c r="A57" s="130" t="str">
        <x:v>DRV-010</x:v>
      </x:c>
      <x:c r="B57" s="130" t="str">
        <x:v>Noah Wilson</x:v>
      </x:c>
      <x:c r="C57" s="130" t="str">
        <x:v>Medical Certification</x:v>
      </x:c>
      <x:c r="D57" s="130" t="str">
        <x:v>MEDICAL_CARD</x:v>
      </x:c>
      <x:c r="E57" s="130" t="str">
        <x:v>Expiration Date</x:v>
      </x:c>
      <x:c r="F57" s="180" t="n">
        <x:v>46752</x:v>
      </x:c>
      <x:c r="G57" s="180" t="n">
        <x:v>46752</x:v>
      </x:c>
      <x:c r="H57" s="130" t="str">
        <x:v>Yes</x:v>
      </x:c>
      <x:c r="I57" s="130" t="str"/>
    </x:row>
    <x:row r="58">
      <x:c r="A58" s="130" t="str">
        <x:v>DRV-010</x:v>
      </x:c>
      <x:c r="B58" s="130" t="str">
        <x:v>Noah Wilson</x:v>
      </x:c>
      <x:c r="C58" s="130" t="str">
        <x:v>Medical Certification</x:v>
      </x:c>
      <x:c r="D58" s="130" t="str">
        <x:v>MEDICAL_CARD</x:v>
      </x:c>
      <x:c r="E58" s="130" t="str">
        <x:v>Status</x:v>
      </x:c>
      <x:c r="F58" s="180" t="str">
        <x:v>VALID</x:v>
      </x:c>
      <x:c r="G58" s="180" t="str">
        <x:v>VALID</x:v>
      </x:c>
      <x:c r="H58" s="130" t="str">
        <x:v>Yes</x:v>
      </x:c>
      <x:c r="I58" s="130" t="str"/>
    </x:row>
    <x:row r="59">
      <x:c r="A59" s="130" t="str">
        <x:v>DRV-010</x:v>
      </x:c>
      <x:c r="B59" s="130" t="str">
        <x:v>Noah Wilson</x:v>
      </x:c>
      <x:c r="C59" s="130" t="str">
        <x:v>MVR Background Report</x:v>
      </x:c>
      <x:c r="D59" s="130" t="str">
        <x:v>MVR</x:v>
      </x:c>
      <x:c r="E59" s="130" t="str">
        <x:v>Expiration Date</x:v>
      </x:c>
      <x:c r="F59" s="180" t="n">
        <x:v>46481</x:v>
      </x:c>
      <x:c r="G59" s="180" t="n">
        <x:v>46481</x:v>
      </x:c>
      <x:c r="H59" s="130" t="str">
        <x:v>Yes</x:v>
      </x:c>
      <x:c r="I59" s="130" t="str"/>
    </x:row>
    <x:row r="60">
      <x:c r="A60" s="130" t="str">
        <x:v>DRV-010</x:v>
      </x:c>
      <x:c r="B60" s="130" t="str">
        <x:v>Noah Wilson</x:v>
      </x:c>
      <x:c r="C60" s="130" t="str">
        <x:v>MVR Background Report</x:v>
      </x:c>
      <x:c r="D60" s="130" t="str">
        <x:v>MVR</x:v>
      </x:c>
      <x:c r="E60" s="130" t="str">
        <x:v>Status</x:v>
      </x:c>
      <x:c r="F60" s="180" t="str">
        <x:v>VALID</x:v>
      </x:c>
      <x:c r="G60" s="180" t="str">
        <x:v>VALID</x:v>
      </x:c>
      <x:c r="H60" s="130" t="str">
        <x:v>Yes</x:v>
      </x:c>
      <x:c r="I60" s="130" t="str"/>
    </x:row>
    <x:row r="61">
      <x:c r="A61" s="130" t="str">
        <x:v>DRV-011</x:v>
      </x:c>
      <x:c r="B61" s="130" t="str">
        <x:v>Olivia Lee</x:v>
      </x:c>
      <x:c r="C61" s="130" t="str">
        <x:v>CDL Summary</x:v>
      </x:c>
      <x:c r="D61" s="130" t="str">
        <x:v>CDL</x:v>
      </x:c>
      <x:c r="E61" s="130" t="str">
        <x:v>Expiration Date</x:v>
      </x:c>
      <x:c r="F61" s="180" t="n">
        <x:v>46566</x:v>
      </x:c>
      <x:c r="G61" s="180" t="n">
        <x:v>46566</x:v>
      </x:c>
      <x:c r="H61" s="130" t="str">
        <x:v>Yes</x:v>
      </x:c>
      <x:c r="I61" s="130" t="str"/>
    </x:row>
    <x:row r="62">
      <x:c r="A62" s="130" t="str">
        <x:v>DRV-011</x:v>
      </x:c>
      <x:c r="B62" s="130" t="str">
        <x:v>Olivia Lee</x:v>
      </x:c>
      <x:c r="C62" s="130" t="str">
        <x:v>CDL Summary</x:v>
      </x:c>
      <x:c r="D62" s="130" t="str">
        <x:v>CDL</x:v>
      </x:c>
      <x:c r="E62" s="130" t="str">
        <x:v>Status</x:v>
      </x:c>
      <x:c r="F62" s="180" t="str">
        <x:v>VALID</x:v>
      </x:c>
      <x:c r="G62" s="180" t="str">
        <x:v>VALID</x:v>
      </x:c>
      <x:c r="H62" s="130" t="str">
        <x:v>Yes</x:v>
      </x:c>
      <x:c r="I62" s="130" t="str"/>
    </x:row>
    <x:row r="63">
      <x:c r="A63" s="130" t="str">
        <x:v>DRV-011</x:v>
      </x:c>
      <x:c r="B63" s="130" t="str">
        <x:v>Olivia Lee</x:v>
      </x:c>
      <x:c r="C63" s="130" t="str">
        <x:v>Medical Certification</x:v>
      </x:c>
      <x:c r="D63" s="130" t="str">
        <x:v>MEDICAL_CARD</x:v>
      </x:c>
      <x:c r="E63" s="130" t="str">
        <x:v>Expiration Date</x:v>
      </x:c>
      <x:c r="F63" s="180" t="n">
        <x:v>46499</x:v>
      </x:c>
      <x:c r="G63" s="180" t="n">
        <x:v>46499</x:v>
      </x:c>
      <x:c r="H63" s="130" t="str">
        <x:v>Yes</x:v>
      </x:c>
      <x:c r="I63" s="130" t="str"/>
    </x:row>
    <x:row r="64">
      <x:c r="A64" s="130" t="str">
        <x:v>DRV-011</x:v>
      </x:c>
      <x:c r="B64" s="130" t="str">
        <x:v>Olivia Lee</x:v>
      </x:c>
      <x:c r="C64" s="130" t="str">
        <x:v>Medical Certification</x:v>
      </x:c>
      <x:c r="D64" s="130" t="str">
        <x:v>MEDICAL_CARD</x:v>
      </x:c>
      <x:c r="E64" s="130" t="str">
        <x:v>Status</x:v>
      </x:c>
      <x:c r="F64" s="180" t="str">
        <x:v>VALID</x:v>
      </x:c>
      <x:c r="G64" s="180" t="str">
        <x:v>VALID</x:v>
      </x:c>
      <x:c r="H64" s="130" t="str">
        <x:v>Yes</x:v>
      </x:c>
      <x:c r="I64" s="130" t="str"/>
    </x:row>
    <x:row r="65">
      <x:c r="A65" s="130" t="str">
        <x:v>DRV-011</x:v>
      </x:c>
      <x:c r="B65" s="130" t="str">
        <x:v>Olivia Lee</x:v>
      </x:c>
      <x:c r="C65" s="130" t="str">
        <x:v>MVR Background Report</x:v>
      </x:c>
      <x:c r="D65" s="130" t="str">
        <x:v>MVR</x:v>
      </x:c>
      <x:c r="E65" s="130" t="str">
        <x:v>Expiration Date</x:v>
      </x:c>
      <x:c r="F65" s="180" t="n">
        <x:v>46484</x:v>
      </x:c>
      <x:c r="G65" s="180" t="n">
        <x:v>46484</x:v>
      </x:c>
      <x:c r="H65" s="130" t="str">
        <x:v>Yes</x:v>
      </x:c>
      <x:c r="I65" s="130" t="str"/>
    </x:row>
    <x:row r="66">
      <x:c r="A66" s="130" t="str">
        <x:v>DRV-011</x:v>
      </x:c>
      <x:c r="B66" s="130" t="str">
        <x:v>Olivia Lee</x:v>
      </x:c>
      <x:c r="C66" s="130" t="str">
        <x:v>MVR Background Report</x:v>
      </x:c>
      <x:c r="D66" s="130" t="str">
        <x:v>MVR</x:v>
      </x:c>
      <x:c r="E66" s="130" t="str">
        <x:v>Status</x:v>
      </x:c>
      <x:c r="F66" s="180" t="str">
        <x:v>VALID</x:v>
      </x:c>
      <x:c r="G66" s="180" t="str">
        <x:v>VALID</x:v>
      </x:c>
      <x:c r="H66" s="130" t="str">
        <x:v>Yes</x:v>
      </x:c>
      <x:c r="I66" s="130" t="str"/>
    </x:row>
    <x:row r="67">
      <x:c r="A67" s="130" t="str">
        <x:v>DRV-012</x:v>
      </x:c>
      <x:c r="B67" s="130" t="str">
        <x:v>Robert Johnson</x:v>
      </x:c>
      <x:c r="C67" s="130" t="str">
        <x:v>CDL Summary</x:v>
      </x:c>
      <x:c r="D67" s="130" t="str">
        <x:v>CDL</x:v>
      </x:c>
      <x:c r="E67" s="130" t="str">
        <x:v>Expiration Date</x:v>
      </x:c>
      <x:c r="F67" s="180" t="n">
        <x:v>46706</x:v>
      </x:c>
      <x:c r="G67" s="180" t="n">
        <x:v>46706</x:v>
      </x:c>
      <x:c r="H67" s="130" t="str">
        <x:v>Yes</x:v>
      </x:c>
      <x:c r="I67" s="130" t="str"/>
    </x:row>
    <x:row r="68">
      <x:c r="A68" s="130" t="str">
        <x:v>DRV-012</x:v>
      </x:c>
      <x:c r="B68" s="130" t="str">
        <x:v>Robert Johnson</x:v>
      </x:c>
      <x:c r="C68" s="130" t="str">
        <x:v>CDL Summary</x:v>
      </x:c>
      <x:c r="D68" s="130" t="str">
        <x:v>CDL</x:v>
      </x:c>
      <x:c r="E68" s="130" t="str">
        <x:v>Status</x:v>
      </x:c>
      <x:c r="F68" s="180" t="str">
        <x:v>VALID</x:v>
      </x:c>
      <x:c r="G68" s="180" t="str">
        <x:v>VALID</x:v>
      </x:c>
      <x:c r="H68" s="130" t="str">
        <x:v>Yes</x:v>
      </x:c>
      <x:c r="I68" s="130" t="str"/>
    </x:row>
    <x:row r="69">
      <x:c r="A69" s="130" t="str">
        <x:v>DRV-012</x:v>
      </x:c>
      <x:c r="B69" s="130" t="str">
        <x:v>Robert Johnson</x:v>
      </x:c>
      <x:c r="C69" s="130" t="str">
        <x:v>Medical Certification</x:v>
      </x:c>
      <x:c r="D69" s="130" t="str">
        <x:v>MEDICAL_CARD</x:v>
      </x:c>
      <x:c r="E69" s="130" t="str">
        <x:v>Expiration Date</x:v>
      </x:c>
      <x:c r="F69" s="180" t="n">
        <x:v>46609</x:v>
      </x:c>
      <x:c r="G69" s="180" t="n">
        <x:v>46609</x:v>
      </x:c>
      <x:c r="H69" s="130" t="str">
        <x:v>Yes</x:v>
      </x:c>
      <x:c r="I69" s="130" t="str"/>
    </x:row>
    <x:row r="70">
      <x:c r="A70" s="130" t="str">
        <x:v>DRV-012</x:v>
      </x:c>
      <x:c r="B70" s="130" t="str">
        <x:v>Robert Johnson</x:v>
      </x:c>
      <x:c r="C70" s="130" t="str">
        <x:v>Medical Certification</x:v>
      </x:c>
      <x:c r="D70" s="130" t="str">
        <x:v>MEDICAL_CARD</x:v>
      </x:c>
      <x:c r="E70" s="130" t="str">
        <x:v>Status</x:v>
      </x:c>
      <x:c r="F70" s="180" t="str">
        <x:v>VALID</x:v>
      </x:c>
      <x:c r="G70" s="180" t="str">
        <x:v>VALID</x:v>
      </x:c>
      <x:c r="H70" s="130" t="str">
        <x:v>Yes</x:v>
      </x:c>
      <x:c r="I70" s="130" t="str"/>
    </x:row>
    <x:row r="71">
      <x:c r="A71" s="130" t="str">
        <x:v>DRV-012</x:v>
      </x:c>
      <x:c r="B71" s="130" t="str">
        <x:v>Robert Johnson</x:v>
      </x:c>
      <x:c r="C71" s="130" t="str">
        <x:v>MVR Background Report</x:v>
      </x:c>
      <x:c r="D71" s="130" t="str">
        <x:v>MVR</x:v>
      </x:c>
      <x:c r="E71" s="130" t="str">
        <x:v>Expiration Date</x:v>
      </x:c>
      <x:c r="F71" s="180" t="n">
        <x:v>46519</x:v>
      </x:c>
      <x:c r="G71" s="180" t="n">
        <x:v>46519</x:v>
      </x:c>
      <x:c r="H71" s="130" t="str">
        <x:v>Yes</x:v>
      </x:c>
      <x:c r="I71" s="130" t="str"/>
    </x:row>
    <x:row r="72">
      <x:c r="A72" s="130" t="str">
        <x:v>DRV-012</x:v>
      </x:c>
      <x:c r="B72" s="130" t="str">
        <x:v>Robert Johnson</x:v>
      </x:c>
      <x:c r="C72" s="130" t="str">
        <x:v>MVR Background Report</x:v>
      </x:c>
      <x:c r="D72" s="130" t="str">
        <x:v>MVR</x:v>
      </x:c>
      <x:c r="E72" s="130" t="str">
        <x:v>Status</x:v>
      </x:c>
      <x:c r="F72" s="180" t="str">
        <x:v>VALID</x:v>
      </x:c>
      <x:c r="G72" s="180" t="str">
        <x:v>VALID</x:v>
      </x:c>
      <x:c r="H72" s="130" t="str">
        <x:v>Yes</x:v>
      </x:c>
      <x:c r="I72" s="130" t="str"/>
    </x:row>
  </x:sheetData>
  <x:conditionalFormatting sqref="H2:H72">
    <x:cfRule type="cellIs" dxfId="23" priority="1">
      <x:formula>"No"</x:formula>
    </x:cfRule>
    <x:cfRule type="cellIs" dxfId="24" priority="2">
      <x:formula>"Yes"</x:formula>
    </x:cfRule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79" t="str">
        <x:v>Driver ID</x:v>
      </x:c>
      <x:c r="B1" s="179" t="str">
        <x:v>Driver Name</x:v>
      </x:c>
      <x:c r="C1" s="179" t="str">
        <x:v>Field</x:v>
      </x:c>
      <x:c r="D1" s="179" t="str">
        <x:v>Main Source Value</x:v>
      </x:c>
      <x:c r="E1" s="179" t="str">
        <x:v>Imported Settlement Value</x:v>
      </x:c>
      <x:c r="F1" s="179" t="str">
        <x:v>Difference</x:v>
      </x:c>
      <x:c r="G1" s="179" t="str">
        <x:v>Match?</x:v>
      </x:c>
      <x:c r="H1" s="179" t="str">
        <x:v>Notes</x:v>
      </x:c>
    </x:row>
    <x:row r="2">
      <x:c r="A2" s="130" t="str">
        <x:v>DRV-001</x:v>
      </x:c>
      <x:c r="B2" s="130" t="str">
        <x:v>John Carter</x:v>
      </x:c>
      <x:c r="C2" s="130" t="str">
        <x:v>Base Earnings</x:v>
      </x:c>
      <x:c r="D2" s="130" t="n">
        <x:v>2100</x:v>
      </x:c>
      <x:c r="E2" s="130" t="n">
        <x:v>2100</x:v>
      </x:c>
      <x:c r="F2" s="130" t="n">
        <x:v>0</x:v>
      </x:c>
      <x:c r="G2" s="130" t="str">
        <x:v>Yes</x:v>
      </x:c>
      <x:c r="H2" s="130" t="str"/>
    </x:row>
    <x:row r="3">
      <x:c r="A3" s="130" t="str">
        <x:v>DRV-001</x:v>
      </x:c>
      <x:c r="B3" s="130" t="str">
        <x:v>John Carter</x:v>
      </x:c>
      <x:c r="C3" s="130" t="str">
        <x:v>Backhaul Pay</x:v>
      </x:c>
      <x:c r="D3" s="130" t="n">
        <x:v>65</x:v>
      </x:c>
      <x:c r="E3" s="130" t="n">
        <x:v>65</x:v>
      </x:c>
      <x:c r="F3" s="130" t="n">
        <x:v>0</x:v>
      </x:c>
      <x:c r="G3" s="130" t="str">
        <x:v>Yes</x:v>
      </x:c>
      <x:c r="H3" s="130" t="str"/>
    </x:row>
    <x:row r="4">
      <x:c r="A4" s="130" t="str">
        <x:v>DRV-001</x:v>
      </x:c>
      <x:c r="B4" s="130" t="str">
        <x:v>John Carter</x:v>
      </x:c>
      <x:c r="C4" s="130" t="str">
        <x:v>Gross Pay</x:v>
      </x:c>
      <x:c r="D4" s="130" t="n">
        <x:v>2165</x:v>
      </x:c>
      <x:c r="E4" s="130" t="n">
        <x:v>2290</x:v>
      </x:c>
      <x:c r="F4" s="130" t="n">
        <x:v>125</x:v>
      </x:c>
      <x:c r="G4" s="130" t="str">
        <x:v>No</x:v>
      </x:c>
      <x:c r="H4" s="130" t="str"/>
    </x:row>
    <x:row r="5">
      <x:c r="A5" s="130" t="str">
        <x:v>DRV-001</x:v>
      </x:c>
      <x:c r="B5" s="130" t="str">
        <x:v>John Carter</x:v>
      </x:c>
      <x:c r="C5" s="130" t="str">
        <x:v>FICA</x:v>
      </x:c>
      <x:c r="D5" s="130" t="n">
        <x:v>130.2</x:v>
      </x:c>
      <x:c r="E5" s="130" t="n">
        <x:v>141.98</x:v>
      </x:c>
      <x:c r="F5" s="130" t="n">
        <x:v>11.780000000000001</x:v>
      </x:c>
      <x:c r="G5" s="130" t="str">
        <x:v>No</x:v>
      </x:c>
      <x:c r="H5" s="130" t="str"/>
    </x:row>
    <x:row r="6">
      <x:c r="A6" s="130" t="str">
        <x:v>DRV-001</x:v>
      </x:c>
      <x:c r="B6" s="130" t="str">
        <x:v>John Carter</x:v>
      </x:c>
      <x:c r="C6" s="130" t="str">
        <x:v>OASDI</x:v>
      </x:c>
      <x:c r="D6" s="130" t="n">
        <x:v>30.450000000000003</x:v>
      </x:c>
      <x:c r="E6" s="130" t="n">
        <x:v>33.205</x:v>
      </x:c>
      <x:c r="F6" s="130" t="n">
        <x:v>2.7549999999999955</x:v>
      </x:c>
      <x:c r="G6" s="130" t="str">
        <x:v>No</x:v>
      </x:c>
      <x:c r="H6" s="130" t="str"/>
    </x:row>
    <x:row r="7">
      <x:c r="A7" s="130" t="str">
        <x:v>DRV-001</x:v>
      </x:c>
      <x:c r="B7" s="130" t="str">
        <x:v>John Carter</x:v>
      </x:c>
      <x:c r="C7" s="130" t="str">
        <x:v>Federal Withholding</x:v>
      </x:c>
      <x:c r="D7" s="130" t="n">
        <x:v>378</x:v>
      </x:c>
      <x:c r="E7" s="130" t="n">
        <x:v>412.2</x:v>
      </x:c>
      <x:c r="F7" s="130" t="n">
        <x:v>34.19999999999999</x:v>
      </x:c>
      <x:c r="G7" s="130" t="str">
        <x:v>No</x:v>
      </x:c>
      <x:c r="H7" s="130" t="str"/>
    </x:row>
    <x:row r="8">
      <x:c r="A8" s="130" t="str">
        <x:v>DRV-001</x:v>
      </x:c>
      <x:c r="B8" s="130" t="str">
        <x:v>John Carter</x:v>
      </x:c>
      <x:c r="C8" s="130" t="str">
        <x:v>State Withholding</x:v>
      </x:c>
      <x:c r="D8" s="130" t="n">
        <x:v>73.5</x:v>
      </x:c>
      <x:c r="E8" s="130" t="n">
        <x:v>80.15</x:v>
      </x:c>
      <x:c r="F8" s="130" t="n">
        <x:v>6.650000000000006</x:v>
      </x:c>
      <x:c r="G8" s="130" t="str">
        <x:v>No</x:v>
      </x:c>
      <x:c r="H8" s="130" t="str"/>
    </x:row>
    <x:row r="9">
      <x:c r="A9" s="130" t="str">
        <x:v>DRV-001</x:v>
      </x:c>
      <x:c r="B9" s="130" t="str">
        <x:v>John Carter</x:v>
      </x:c>
      <x:c r="C9" s="130" t="str">
        <x:v>SDI</x:v>
      </x:c>
      <x:c r="D9" s="130" t="n">
        <x:v>9.45</x:v>
      </x:c>
      <x:c r="E9" s="130" t="n">
        <x:v>10.305</x:v>
      </x:c>
      <x:c r="F9" s="130" t="n">
        <x:v>0.8550000000000004</x:v>
      </x:c>
      <x:c r="G9" s="130" t="str">
        <x:v>No</x:v>
      </x:c>
      <x:c r="H9" s="130" t="str"/>
    </x:row>
    <x:row r="10">
      <x:c r="A10" s="130" t="str">
        <x:v>DRV-001</x:v>
      </x:c>
      <x:c r="B10" s="130" t="str">
        <x:v>John Carter</x:v>
      </x:c>
      <x:c r="C10" s="130" t="str">
        <x:v>FM Leave</x:v>
      </x:c>
      <x:c r="D10" s="130" t="n">
        <x:v>13.86</x:v>
      </x:c>
      <x:c r="E10" s="130" t="n">
        <x:v>15.114</x:v>
      </x:c>
      <x:c r="F10" s="130" t="n">
        <x:v>1.2540000000000013</x:v>
      </x:c>
      <x:c r="G10" s="130" t="str">
        <x:v>No</x:v>
      </x:c>
      <x:c r="H10" s="130" t="str"/>
    </x:row>
    <x:row r="11">
      <x:c r="A11" s="130" t="str">
        <x:v>DRV-001</x:v>
      </x:c>
      <x:c r="B11" s="130" t="str">
        <x:v>John Carter</x:v>
      </x:c>
      <x:c r="C11" s="130" t="str">
        <x:v>Family Support</x:v>
      </x:c>
      <x:c r="D11" s="130" t="n">
        <x:v>0</x:v>
      </x:c>
      <x:c r="E11" s="130" t="n">
        <x:v>0</x:v>
      </x:c>
      <x:c r="F11" s="130" t="n">
        <x:v>0</x:v>
      </x:c>
      <x:c r="G11" s="130" t="str">
        <x:v>Yes</x:v>
      </x:c>
      <x:c r="H11" s="130" t="str"/>
    </x:row>
    <x:row r="12">
      <x:c r="A12" s="130" t="str">
        <x:v>DRV-001</x:v>
      </x:c>
      <x:c r="B12" s="130" t="str">
        <x:v>John Carter</x:v>
      </x:c>
      <x:c r="C12" s="130" t="str">
        <x:v>Insurance Premiums</x:v>
      </x:c>
      <x:c r="D12" s="130" t="n">
        <x:v>214.92</x:v>
      </x:c>
      <x:c r="E12" s="130" t="n">
        <x:v>214.92</x:v>
      </x:c>
      <x:c r="F12" s="130" t="n">
        <x:v>0</x:v>
      </x:c>
      <x:c r="G12" s="130" t="str">
        <x:v>Yes</x:v>
      </x:c>
      <x:c r="H12" s="130" t="str"/>
    </x:row>
    <x:row r="13">
      <x:c r="A13" s="130" t="str">
        <x:v>DRV-001</x:v>
      </x:c>
      <x:c r="B13" s="130" t="str">
        <x:v>John Carter</x:v>
      </x:c>
      <x:c r="C13" s="130" t="str">
        <x:v>Credit Union Savings Club</x:v>
      </x:c>
      <x:c r="D13" s="130" t="n">
        <x:v>0</x:v>
      </x:c>
      <x:c r="E13" s="130" t="n">
        <x:v>0</x:v>
      </x:c>
      <x:c r="F13" s="130" t="n">
        <x:v>0</x:v>
      </x:c>
      <x:c r="G13" s="130" t="str">
        <x:v>Yes</x:v>
      </x:c>
      <x:c r="H13" s="130" t="str"/>
    </x:row>
    <x:row r="14">
      <x:c r="A14" s="130" t="str">
        <x:v>DRV-001</x:v>
      </x:c>
      <x:c r="B14" s="130" t="str">
        <x:v>John Carter</x:v>
      </x:c>
      <x:c r="C14" s="130" t="str">
        <x:v>401(k) Contribution</x:v>
      </x:c>
      <x:c r="D14" s="130" t="n">
        <x:v>63</x:v>
      </x:c>
      <x:c r="E14" s="130" t="n">
        <x:v>68.7</x:v>
      </x:c>
      <x:c r="F14" s="130" t="n">
        <x:v>5.700000000000003</x:v>
      </x:c>
      <x:c r="G14" s="130" t="str">
        <x:v>No</x:v>
      </x:c>
      <x:c r="H14" s="130" t="str"/>
    </x:row>
    <x:row r="15">
      <x:c r="A15" s="130" t="str">
        <x:v>DRV-001</x:v>
      </x:c>
      <x:c r="B15" s="130" t="str">
        <x:v>John Carter</x:v>
      </x:c>
      <x:c r="C15" s="130" t="str">
        <x:v>HSA/FSA Health Deduction</x:v>
      </x:c>
      <x:c r="D15" s="130" t="n">
        <x:v>114.79</x:v>
      </x:c>
      <x:c r="E15" s="130" t="n">
        <x:v>114.79</x:v>
      </x:c>
      <x:c r="F15" s="130" t="n">
        <x:v>0</x:v>
      </x:c>
      <x:c r="G15" s="130" t="str">
        <x:v>Yes</x:v>
      </x:c>
      <x:c r="H15" s="130" t="str"/>
    </x:row>
    <x:row r="16">
      <x:c r="A16" s="130" t="str">
        <x:v>DRV-001</x:v>
      </x:c>
      <x:c r="B16" s="130" t="str">
        <x:v>John Carter</x:v>
      </x:c>
      <x:c r="C16" s="130" t="str">
        <x:v>Health Insurance Premiums</x:v>
      </x:c>
      <x:c r="D16" s="130" t="n">
        <x:v>0</x:v>
      </x:c>
      <x:c r="E16" s="130" t="n">
        <x:v>0</x:v>
      </x:c>
      <x:c r="F16" s="130" t="n">
        <x:v>0</x:v>
      </x:c>
      <x:c r="G16" s="130" t="str">
        <x:v>Yes</x:v>
      </x:c>
      <x:c r="H16" s="130" t="str"/>
    </x:row>
    <x:row r="17">
      <x:c r="A17" s="130" t="str">
        <x:v>DRV-001</x:v>
      </x:c>
      <x:c r="B17" s="130" t="str">
        <x:v>John Carter</x:v>
      </x:c>
      <x:c r="C17" s="130" t="str">
        <x:v>Life Insurance Above 50k</x:v>
      </x:c>
      <x:c r="D17" s="130" t="n">
        <x:v>0</x:v>
      </x:c>
      <x:c r="E17" s="130" t="n">
        <x:v>0</x:v>
      </x:c>
      <x:c r="F17" s="130" t="n">
        <x:v>0</x:v>
      </x:c>
      <x:c r="G17" s="130" t="str">
        <x:v>Yes</x:v>
      </x:c>
      <x:c r="H17" s="130" t="str"/>
    </x:row>
    <x:row r="18">
      <x:c r="A18" s="130" t="str">
        <x:v>DRV-001</x:v>
      </x:c>
      <x:c r="B18" s="130" t="str">
        <x:v>John Carter</x:v>
      </x:c>
      <x:c r="C18" s="130" t="str">
        <x:v>Total Deductions</x:v>
      </x:c>
      <x:c r="D18" s="130" t="n">
        <x:v>1028.17</x:v>
      </x:c>
      <x:c r="E18" s="130" t="n">
        <x:v>1198.6359999999997</x:v>
      </x:c>
      <x:c r="F18" s="130" t="n">
        <x:v>170.46599999999967</x:v>
      </x:c>
      <x:c r="G18" s="130" t="str">
        <x:v>No</x:v>
      </x:c>
      <x:c r="H18" s="130" t="str"/>
    </x:row>
    <x:row r="19">
      <x:c r="A19" s="130" t="str">
        <x:v>DRV-001</x:v>
      </x:c>
      <x:c r="B19" s="130" t="str">
        <x:v>John Carter</x:v>
      </x:c>
      <x:c r="C19" s="130" t="str">
        <x:v>Fuel Reimb.</x:v>
      </x:c>
      <x:c r="D19" s="130" t="n">
        <x:v>0</x:v>
      </x:c>
      <x:c r="E19" s="130" t="n">
        <x:v>0</x:v>
      </x:c>
      <x:c r="F19" s="130" t="n">
        <x:v>0</x:v>
      </x:c>
      <x:c r="G19" s="130" t="str">
        <x:v>Yes</x:v>
      </x:c>
      <x:c r="H19" s="130" t="str"/>
    </x:row>
    <x:row r="20">
      <x:c r="A20" s="130" t="str">
        <x:v>DRV-001</x:v>
      </x:c>
      <x:c r="B20" s="130" t="str">
        <x:v>John Carter</x:v>
      </x:c>
      <x:c r="C20" s="130" t="str">
        <x:v>Net Pay</x:v>
      </x:c>
      <x:c r="D20" s="130" t="n">
        <x:v>1136.83</x:v>
      </x:c>
      <x:c r="E20" s="130" t="n">
        <x:v>1091.3640000000003</x:v>
      </x:c>
      <x:c r="F20" s="130" t="n">
        <x:v>-45.46599999999967</x:v>
      </x:c>
      <x:c r="G20" s="130" t="str">
        <x:v>No</x:v>
      </x:c>
      <x:c r="H20" s="130" t="str"/>
    </x:row>
    <x:row r="21">
      <x:c r="A21" s="130" t="str">
        <x:v>DRV-001</x:v>
      </x:c>
      <x:c r="B21" s="130" t="str">
        <x:v>John Carter</x:v>
      </x:c>
      <x:c r="C21" s="130" t="str">
        <x:v>Status</x:v>
      </x:c>
      <x:c r="D21" s="130" t="str">
        <x:v>PAID</x:v>
      </x:c>
      <x:c r="E21" s="130" t="str">
        <x:v>Paid</x:v>
      </x:c>
      <x:c r="F21" s="130"/>
      <x:c r="G21" s="130" t="str">
        <x:v>Yes</x:v>
      </x:c>
      <x:c r="H21" s="130" t="str"/>
    </x:row>
    <x:row r="22">
      <x:c r="A22" s="130" t="str">
        <x:v>DRV-001</x:v>
      </x:c>
      <x:c r="B22" s="130" t="str">
        <x:v>John Carter</x:v>
      </x:c>
      <x:c r="C22" s="130" t="str">
        <x:v>Pending Reason</x:v>
      </x:c>
      <x:c r="D22" s="130"/>
      <x:c r="E22" s="130" t="str">
        <x:v>N/A</x:v>
      </x:c>
      <x:c r="F22" s="130"/>
      <x:c r="G22" s="130" t="str">
        <x:v>No</x:v>
      </x:c>
      <x:c r="H22" s="130" t="str"/>
    </x:row>
    <x:row r="23">
      <x:c r="A23" s="130" t="str">
        <x:v>DRV-001</x:v>
      </x:c>
      <x:c r="B23" s="130" t="str">
        <x:v>John Carter</x:v>
      </x:c>
      <x:c r="C23" s="130" t="str">
        <x:v>401(k) Rate</x:v>
      </x:c>
      <x:c r="D23" s="130" t="n">
        <x:v>0.03</x:v>
      </x:c>
      <x:c r="E23" s="130" t="n">
        <x:v>0.03</x:v>
      </x:c>
      <x:c r="F23" s="130" t="n">
        <x:v>0</x:v>
      </x:c>
      <x:c r="G23" s="130" t="str">
        <x:v>Yes</x:v>
      </x:c>
      <x:c r="H23" s="130" t="str"/>
    </x:row>
    <x:row r="24">
      <x:c r="A24" s="130" t="str">
        <x:v>DRV-002</x:v>
      </x:c>
      <x:c r="B24" s="130" t="str">
        <x:v>Maria Lopez</x:v>
      </x:c>
      <x:c r="C24" s="130" t="str">
        <x:v>Base Earnings</x:v>
      </x:c>
      <x:c r="D24" s="130" t="n">
        <x:v>1910</x:v>
      </x:c>
      <x:c r="E24" s="130" t="n">
        <x:v>1910</x:v>
      </x:c>
      <x:c r="F24" s="130" t="n">
        <x:v>0</x:v>
      </x:c>
      <x:c r="G24" s="130" t="str">
        <x:v>Yes</x:v>
      </x:c>
      <x:c r="H24" s="130" t="str"/>
    </x:row>
    <x:row r="25">
      <x:c r="A25" s="130" t="str">
        <x:v>DRV-002</x:v>
      </x:c>
      <x:c r="B25" s="130" t="str">
        <x:v>Maria Lopez</x:v>
      </x:c>
      <x:c r="C25" s="130" t="str">
        <x:v>Backhaul Pay</x:v>
      </x:c>
      <x:c r="D25" s="130" t="n">
        <x:v>95</x:v>
      </x:c>
      <x:c r="E25" s="130" t="n">
        <x:v>95</x:v>
      </x:c>
      <x:c r="F25" s="130" t="n">
        <x:v>0</x:v>
      </x:c>
      <x:c r="G25" s="130" t="str">
        <x:v>Yes</x:v>
      </x:c>
      <x:c r="H25" s="130" t="str"/>
    </x:row>
    <x:row r="26">
      <x:c r="A26" s="130" t="str">
        <x:v>DRV-002</x:v>
      </x:c>
      <x:c r="B26" s="130" t="str">
        <x:v>Maria Lopez</x:v>
      </x:c>
      <x:c r="C26" s="130" t="str">
        <x:v>Gross Pay</x:v>
      </x:c>
      <x:c r="D26" s="130" t="n">
        <x:v>2005</x:v>
      </x:c>
      <x:c r="E26" s="130" t="n">
        <x:v>2130</x:v>
      </x:c>
      <x:c r="F26" s="130" t="n">
        <x:v>125</x:v>
      </x:c>
      <x:c r="G26" s="130" t="str">
        <x:v>No</x:v>
      </x:c>
      <x:c r="H26" s="130" t="str"/>
    </x:row>
    <x:row r="27">
      <x:c r="A27" s="130" t="str">
        <x:v>DRV-002</x:v>
      </x:c>
      <x:c r="B27" s="130" t="str">
        <x:v>Maria Lopez</x:v>
      </x:c>
      <x:c r="C27" s="130" t="str">
        <x:v>FICA</x:v>
      </x:c>
      <x:c r="D27" s="130" t="n">
        <x:v>118.42</x:v>
      </x:c>
      <x:c r="E27" s="130" t="n">
        <x:v>132.06</x:v>
      </x:c>
      <x:c r="F27" s="130" t="n">
        <x:v>13.64</x:v>
      </x:c>
      <x:c r="G27" s="130" t="str">
        <x:v>No</x:v>
      </x:c>
      <x:c r="H27" s="130" t="str"/>
    </x:row>
    <x:row r="28">
      <x:c r="A28" s="130" t="str">
        <x:v>DRV-002</x:v>
      </x:c>
      <x:c r="B28" s="130" t="str">
        <x:v>Maria Lopez</x:v>
      </x:c>
      <x:c r="C28" s="130" t="str">
        <x:v>OASDI</x:v>
      </x:c>
      <x:c r="D28" s="130" t="n">
        <x:v>27.695</x:v>
      </x:c>
      <x:c r="E28" s="130" t="n">
        <x:v>30.885</x:v>
      </x:c>
      <x:c r="F28" s="130" t="n">
        <x:v>3.1900000000000013</x:v>
      </x:c>
      <x:c r="G28" s="130" t="str">
        <x:v>No</x:v>
      </x:c>
      <x:c r="H28" s="130" t="str"/>
    </x:row>
    <x:row r="29">
      <x:c r="A29" s="130" t="str">
        <x:v>DRV-002</x:v>
      </x:c>
      <x:c r="B29" s="130" t="str">
        <x:v>Maria Lopez</x:v>
      </x:c>
      <x:c r="C29" s="130" t="str">
        <x:v>Federal Withholding</x:v>
      </x:c>
      <x:c r="D29" s="130" t="n">
        <x:v>343.8</x:v>
      </x:c>
      <x:c r="E29" s="130" t="n">
        <x:v>383.4</x:v>
      </x:c>
      <x:c r="F29" s="130" t="n">
        <x:v>39.599999999999966</x:v>
      </x:c>
      <x:c r="G29" s="130" t="str">
        <x:v>No</x:v>
      </x:c>
      <x:c r="H29" s="130" t="str"/>
    </x:row>
    <x:row r="30">
      <x:c r="A30" s="130" t="str">
        <x:v>DRV-002</x:v>
      </x:c>
      <x:c r="B30" s="130" t="str">
        <x:v>Maria Lopez</x:v>
      </x:c>
      <x:c r="C30" s="130" t="str">
        <x:v>State Withholding</x:v>
      </x:c>
      <x:c r="D30" s="130" t="n">
        <x:v>66.85000000000001</x:v>
      </x:c>
      <x:c r="E30" s="130" t="n">
        <x:v>74.55000000000001</x:v>
      </x:c>
      <x:c r="F30" s="130" t="n">
        <x:v>7.700000000000003</x:v>
      </x:c>
      <x:c r="G30" s="130" t="str">
        <x:v>No</x:v>
      </x:c>
      <x:c r="H30" s="130" t="str"/>
    </x:row>
    <x:row r="31">
      <x:c r="A31" s="130" t="str">
        <x:v>DRV-002</x:v>
      </x:c>
      <x:c r="B31" s="130" t="str">
        <x:v>Maria Lopez</x:v>
      </x:c>
      <x:c r="C31" s="130" t="str">
        <x:v>SDI</x:v>
      </x:c>
      <x:c r="D31" s="130" t="n">
        <x:v>8.594999999999999</x:v>
      </x:c>
      <x:c r="E31" s="130" t="n">
        <x:v>9.584999999999999</x:v>
      </x:c>
      <x:c r="F31" s="130" t="n">
        <x:v>0.9900000000000002</x:v>
      </x:c>
      <x:c r="G31" s="130" t="str">
        <x:v>No</x:v>
      </x:c>
      <x:c r="H31" s="130" t="str"/>
    </x:row>
    <x:row r="32">
      <x:c r="A32" s="130" t="str">
        <x:v>DRV-002</x:v>
      </x:c>
      <x:c r="B32" s="130" t="str">
        <x:v>Maria Lopez</x:v>
      </x:c>
      <x:c r="C32" s="130" t="str">
        <x:v>FM Leave</x:v>
      </x:c>
      <x:c r="D32" s="130" t="n">
        <x:v>12.606</x:v>
      </x:c>
      <x:c r="E32" s="130" t="n">
        <x:v>14.058</x:v>
      </x:c>
      <x:c r="F32" s="130" t="n">
        <x:v>1.452</x:v>
      </x:c>
      <x:c r="G32" s="130" t="str">
        <x:v>No</x:v>
      </x:c>
      <x:c r="H32" s="130" t="str"/>
    </x:row>
    <x:row r="33">
      <x:c r="A33" s="130" t="str">
        <x:v>DRV-002</x:v>
      </x:c>
      <x:c r="B33" s="130" t="str">
        <x:v>Maria Lopez</x:v>
      </x:c>
      <x:c r="C33" s="130" t="str">
        <x:v>Family Support</x:v>
      </x:c>
      <x:c r="D33" s="130" t="n">
        <x:v>79.68</x:v>
      </x:c>
      <x:c r="E33" s="130" t="n">
        <x:v>79.68</x:v>
      </x:c>
      <x:c r="F33" s="130" t="n">
        <x:v>0</x:v>
      </x:c>
      <x:c r="G33" s="130" t="str">
        <x:v>Yes</x:v>
      </x:c>
      <x:c r="H33" s="130" t="str"/>
    </x:row>
    <x:row r="34">
      <x:c r="A34" s="130" t="str">
        <x:v>DRV-002</x:v>
      </x:c>
      <x:c r="B34" s="130" t="str">
        <x:v>Maria Lopez</x:v>
      </x:c>
      <x:c r="C34" s="130" t="str">
        <x:v>Insurance Premiums</x:v>
      </x:c>
      <x:c r="D34" s="130" t="n">
        <x:v>0</x:v>
      </x:c>
      <x:c r="E34" s="130" t="n">
        <x:v>0</x:v>
      </x:c>
      <x:c r="F34" s="130" t="n">
        <x:v>0</x:v>
      </x:c>
      <x:c r="G34" s="130" t="str">
        <x:v>Yes</x:v>
      </x:c>
      <x:c r="H34" s="130" t="str"/>
    </x:row>
    <x:row r="35">
      <x:c r="A35" s="130" t="str">
        <x:v>DRV-002</x:v>
      </x:c>
      <x:c r="B35" s="130" t="str">
        <x:v>Maria Lopez</x:v>
      </x:c>
      <x:c r="C35" s="130" t="str">
        <x:v>Credit Union Savings Club</x:v>
      </x:c>
      <x:c r="D35" s="130" t="n">
        <x:v>42.09</x:v>
      </x:c>
      <x:c r="E35" s="130" t="n">
        <x:v>42.09</x:v>
      </x:c>
      <x:c r="F35" s="130" t="n">
        <x:v>0</x:v>
      </x:c>
      <x:c r="G35" s="130" t="str">
        <x:v>Yes</x:v>
      </x:c>
      <x:c r="H35" s="130" t="str"/>
    </x:row>
    <x:row r="36">
      <x:c r="A36" s="130" t="str">
        <x:v>DRV-002</x:v>
      </x:c>
      <x:c r="B36" s="130" t="str">
        <x:v>Maria Lopez</x:v>
      </x:c>
      <x:c r="C36" s="130" t="str">
        <x:v>401(k) Contribution</x:v>
      </x:c>
      <x:c r="D36" s="130" t="n">
        <x:v>0</x:v>
      </x:c>
      <x:c r="E36" s="130" t="n">
        <x:v>0</x:v>
      </x:c>
      <x:c r="F36" s="130" t="n">
        <x:v>0</x:v>
      </x:c>
      <x:c r="G36" s="130" t="str">
        <x:v>Yes</x:v>
      </x:c>
      <x:c r="H36" s="130" t="str"/>
    </x:row>
    <x:row r="37">
      <x:c r="A37" s="130" t="str">
        <x:v>DRV-002</x:v>
      </x:c>
      <x:c r="B37" s="130" t="str">
        <x:v>Maria Lopez</x:v>
      </x:c>
      <x:c r="C37" s="130" t="str">
        <x:v>HSA/FSA Health Deduction</x:v>
      </x:c>
      <x:c r="D37" s="130" t="n">
        <x:v>69.33</x:v>
      </x:c>
      <x:c r="E37" s="130" t="n">
        <x:v>69.33</x:v>
      </x:c>
      <x:c r="F37" s="130" t="n">
        <x:v>0</x:v>
      </x:c>
      <x:c r="G37" s="130" t="str">
        <x:v>Yes</x:v>
      </x:c>
      <x:c r="H37" s="130" t="str"/>
    </x:row>
    <x:row r="38">
      <x:c r="A38" s="130" t="str">
        <x:v>DRV-002</x:v>
      </x:c>
      <x:c r="B38" s="130" t="str">
        <x:v>Maria Lopez</x:v>
      </x:c>
      <x:c r="C38" s="130" t="str">
        <x:v>Health Insurance Premiums</x:v>
      </x:c>
      <x:c r="D38" s="130" t="n">
        <x:v>0</x:v>
      </x:c>
      <x:c r="E38" s="130" t="n">
        <x:v>0</x:v>
      </x:c>
      <x:c r="F38" s="130" t="n">
        <x:v>0</x:v>
      </x:c>
      <x:c r="G38" s="130" t="str">
        <x:v>Yes</x:v>
      </x:c>
      <x:c r="H38" s="130" t="str"/>
    </x:row>
    <x:row r="39">
      <x:c r="A39" s="130" t="str">
        <x:v>DRV-002</x:v>
      </x:c>
      <x:c r="B39" s="130" t="str">
        <x:v>Maria Lopez</x:v>
      </x:c>
      <x:c r="C39" s="130" t="str">
        <x:v>Life Insurance Above 50k</x:v>
      </x:c>
      <x:c r="D39" s="130" t="n">
        <x:v>0</x:v>
      </x:c>
      <x:c r="E39" s="130" t="n">
        <x:v>0</x:v>
      </x:c>
      <x:c r="F39" s="130" t="n">
        <x:v>0</x:v>
      </x:c>
      <x:c r="G39" s="130" t="str">
        <x:v>Yes</x:v>
      </x:c>
      <x:c r="H39" s="130" t="str"/>
    </x:row>
    <x:row r="40">
      <x:c r="A40" s="130" t="str">
        <x:v>DRV-002</x:v>
      </x:c>
      <x:c r="B40" s="130" t="str">
        <x:v>Maria Lopez</x:v>
      </x:c>
      <x:c r="C40" s="130" t="str">
        <x:v>Total Deductions</x:v>
      </x:c>
      <x:c r="D40" s="130" t="n">
        <x:v>769.066</x:v>
      </x:c>
      <x:c r="E40" s="130" t="n">
        <x:v>1294.3620000000003</x:v>
      </x:c>
      <x:c r="F40" s="130" t="n">
        <x:v>525.2960000000003</x:v>
      </x:c>
      <x:c r="G40" s="130" t="str">
        <x:v>No</x:v>
      </x:c>
      <x:c r="H40" s="130" t="str"/>
    </x:row>
    <x:row r="41">
      <x:c r="A41" s="130" t="str">
        <x:v>DRV-002</x:v>
      </x:c>
      <x:c r="B41" s="130" t="str">
        <x:v>Maria Lopez</x:v>
      </x:c>
      <x:c r="C41" s="130" t="str">
        <x:v>Fuel Reimb.</x:v>
      </x:c>
      <x:c r="D41" s="130" t="n">
        <x:v>120</x:v>
      </x:c>
      <x:c r="E41" s="130" t="n">
        <x:v>120</x:v>
      </x:c>
      <x:c r="F41" s="130" t="n">
        <x:v>0</x:v>
      </x:c>
      <x:c r="G41" s="130" t="str">
        <x:v>Yes</x:v>
      </x:c>
      <x:c r="H41" s="130" t="str"/>
    </x:row>
    <x:row r="42">
      <x:c r="A42" s="130" t="str">
        <x:v>DRV-002</x:v>
      </x:c>
      <x:c r="B42" s="130" t="str">
        <x:v>Maria Lopez</x:v>
      </x:c>
      <x:c r="C42" s="130" t="str">
        <x:v>Net Pay</x:v>
      </x:c>
      <x:c r="D42" s="130" t="n">
        <x:v>1355.934</x:v>
      </x:c>
      <x:c r="E42" s="130" t="n">
        <x:v>835.6379999999997</x:v>
      </x:c>
      <x:c r="F42" s="130" t="n">
        <x:v>-520.2960000000003</x:v>
      </x:c>
      <x:c r="G42" s="130" t="str">
        <x:v>No</x:v>
      </x:c>
      <x:c r="H42" s="130" t="str"/>
    </x:row>
    <x:row r="43">
      <x:c r="A43" s="130" t="str">
        <x:v>DRV-002</x:v>
      </x:c>
      <x:c r="B43" s="130" t="str">
        <x:v>Maria Lopez</x:v>
      </x:c>
      <x:c r="C43" s="130" t="str">
        <x:v>Status</x:v>
      </x:c>
      <x:c r="D43" s="130" t="str">
        <x:v>PENDING</x:v>
      </x:c>
      <x:c r="E43" s="130" t="str">
        <x:v>Pending</x:v>
      </x:c>
      <x:c r="F43" s="130"/>
      <x:c r="G43" s="130" t="str">
        <x:v>Yes</x:v>
      </x:c>
      <x:c r="H43" s="130" t="str"/>
    </x:row>
    <x:row r="44">
      <x:c r="A44" s="130" t="str">
        <x:v>DRV-002</x:v>
      </x:c>
      <x:c r="B44" s="130" t="str">
        <x:v>Maria Lopez</x:v>
      </x:c>
      <x:c r="C44" s="130" t="str">
        <x:v>Pending Reason</x:v>
      </x:c>
      <x:c r="D44" s="130" t="str">
        <x:v>Awaiting Receipts</x:v>
      </x:c>
      <x:c r="E44" s="130" t="str">
        <x:v>Awaiting Receipts</x:v>
      </x:c>
      <x:c r="F44" s="130"/>
      <x:c r="G44" s="130" t="str">
        <x:v>Yes</x:v>
      </x:c>
      <x:c r="H44" s="130" t="str"/>
    </x:row>
    <x:row r="45">
      <x:c r="A45" s="130" t="str">
        <x:v>DRV-002</x:v>
      </x:c>
      <x:c r="B45" s="130" t="str">
        <x:v>Maria Lopez</x:v>
      </x:c>
      <x:c r="C45" s="130" t="str">
        <x:v>401(k) Rate</x:v>
      </x:c>
      <x:c r="D45" s="130" t="n">
        <x:v>0</x:v>
      </x:c>
      <x:c r="E45" s="130" t="n">
        <x:v>0</x:v>
      </x:c>
      <x:c r="F45" s="130" t="n">
        <x:v>0</x:v>
      </x:c>
      <x:c r="G45" s="130" t="str">
        <x:v>Yes</x:v>
      </x:c>
      <x:c r="H45" s="130" t="str"/>
    </x:row>
    <x:row r="46">
      <x:c r="A46" s="130" t="str">
        <x:v>DRV-003</x:v>
      </x:c>
      <x:c r="B46" s="130" t="str">
        <x:v>Alex Kim</x:v>
      </x:c>
      <x:c r="C46" s="130" t="str">
        <x:v>Base Earnings</x:v>
      </x:c>
      <x:c r="D46" s="130" t="n">
        <x:v>2155</x:v>
      </x:c>
      <x:c r="E46" s="130" t="n">
        <x:v>2155</x:v>
      </x:c>
      <x:c r="F46" s="130" t="n">
        <x:v>0</x:v>
      </x:c>
      <x:c r="G46" s="130" t="str">
        <x:v>Yes</x:v>
      </x:c>
      <x:c r="H46" s="130" t="str"/>
    </x:row>
    <x:row r="47">
      <x:c r="A47" s="130" t="str">
        <x:v>DRV-003</x:v>
      </x:c>
      <x:c r="B47" s="130" t="str">
        <x:v>Alex Kim</x:v>
      </x:c>
      <x:c r="C47" s="130" t="str">
        <x:v>Backhaul Pay</x:v>
      </x:c>
      <x:c r="D47" s="130" t="n">
        <x:v>45</x:v>
      </x:c>
      <x:c r="E47" s="130" t="n">
        <x:v>45</x:v>
      </x:c>
      <x:c r="F47" s="130" t="n">
        <x:v>0</x:v>
      </x:c>
      <x:c r="G47" s="130" t="str">
        <x:v>Yes</x:v>
      </x:c>
      <x:c r="H47" s="130" t="str"/>
    </x:row>
    <x:row r="48">
      <x:c r="A48" s="130" t="str">
        <x:v>DRV-003</x:v>
      </x:c>
      <x:c r="B48" s="130" t="str">
        <x:v>Alex Kim</x:v>
      </x:c>
      <x:c r="C48" s="130" t="str">
        <x:v>Gross Pay</x:v>
      </x:c>
      <x:c r="D48" s="130" t="n">
        <x:v>2200</x:v>
      </x:c>
      <x:c r="E48" s="130" t="n">
        <x:v>2275</x:v>
      </x:c>
      <x:c r="F48" s="130" t="n">
        <x:v>75</x:v>
      </x:c>
      <x:c r="G48" s="130" t="str">
        <x:v>No</x:v>
      </x:c>
      <x:c r="H48" s="130" t="str"/>
    </x:row>
    <x:row r="49">
      <x:c r="A49" s="130" t="str">
        <x:v>DRV-003</x:v>
      </x:c>
      <x:c r="B49" s="130" t="str">
        <x:v>Alex Kim</x:v>
      </x:c>
      <x:c r="C49" s="130" t="str">
        <x:v>FICA</x:v>
      </x:c>
      <x:c r="D49" s="130" t="n">
        <x:v>133.60999999999999</x:v>
      </x:c>
      <x:c r="E49" s="130" t="n">
        <x:v>141.05</x:v>
      </x:c>
      <x:c r="F49" s="130" t="n">
        <x:v>7.440000000000026</x:v>
      </x:c>
      <x:c r="G49" s="130" t="str">
        <x:v>No</x:v>
      </x:c>
      <x:c r="H49" s="130" t="str"/>
    </x:row>
    <x:row r="50">
      <x:c r="A50" s="130" t="str">
        <x:v>DRV-003</x:v>
      </x:c>
      <x:c r="B50" s="130" t="str">
        <x:v>Alex Kim</x:v>
      </x:c>
      <x:c r="C50" s="130" t="str">
        <x:v>OASDI</x:v>
      </x:c>
      <x:c r="D50" s="130" t="n">
        <x:v>31.247500000000002</x:v>
      </x:c>
      <x:c r="E50" s="130" t="n">
        <x:v>32.987500000000004</x:v>
      </x:c>
      <x:c r="F50" s="130" t="n">
        <x:v>1.740000000000002</x:v>
      </x:c>
      <x:c r="G50" s="130" t="str">
        <x:v>No</x:v>
      </x:c>
      <x:c r="H50" s="130" t="str"/>
    </x:row>
    <x:row r="51">
      <x:c r="A51" s="130" t="str">
        <x:v>DRV-003</x:v>
      </x:c>
      <x:c r="B51" s="130" t="str">
        <x:v>Alex Kim</x:v>
      </x:c>
      <x:c r="C51" s="130" t="str">
        <x:v>Federal Withholding</x:v>
      </x:c>
      <x:c r="D51" s="130" t="n">
        <x:v>387.9</x:v>
      </x:c>
      <x:c r="E51" s="130" t="n">
        <x:v>409.5</x:v>
      </x:c>
      <x:c r="F51" s="130" t="n">
        <x:v>21.600000000000023</x:v>
      </x:c>
      <x:c r="G51" s="130" t="str">
        <x:v>No</x:v>
      </x:c>
      <x:c r="H51" s="130" t="str"/>
    </x:row>
    <x:row r="52">
      <x:c r="A52" s="130" t="str">
        <x:v>DRV-003</x:v>
      </x:c>
      <x:c r="B52" s="130" t="str">
        <x:v>Alex Kim</x:v>
      </x:c>
      <x:c r="C52" s="130" t="str">
        <x:v>State Withholding</x:v>
      </x:c>
      <x:c r="D52" s="130" t="n">
        <x:v>75.42500000000001</x:v>
      </x:c>
      <x:c r="E52" s="130" t="n">
        <x:v>79.62500000000001</x:v>
      </x:c>
      <x:c r="F52" s="130" t="n">
        <x:v>4.200000000000003</x:v>
      </x:c>
      <x:c r="G52" s="130" t="str">
        <x:v>No</x:v>
      </x:c>
      <x:c r="H52" s="130" t="str"/>
    </x:row>
    <x:row r="53">
      <x:c r="A53" s="130" t="str">
        <x:v>DRV-003</x:v>
      </x:c>
      <x:c r="B53" s="130" t="str">
        <x:v>Alex Kim</x:v>
      </x:c>
      <x:c r="C53" s="130" t="str">
        <x:v>SDI</x:v>
      </x:c>
      <x:c r="D53" s="130" t="n">
        <x:v>9.6975</x:v>
      </x:c>
      <x:c r="E53" s="130" t="n">
        <x:v>10.237499999999999</x:v>
      </x:c>
      <x:c r="F53" s="130" t="n">
        <x:v>0.5399999999999991</x:v>
      </x:c>
      <x:c r="G53" s="130" t="str">
        <x:v>No</x:v>
      </x:c>
      <x:c r="H53" s="130" t="str"/>
    </x:row>
    <x:row r="54">
      <x:c r="A54" s="130" t="str">
        <x:v>DRV-003</x:v>
      </x:c>
      <x:c r="B54" s="130" t="str">
        <x:v>Alex Kim</x:v>
      </x:c>
      <x:c r="C54" s="130" t="str">
        <x:v>FM Leave</x:v>
      </x:c>
      <x:c r="D54" s="130" t="n">
        <x:v>14.223</x:v>
      </x:c>
      <x:c r="E54" s="130" t="n">
        <x:v>15.015</x:v>
      </x:c>
      <x:c r="F54" s="130" t="n">
        <x:v>0.7919999999999998</x:v>
      </x:c>
      <x:c r="G54" s="130" t="str">
        <x:v>No</x:v>
      </x:c>
      <x:c r="H54" s="130" t="str"/>
    </x:row>
    <x:row r="55">
      <x:c r="A55" s="130" t="str">
        <x:v>DRV-003</x:v>
      </x:c>
      <x:c r="B55" s="130" t="str">
        <x:v>Alex Kim</x:v>
      </x:c>
      <x:c r="C55" s="130" t="str">
        <x:v>Family Support</x:v>
      </x:c>
      <x:c r="D55" s="130" t="n">
        <x:v>0</x:v>
      </x:c>
      <x:c r="E55" s="130" t="n">
        <x:v>0</x:v>
      </x:c>
      <x:c r="F55" s="130" t="n">
        <x:v>0</x:v>
      </x:c>
      <x:c r="G55" s="130" t="str">
        <x:v>Yes</x:v>
      </x:c>
      <x:c r="H55" s="130" t="str"/>
    </x:row>
    <x:row r="56">
      <x:c r="A56" s="130" t="str">
        <x:v>DRV-003</x:v>
      </x:c>
      <x:c r="B56" s="130" t="str">
        <x:v>Alex Kim</x:v>
      </x:c>
      <x:c r="C56" s="130" t="str">
        <x:v>Insurance Premiums</x:v>
      </x:c>
      <x:c r="D56" s="130" t="n">
        <x:v>0</x:v>
      </x:c>
      <x:c r="E56" s="130" t="n">
        <x:v>0</x:v>
      </x:c>
      <x:c r="F56" s="130" t="n">
        <x:v>0</x:v>
      </x:c>
      <x:c r="G56" s="130" t="str">
        <x:v>Yes</x:v>
      </x:c>
      <x:c r="H56" s="130" t="str"/>
    </x:row>
    <x:row r="57">
      <x:c r="A57" s="130" t="str">
        <x:v>DRV-003</x:v>
      </x:c>
      <x:c r="B57" s="130" t="str">
        <x:v>Alex Kim</x:v>
      </x:c>
      <x:c r="C57" s="130" t="str">
        <x:v>Credit Union Savings Club</x:v>
      </x:c>
      <x:c r="D57" s="130" t="n">
        <x:v>30.98</x:v>
      </x:c>
      <x:c r="E57" s="130" t="n">
        <x:v>30.98</x:v>
      </x:c>
      <x:c r="F57" s="130" t="n">
        <x:v>0</x:v>
      </x:c>
      <x:c r="G57" s="130" t="str">
        <x:v>Yes</x:v>
      </x:c>
      <x:c r="H57" s="130" t="str"/>
    </x:row>
    <x:row r="58">
      <x:c r="A58" s="130" t="str">
        <x:v>DRV-003</x:v>
      </x:c>
      <x:c r="B58" s="130" t="str">
        <x:v>Alex Kim</x:v>
      </x:c>
      <x:c r="C58" s="130" t="str">
        <x:v>401(k) Contribution</x:v>
      </x:c>
      <x:c r="D58" s="130" t="n">
        <x:v>129.29999999999998</x:v>
      </x:c>
      <x:c r="E58" s="130" t="n">
        <x:v>136.5</x:v>
      </x:c>
      <x:c r="F58" s="130" t="n">
        <x:v>7.200000000000017</x:v>
      </x:c>
      <x:c r="G58" s="130" t="str">
        <x:v>No</x:v>
      </x:c>
      <x:c r="H58" s="130" t="str"/>
    </x:row>
    <x:row r="59">
      <x:c r="A59" s="130" t="str">
        <x:v>DRV-003</x:v>
      </x:c>
      <x:c r="B59" s="130" t="str">
        <x:v>Alex Kim</x:v>
      </x:c>
      <x:c r="C59" s="130" t="str">
        <x:v>HSA/FSA Health Deduction</x:v>
      </x:c>
      <x:c r="D59" s="130" t="n">
        <x:v>0</x:v>
      </x:c>
      <x:c r="E59" s="130" t="n">
        <x:v>0</x:v>
      </x:c>
      <x:c r="F59" s="130" t="n">
        <x:v>0</x:v>
      </x:c>
      <x:c r="G59" s="130" t="str">
        <x:v>Yes</x:v>
      </x:c>
      <x:c r="H59" s="130" t="str"/>
    </x:row>
    <x:row r="60">
      <x:c r="A60" s="130" t="str">
        <x:v>DRV-003</x:v>
      </x:c>
      <x:c r="B60" s="130" t="str">
        <x:v>Alex Kim</x:v>
      </x:c>
      <x:c r="C60" s="130" t="str">
        <x:v>Health Insurance Premiums</x:v>
      </x:c>
      <x:c r="D60" s="130" t="n">
        <x:v>0</x:v>
      </x:c>
      <x:c r="E60" s="130" t="n">
        <x:v>0</x:v>
      </x:c>
      <x:c r="F60" s="130" t="n">
        <x:v>0</x:v>
      </x:c>
      <x:c r="G60" s="130" t="str">
        <x:v>Yes</x:v>
      </x:c>
      <x:c r="H60" s="130" t="str"/>
    </x:row>
    <x:row r="61">
      <x:c r="A61" s="130" t="str">
        <x:v>DRV-003</x:v>
      </x:c>
      <x:c r="B61" s="130" t="str">
        <x:v>Alex Kim</x:v>
      </x:c>
      <x:c r="C61" s="130" t="str">
        <x:v>Life Insurance Above 50k</x:v>
      </x:c>
      <x:c r="D61" s="130" t="n">
        <x:v>0</x:v>
      </x:c>
      <x:c r="E61" s="130" t="n">
        <x:v>0</x:v>
      </x:c>
      <x:c r="F61" s="130" t="n">
        <x:v>0</x:v>
      </x:c>
      <x:c r="G61" s="130" t="str">
        <x:v>Yes</x:v>
      </x:c>
      <x:c r="H61" s="130" t="str"/>
    </x:row>
    <x:row r="62">
      <x:c r="A62" s="130" t="str">
        <x:v>DRV-003</x:v>
      </x:c>
      <x:c r="B62" s="130" t="str">
        <x:v>Alex Kim</x:v>
      </x:c>
      <x:c r="C62" s="130" t="str">
        <x:v>Total Deductions</x:v>
      </x:c>
      <x:c r="D62" s="130" t="n">
        <x:v>812.3829999999998</x:v>
      </x:c>
      <x:c r="E62" s="130" t="n">
        <x:v>1419.1049999999996</x:v>
      </x:c>
      <x:c r="F62" s="130" t="n">
        <x:v>606.7219999999998</x:v>
      </x:c>
      <x:c r="G62" s="130" t="str">
        <x:v>No</x:v>
      </x:c>
      <x:c r="H62" s="130" t="str"/>
    </x:row>
    <x:row r="63">
      <x:c r="A63" s="130" t="str">
        <x:v>DRV-003</x:v>
      </x:c>
      <x:c r="B63" s="130" t="str">
        <x:v>Alex Kim</x:v>
      </x:c>
      <x:c r="C63" s="130" t="str">
        <x:v>Fuel Reimb.</x:v>
      </x:c>
      <x:c r="D63" s="130" t="n">
        <x:v>0</x:v>
      </x:c>
      <x:c r="E63" s="130" t="n">
        <x:v>0</x:v>
      </x:c>
      <x:c r="F63" s="130" t="n">
        <x:v>0</x:v>
      </x:c>
      <x:c r="G63" s="130" t="str">
        <x:v>Yes</x:v>
      </x:c>
      <x:c r="H63" s="130" t="str"/>
    </x:row>
    <x:row r="64">
      <x:c r="A64" s="130" t="str">
        <x:v>DRV-003</x:v>
      </x:c>
      <x:c r="B64" s="130" t="str">
        <x:v>Alex Kim</x:v>
      </x:c>
      <x:c r="C64" s="130" t="str">
        <x:v>Net Pay</x:v>
      </x:c>
      <x:c r="D64" s="130" t="n">
        <x:v>1387.6170000000002</x:v>
      </x:c>
      <x:c r="E64" s="130" t="n">
        <x:v>855.8950000000004</x:v>
      </x:c>
      <x:c r="F64" s="130" t="n">
        <x:v>-531.7219999999998</x:v>
      </x:c>
      <x:c r="G64" s="130" t="str">
        <x:v>No</x:v>
      </x:c>
      <x:c r="H64" s="130" t="str"/>
    </x:row>
    <x:row r="65">
      <x:c r="A65" s="130" t="str">
        <x:v>DRV-003</x:v>
      </x:c>
      <x:c r="B65" s="130" t="str">
        <x:v>Alex Kim</x:v>
      </x:c>
      <x:c r="C65" s="130" t="str">
        <x:v>Status</x:v>
      </x:c>
      <x:c r="D65" s="130" t="str">
        <x:v>PAID</x:v>
      </x:c>
      <x:c r="E65" s="130" t="str">
        <x:v>Paid</x:v>
      </x:c>
      <x:c r="F65" s="130"/>
      <x:c r="G65" s="130" t="str">
        <x:v>Yes</x:v>
      </x:c>
      <x:c r="H65" s="130" t="str"/>
    </x:row>
    <x:row r="66">
      <x:c r="A66" s="130" t="str">
        <x:v>DRV-003</x:v>
      </x:c>
      <x:c r="B66" s="130" t="str">
        <x:v>Alex Kim</x:v>
      </x:c>
      <x:c r="C66" s="130" t="str">
        <x:v>Pending Reason</x:v>
      </x:c>
      <x:c r="D66" s="130"/>
      <x:c r="E66" s="130" t="str">
        <x:v>N/A</x:v>
      </x:c>
      <x:c r="F66" s="130"/>
      <x:c r="G66" s="130" t="str">
        <x:v>No</x:v>
      </x:c>
      <x:c r="H66" s="130" t="str"/>
    </x:row>
    <x:row r="67">
      <x:c r="A67" s="130" t="str">
        <x:v>DRV-003</x:v>
      </x:c>
      <x:c r="B67" s="130" t="str">
        <x:v>Alex Kim</x:v>
      </x:c>
      <x:c r="C67" s="130" t="str">
        <x:v>401(k) Rate</x:v>
      </x:c>
      <x:c r="D67" s="130" t="n">
        <x:v>0.06</x:v>
      </x:c>
      <x:c r="E67" s="130" t="n">
        <x:v>0.06</x:v>
      </x:c>
      <x:c r="F67" s="130" t="n">
        <x:v>0</x:v>
      </x:c>
      <x:c r="G67" s="130" t="str">
        <x:v>Yes</x:v>
      </x:c>
      <x:c r="H67" s="130" t="str"/>
    </x:row>
    <x:row r="68">
      <x:c r="A68" s="130" t="str">
        <x:v>DRV-004</x:v>
      </x:c>
      <x:c r="B68" s="130" t="str">
        <x:v>Priya Patel</x:v>
      </x:c>
      <x:c r="C68" s="130" t="str">
        <x:v>Base Earnings</x:v>
      </x:c>
      <x:c r="D68" s="130" t="n">
        <x:v>2020</x:v>
      </x:c>
      <x:c r="E68" s="130" t="n">
        <x:v>2020</x:v>
      </x:c>
      <x:c r="F68" s="130" t="n">
        <x:v>0</x:v>
      </x:c>
      <x:c r="G68" s="130" t="str">
        <x:v>Yes</x:v>
      </x:c>
      <x:c r="H68" s="130" t="str"/>
    </x:row>
    <x:row r="69">
      <x:c r="A69" s="130" t="str">
        <x:v>DRV-004</x:v>
      </x:c>
      <x:c r="B69" s="130" t="str">
        <x:v>Priya Patel</x:v>
      </x:c>
      <x:c r="C69" s="130" t="str">
        <x:v>Backhaul Pay</x:v>
      </x:c>
      <x:c r="D69" s="130" t="n">
        <x:v>88</x:v>
      </x:c>
      <x:c r="E69" s="130" t="n">
        <x:v>88</x:v>
      </x:c>
      <x:c r="F69" s="130" t="n">
        <x:v>0</x:v>
      </x:c>
      <x:c r="G69" s="130" t="str">
        <x:v>Yes</x:v>
      </x:c>
      <x:c r="H69" s="130" t="str"/>
    </x:row>
    <x:row r="70">
      <x:c r="A70" s="130" t="str">
        <x:v>DRV-004</x:v>
      </x:c>
      <x:c r="B70" s="130" t="str">
        <x:v>Priya Patel</x:v>
      </x:c>
      <x:c r="C70" s="130" t="str">
        <x:v>Gross Pay</x:v>
      </x:c>
      <x:c r="D70" s="130" t="n">
        <x:v>2108</x:v>
      </x:c>
      <x:c r="E70" s="130" t="n">
        <x:v>2133</x:v>
      </x:c>
      <x:c r="F70" s="130" t="n">
        <x:v>25</x:v>
      </x:c>
      <x:c r="G70" s="130" t="str">
        <x:v>No</x:v>
      </x:c>
      <x:c r="H70" s="130" t="str"/>
    </x:row>
    <x:row r="71">
      <x:c r="A71" s="130" t="str">
        <x:v>DRV-004</x:v>
      </x:c>
      <x:c r="B71" s="130" t="str">
        <x:v>Priya Patel</x:v>
      </x:c>
      <x:c r="C71" s="130" t="str">
        <x:v>FICA</x:v>
      </x:c>
      <x:c r="D71" s="130" t="n">
        <x:v>125.24</x:v>
      </x:c>
      <x:c r="E71" s="130" t="n">
        <x:v>132.246</x:v>
      </x:c>
      <x:c r="F71" s="130" t="n">
        <x:v>7.006000000000014</x:v>
      </x:c>
      <x:c r="G71" s="130" t="str">
        <x:v>No</x:v>
      </x:c>
      <x:c r="H71" s="130" t="str"/>
    </x:row>
    <x:row r="72">
      <x:c r="A72" s="130" t="str">
        <x:v>DRV-004</x:v>
      </x:c>
      <x:c r="B72" s="130" t="str">
        <x:v>Priya Patel</x:v>
      </x:c>
      <x:c r="C72" s="130" t="str">
        <x:v>OASDI</x:v>
      </x:c>
      <x:c r="D72" s="130" t="n">
        <x:v>29.290000000000003</x:v>
      </x:c>
      <x:c r="E72" s="130" t="n">
        <x:v>30.928500000000003</x:v>
      </x:c>
      <x:c r="F72" s="130" t="n">
        <x:v>1.6385000000000005</x:v>
      </x:c>
      <x:c r="G72" s="130" t="str">
        <x:v>No</x:v>
      </x:c>
      <x:c r="H72" s="130" t="str"/>
    </x:row>
    <x:row r="73">
      <x:c r="A73" s="130" t="str">
        <x:v>DRV-004</x:v>
      </x:c>
      <x:c r="B73" s="130" t="str">
        <x:v>Priya Patel</x:v>
      </x:c>
      <x:c r="C73" s="130" t="str">
        <x:v>Federal Withholding</x:v>
      </x:c>
      <x:c r="D73" s="130" t="n">
        <x:v>363.59999999999997</x:v>
      </x:c>
      <x:c r="E73" s="130" t="n">
        <x:v>383.94</x:v>
      </x:c>
      <x:c r="F73" s="130" t="n">
        <x:v>20.340000000000032</x:v>
      </x:c>
      <x:c r="G73" s="130" t="str">
        <x:v>No</x:v>
      </x:c>
      <x:c r="H73" s="130" t="str"/>
    </x:row>
    <x:row r="74">
      <x:c r="A74" s="130" t="str">
        <x:v>DRV-004</x:v>
      </x:c>
      <x:c r="B74" s="130" t="str">
        <x:v>Priya Patel</x:v>
      </x:c>
      <x:c r="C74" s="130" t="str">
        <x:v>State Withholding</x:v>
      </x:c>
      <x:c r="D74" s="130" t="n">
        <x:v>70.7</x:v>
      </x:c>
      <x:c r="E74" s="130" t="n">
        <x:v>74.655</x:v>
      </x:c>
      <x:c r="F74" s="130" t="n">
        <x:v>3.9549999999999983</x:v>
      </x:c>
      <x:c r="G74" s="130" t="str">
        <x:v>No</x:v>
      </x:c>
      <x:c r="H74" s="130" t="str"/>
    </x:row>
    <x:row r="75">
      <x:c r="A75" s="130" t="str">
        <x:v>DRV-004</x:v>
      </x:c>
      <x:c r="B75" s="130" t="str">
        <x:v>Priya Patel</x:v>
      </x:c>
      <x:c r="C75" s="130" t="str">
        <x:v>SDI</x:v>
      </x:c>
      <x:c r="D75" s="130" t="n">
        <x:v>9.09</x:v>
      </x:c>
      <x:c r="E75" s="130" t="n">
        <x:v>9.5985</x:v>
      </x:c>
      <x:c r="F75" s="130" t="n">
        <x:v>0.5084999999999997</x:v>
      </x:c>
      <x:c r="G75" s="130" t="str">
        <x:v>No</x:v>
      </x:c>
      <x:c r="H75" s="130" t="str"/>
    </x:row>
    <x:row r="76">
      <x:c r="A76" s="130" t="str">
        <x:v>DRV-004</x:v>
      </x:c>
      <x:c r="B76" s="130" t="str">
        <x:v>Priya Patel</x:v>
      </x:c>
      <x:c r="C76" s="130" t="str">
        <x:v>FM Leave</x:v>
      </x:c>
      <x:c r="D76" s="130" t="n">
        <x:v>13.332</x:v>
      </x:c>
      <x:c r="E76" s="130" t="n">
        <x:v>14.0778</x:v>
      </x:c>
      <x:c r="F76" s="130" t="n">
        <x:v>0.7457999999999991</x:v>
      </x:c>
      <x:c r="G76" s="130" t="str">
        <x:v>No</x:v>
      </x:c>
      <x:c r="H76" s="130" t="str"/>
    </x:row>
    <x:row r="77">
      <x:c r="A77" s="130" t="str">
        <x:v>DRV-004</x:v>
      </x:c>
      <x:c r="B77" s="130" t="str">
        <x:v>Priya Patel</x:v>
      </x:c>
      <x:c r="C77" s="130" t="str">
        <x:v>Family Support</x:v>
      </x:c>
      <x:c r="D77" s="130" t="n">
        <x:v>0</x:v>
      </x:c>
      <x:c r="E77" s="130" t="n">
        <x:v>0</x:v>
      </x:c>
      <x:c r="F77" s="130" t="n">
        <x:v>0</x:v>
      </x:c>
      <x:c r="G77" s="130" t="str">
        <x:v>Yes</x:v>
      </x:c>
      <x:c r="H77" s="130" t="str"/>
    </x:row>
    <x:row r="78">
      <x:c r="A78" s="130" t="str">
        <x:v>DRV-004</x:v>
      </x:c>
      <x:c r="B78" s="130" t="str">
        <x:v>Priya Patel</x:v>
      </x:c>
      <x:c r="C78" s="130" t="str">
        <x:v>Insurance Premiums</x:v>
      </x:c>
      <x:c r="D78" s="130" t="n">
        <x:v>0</x:v>
      </x:c>
      <x:c r="E78" s="130" t="n">
        <x:v>0</x:v>
      </x:c>
      <x:c r="F78" s="130" t="n">
        <x:v>0</x:v>
      </x:c>
      <x:c r="G78" s="130" t="str">
        <x:v>Yes</x:v>
      </x:c>
      <x:c r="H78" s="130" t="str"/>
    </x:row>
    <x:row r="79">
      <x:c r="A79" s="130" t="str">
        <x:v>DRV-004</x:v>
      </x:c>
      <x:c r="B79" s="130" t="str">
        <x:v>Priya Patel</x:v>
      </x:c>
      <x:c r="C79" s="130" t="str">
        <x:v>Credit Union Savings Club</x:v>
      </x:c>
      <x:c r="D79" s="130" t="n">
        <x:v>32.58</x:v>
      </x:c>
      <x:c r="E79" s="130" t="n">
        <x:v>32.58</x:v>
      </x:c>
      <x:c r="F79" s="130" t="n">
        <x:v>0</x:v>
      </x:c>
      <x:c r="G79" s="130" t="str">
        <x:v>Yes</x:v>
      </x:c>
      <x:c r="H79" s="130" t="str"/>
    </x:row>
    <x:row r="80">
      <x:c r="A80" s="130" t="str">
        <x:v>DRV-004</x:v>
      </x:c>
      <x:c r="B80" s="130" t="str">
        <x:v>Priya Patel</x:v>
      </x:c>
      <x:c r="C80" s="130" t="str">
        <x:v>401(k) Contribution</x:v>
      </x:c>
      <x:c r="D80" s="130" t="n">
        <x:v>0</x:v>
      </x:c>
      <x:c r="E80" s="130" t="n">
        <x:v>0</x:v>
      </x:c>
      <x:c r="F80" s="130" t="n">
        <x:v>0</x:v>
      </x:c>
      <x:c r="G80" s="130" t="str">
        <x:v>Yes</x:v>
      </x:c>
      <x:c r="H80" s="130" t="str"/>
    </x:row>
    <x:row r="81">
      <x:c r="A81" s="130" t="str">
        <x:v>DRV-004</x:v>
      </x:c>
      <x:c r="B81" s="130" t="str">
        <x:v>Priya Patel</x:v>
      </x:c>
      <x:c r="C81" s="130" t="str">
        <x:v>HSA/FSA Health Deduction</x:v>
      </x:c>
      <x:c r="D81" s="130" t="n">
        <x:v>0</x:v>
      </x:c>
      <x:c r="E81" s="130" t="n">
        <x:v>0</x:v>
      </x:c>
      <x:c r="F81" s="130" t="n">
        <x:v>0</x:v>
      </x:c>
      <x:c r="G81" s="130" t="str">
        <x:v>Yes</x:v>
      </x:c>
      <x:c r="H81" s="130" t="str"/>
    </x:row>
    <x:row r="82">
      <x:c r="A82" s="130" t="str">
        <x:v>DRV-004</x:v>
      </x:c>
      <x:c r="B82" s="130" t="str">
        <x:v>Priya Patel</x:v>
      </x:c>
      <x:c r="C82" s="130" t="str">
        <x:v>Health Insurance Premiums</x:v>
      </x:c>
      <x:c r="D82" s="130" t="n">
        <x:v>0</x:v>
      </x:c>
      <x:c r="E82" s="130" t="n">
        <x:v>0</x:v>
      </x:c>
      <x:c r="F82" s="130" t="n">
        <x:v>0</x:v>
      </x:c>
      <x:c r="G82" s="130" t="str">
        <x:v>Yes</x:v>
      </x:c>
      <x:c r="H82" s="130" t="str"/>
    </x:row>
    <x:row r="83">
      <x:c r="A83" s="130" t="str">
        <x:v>DRV-004</x:v>
      </x:c>
      <x:c r="B83" s="130" t="str">
        <x:v>Priya Patel</x:v>
      </x:c>
      <x:c r="C83" s="130" t="str">
        <x:v>Life Insurance Above 50k</x:v>
      </x:c>
      <x:c r="D83" s="130" t="n">
        <x:v>0</x:v>
      </x:c>
      <x:c r="E83" s="130" t="n">
        <x:v>0</x:v>
      </x:c>
      <x:c r="F83" s="130" t="n">
        <x:v>0</x:v>
      </x:c>
      <x:c r="G83" s="130" t="str">
        <x:v>Yes</x:v>
      </x:c>
      <x:c r="H83" s="130" t="str"/>
    </x:row>
    <x:row r="84">
      <x:c r="A84" s="130" t="str">
        <x:v>DRV-004</x:v>
      </x:c>
      <x:c r="B84" s="130" t="str">
        <x:v>Priya Patel</x:v>
      </x:c>
      <x:c r="C84" s="130" t="str">
        <x:v>Total Deductions</x:v>
      </x:c>
      <x:c r="D84" s="130" t="n">
        <x:v>643.8320000000001</x:v>
      </x:c>
      <x:c r="E84" s="130" t="n">
        <x:v>1454.9741999999999</x:v>
      </x:c>
      <x:c r="F84" s="130" t="n">
        <x:v>811.1421999999998</x:v>
      </x:c>
      <x:c r="G84" s="130" t="str">
        <x:v>No</x:v>
      </x:c>
      <x:c r="H84" s="130" t="str"/>
    </x:row>
    <x:row r="85">
      <x:c r="A85" s="130" t="str">
        <x:v>DRV-004</x:v>
      </x:c>
      <x:c r="B85" s="130" t="str">
        <x:v>Priya Patel</x:v>
      </x:c>
      <x:c r="C85" s="130" t="str">
        <x:v>Fuel Reimb.</x:v>
      </x:c>
      <x:c r="D85" s="130" t="n">
        <x:v>150</x:v>
      </x:c>
      <x:c r="E85" s="130" t="n">
        <x:v>150</x:v>
      </x:c>
      <x:c r="F85" s="130" t="n">
        <x:v>0</x:v>
      </x:c>
      <x:c r="G85" s="130" t="str">
        <x:v>Yes</x:v>
      </x:c>
      <x:c r="H85" s="130" t="str"/>
    </x:row>
    <x:row r="86">
      <x:c r="A86" s="130" t="str">
        <x:v>DRV-004</x:v>
      </x:c>
      <x:c r="B86" s="130" t="str">
        <x:v>Priya Patel</x:v>
      </x:c>
      <x:c r="C86" s="130" t="str">
        <x:v>Net Pay</x:v>
      </x:c>
      <x:c r="D86" s="130" t="n">
        <x:v>1614.168</x:v>
      </x:c>
      <x:c r="E86" s="130" t="n">
        <x:v>678.0258000000001</x:v>
      </x:c>
      <x:c r="F86" s="130" t="n">
        <x:v>-936.1421999999998</x:v>
      </x:c>
      <x:c r="G86" s="130" t="str">
        <x:v>No</x:v>
      </x:c>
      <x:c r="H86" s="130" t="str"/>
    </x:row>
    <x:row r="87">
      <x:c r="A87" s="130" t="str">
        <x:v>DRV-004</x:v>
      </x:c>
      <x:c r="B87" s="130" t="str">
        <x:v>Priya Patel</x:v>
      </x:c>
      <x:c r="C87" s="130" t="str">
        <x:v>Status</x:v>
      </x:c>
      <x:c r="D87" s="130" t="str">
        <x:v>PENDING</x:v>
      </x:c>
      <x:c r="E87" s="130" t="str">
        <x:v>Pending</x:v>
      </x:c>
      <x:c r="F87" s="130"/>
      <x:c r="G87" s="130" t="str">
        <x:v>Yes</x:v>
      </x:c>
      <x:c r="H87" s="130" t="str"/>
    </x:row>
    <x:row r="88">
      <x:c r="A88" s="130" t="str">
        <x:v>DRV-004</x:v>
      </x:c>
      <x:c r="B88" s="130" t="str">
        <x:v>Priya Patel</x:v>
      </x:c>
      <x:c r="C88" s="130" t="str">
        <x:v>Pending Reason</x:v>
      </x:c>
      <x:c r="D88" s="130" t="str">
        <x:v>Awaiting Receipts</x:v>
      </x:c>
      <x:c r="E88" s="130" t="str">
        <x:v>Awaiting Receipts</x:v>
      </x:c>
      <x:c r="F88" s="130"/>
      <x:c r="G88" s="130" t="str">
        <x:v>Yes</x:v>
      </x:c>
      <x:c r="H88" s="130" t="str"/>
    </x:row>
    <x:row r="89">
      <x:c r="A89" s="130" t="str">
        <x:v>DRV-004</x:v>
      </x:c>
      <x:c r="B89" s="130" t="str">
        <x:v>Priya Patel</x:v>
      </x:c>
      <x:c r="C89" s="130" t="str">
        <x:v>401(k) Rate</x:v>
      </x:c>
      <x:c r="D89" s="130" t="n">
        <x:v>0</x:v>
      </x:c>
      <x:c r="E89" s="130" t="n">
        <x:v>0</x:v>
      </x:c>
      <x:c r="F89" s="130" t="n">
        <x:v>0</x:v>
      </x:c>
      <x:c r="G89" s="130" t="str">
        <x:v>Yes</x:v>
      </x:c>
      <x:c r="H89" s="130" t="str"/>
    </x:row>
    <x:row r="90">
      <x:c r="A90" s="130" t="str">
        <x:v>DRV-005</x:v>
      </x:c>
      <x:c r="B90" s="130" t="str">
        <x:v>Kenji Tanaka</x:v>
      </x:c>
      <x:c r="C90" s="130" t="str">
        <x:v>Base Earnings</x:v>
      </x:c>
      <x:c r="D90" s="130" t="n">
        <x:v>2280</x:v>
      </x:c>
      <x:c r="E90" s="130" t="n">
        <x:v>2280</x:v>
      </x:c>
      <x:c r="F90" s="130" t="n">
        <x:v>0</x:v>
      </x:c>
      <x:c r="G90" s="130" t="str">
        <x:v>Yes</x:v>
      </x:c>
      <x:c r="H90" s="130" t="str"/>
    </x:row>
    <x:row r="91">
      <x:c r="A91" s="130" t="str">
        <x:v>DRV-005</x:v>
      </x:c>
      <x:c r="B91" s="130" t="str">
        <x:v>Kenji Tanaka</x:v>
      </x:c>
      <x:c r="C91" s="130" t="str">
        <x:v>Backhaul Pay</x:v>
      </x:c>
      <x:c r="D91" s="130" t="n">
        <x:v>45</x:v>
      </x:c>
      <x:c r="E91" s="130" t="n">
        <x:v>45</x:v>
      </x:c>
      <x:c r="F91" s="130" t="n">
        <x:v>0</x:v>
      </x:c>
      <x:c r="G91" s="130" t="str">
        <x:v>Yes</x:v>
      </x:c>
      <x:c r="H91" s="130" t="str"/>
    </x:row>
    <x:row r="92">
      <x:c r="A92" s="130" t="str">
        <x:v>DRV-005</x:v>
      </x:c>
      <x:c r="B92" s="130" t="str">
        <x:v>Kenji Tanaka</x:v>
      </x:c>
      <x:c r="C92" s="130" t="str">
        <x:v>Gross Pay</x:v>
      </x:c>
      <x:c r="D92" s="130" t="n">
        <x:v>2325</x:v>
      </x:c>
      <x:c r="E92" s="130" t="n">
        <x:v>2400</x:v>
      </x:c>
      <x:c r="F92" s="130" t="n">
        <x:v>75</x:v>
      </x:c>
      <x:c r="G92" s="130" t="str">
        <x:v>No</x:v>
      </x:c>
      <x:c r="H92" s="130" t="str"/>
    </x:row>
    <x:row r="93">
      <x:c r="A93" s="130" t="str">
        <x:v>DRV-005</x:v>
      </x:c>
      <x:c r="B93" s="130" t="str">
        <x:v>Kenji Tanaka</x:v>
      </x:c>
      <x:c r="C93" s="130" t="str">
        <x:v>FICA</x:v>
      </x:c>
      <x:c r="D93" s="130" t="n">
        <x:v>141.35999999999999</x:v>
      </x:c>
      <x:c r="E93" s="130" t="n">
        <x:v>148.8</x:v>
      </x:c>
      <x:c r="F93" s="130" t="n">
        <x:v>7.440000000000026</x:v>
      </x:c>
      <x:c r="G93" s="130" t="str">
        <x:v>No</x:v>
      </x:c>
      <x:c r="H93" s="130" t="str"/>
    </x:row>
    <x:row r="94">
      <x:c r="A94" s="130" t="str">
        <x:v>DRV-005</x:v>
      </x:c>
      <x:c r="B94" s="130" t="str">
        <x:v>Kenji Tanaka</x:v>
      </x:c>
      <x:c r="C94" s="130" t="str">
        <x:v>OASDI</x:v>
      </x:c>
      <x:c r="D94" s="130" t="n">
        <x:v>33.06</x:v>
      </x:c>
      <x:c r="E94" s="130" t="n">
        <x:v>34.800000000000004</x:v>
      </x:c>
      <x:c r="F94" s="130" t="n">
        <x:v>1.740000000000002</x:v>
      </x:c>
      <x:c r="G94" s="130" t="str">
        <x:v>No</x:v>
      </x:c>
      <x:c r="H94" s="130" t="str"/>
    </x:row>
    <x:row r="95">
      <x:c r="A95" s="130" t="str">
        <x:v>DRV-005</x:v>
      </x:c>
      <x:c r="B95" s="130" t="str">
        <x:v>Kenji Tanaka</x:v>
      </x:c>
      <x:c r="C95" s="130" t="str">
        <x:v>Federal Withholding</x:v>
      </x:c>
      <x:c r="D95" s="130" t="n">
        <x:v>410.4</x:v>
      </x:c>
      <x:c r="E95" s="130" t="n">
        <x:v>432</x:v>
      </x:c>
      <x:c r="F95" s="130" t="n">
        <x:v>21.600000000000023</x:v>
      </x:c>
      <x:c r="G95" s="130" t="str">
        <x:v>No</x:v>
      </x:c>
      <x:c r="H95" s="130" t="str"/>
    </x:row>
    <x:row r="96">
      <x:c r="A96" s="130" t="str">
        <x:v>DRV-005</x:v>
      </x:c>
      <x:c r="B96" s="130" t="str">
        <x:v>Kenji Tanaka</x:v>
      </x:c>
      <x:c r="C96" s="130" t="str">
        <x:v>State Withholding</x:v>
      </x:c>
      <x:c r="D96" s="130" t="n">
        <x:v>79.80000000000001</x:v>
      </x:c>
      <x:c r="E96" s="130" t="n">
        <x:v>84.00000000000001</x:v>
      </x:c>
      <x:c r="F96" s="130" t="n">
        <x:v>4.200000000000003</x:v>
      </x:c>
      <x:c r="G96" s="130" t="str">
        <x:v>No</x:v>
      </x:c>
      <x:c r="H96" s="130" t="str"/>
    </x:row>
    <x:row r="97">
      <x:c r="A97" s="130" t="str">
        <x:v>DRV-005</x:v>
      </x:c>
      <x:c r="B97" s="130" t="str">
        <x:v>Kenji Tanaka</x:v>
      </x:c>
      <x:c r="C97" s="130" t="str">
        <x:v>SDI</x:v>
      </x:c>
      <x:c r="D97" s="130" t="n">
        <x:v>10.26</x:v>
      </x:c>
      <x:c r="E97" s="130" t="n">
        <x:v>10.799999999999999</x:v>
      </x:c>
      <x:c r="F97" s="130" t="n">
        <x:v>0.5399999999999991</x:v>
      </x:c>
      <x:c r="G97" s="130" t="str">
        <x:v>No</x:v>
      </x:c>
      <x:c r="H97" s="130" t="str"/>
    </x:row>
    <x:row r="98">
      <x:c r="A98" s="130" t="str">
        <x:v>DRV-005</x:v>
      </x:c>
      <x:c r="B98" s="130" t="str">
        <x:v>Kenji Tanaka</x:v>
      </x:c>
      <x:c r="C98" s="130" t="str">
        <x:v>FM Leave</x:v>
      </x:c>
      <x:c r="D98" s="130" t="n">
        <x:v>15.048</x:v>
      </x:c>
      <x:c r="E98" s="130" t="n">
        <x:v>15.84</x:v>
      </x:c>
      <x:c r="F98" s="130" t="n">
        <x:v>0.7919999999999998</x:v>
      </x:c>
      <x:c r="G98" s="130" t="str">
        <x:v>No</x:v>
      </x:c>
      <x:c r="H98" s="130" t="str"/>
    </x:row>
    <x:row r="99">
      <x:c r="A99" s="130" t="str">
        <x:v>DRV-005</x:v>
      </x:c>
      <x:c r="B99" s="130" t="str">
        <x:v>Kenji Tanaka</x:v>
      </x:c>
      <x:c r="C99" s="130" t="str">
        <x:v>Family Support</x:v>
      </x:c>
      <x:c r="D99" s="130" t="n">
        <x:v>187.05</x:v>
      </x:c>
      <x:c r="E99" s="130" t="n">
        <x:v>187.05</x:v>
      </x:c>
      <x:c r="F99" s="130" t="n">
        <x:v>0</x:v>
      </x:c>
      <x:c r="G99" s="130" t="str">
        <x:v>Yes</x:v>
      </x:c>
      <x:c r="H99" s="130" t="str"/>
    </x:row>
    <x:row r="100">
      <x:c r="A100" s="130" t="str">
        <x:v>DRV-005</x:v>
      </x:c>
      <x:c r="B100" s="130" t="str">
        <x:v>Kenji Tanaka</x:v>
      </x:c>
      <x:c r="C100" s="130" t="str">
        <x:v>Insurance Premiums</x:v>
      </x:c>
      <x:c r="D100" s="130" t="n">
        <x:v>0</x:v>
      </x:c>
      <x:c r="E100" s="130" t="n">
        <x:v>0</x:v>
      </x:c>
      <x:c r="F100" s="130" t="n">
        <x:v>0</x:v>
      </x:c>
      <x:c r="G100" s="130" t="str">
        <x:v>Yes</x:v>
      </x:c>
      <x:c r="H100" s="130" t="str"/>
    </x:row>
    <x:row r="101">
      <x:c r="A101" s="130" t="str">
        <x:v>DRV-005</x:v>
      </x:c>
      <x:c r="B101" s="130" t="str">
        <x:v>Kenji Tanaka</x:v>
      </x:c>
      <x:c r="C101" s="130" t="str">
        <x:v>Credit Union Savings Club</x:v>
      </x:c>
      <x:c r="D101" s="130" t="n">
        <x:v>72.68</x:v>
      </x:c>
      <x:c r="E101" s="130" t="n">
        <x:v>72.68</x:v>
      </x:c>
      <x:c r="F101" s="130" t="n">
        <x:v>0</x:v>
      </x:c>
      <x:c r="G101" s="130" t="str">
        <x:v>Yes</x:v>
      </x:c>
      <x:c r="H101" s="130" t="str"/>
    </x:row>
    <x:row r="102">
      <x:c r="A102" s="130" t="str">
        <x:v>DRV-005</x:v>
      </x:c>
      <x:c r="B102" s="130" t="str">
        <x:v>Kenji Tanaka</x:v>
      </x:c>
      <x:c r="C102" s="130" t="str">
        <x:v>401(k) Contribution</x:v>
      </x:c>
      <x:c r="D102" s="130" t="n">
        <x:v>68.39999999999999</x:v>
      </x:c>
      <x:c r="E102" s="130" t="n">
        <x:v>72</x:v>
      </x:c>
      <x:c r="F102" s="130" t="n">
        <x:v>3.6000000000000085</x:v>
      </x:c>
      <x:c r="G102" s="130" t="str">
        <x:v>No</x:v>
      </x:c>
      <x:c r="H102" s="130" t="str"/>
    </x:row>
    <x:row r="103">
      <x:c r="A103" s="130" t="str">
        <x:v>DRV-005</x:v>
      </x:c>
      <x:c r="B103" s="130" t="str">
        <x:v>Kenji Tanaka</x:v>
      </x:c>
      <x:c r="C103" s="130" t="str">
        <x:v>HSA/FSA Health Deduction</x:v>
      </x:c>
      <x:c r="D103" s="130" t="n">
        <x:v>26.5</x:v>
      </x:c>
      <x:c r="E103" s="130" t="n">
        <x:v>26.5</x:v>
      </x:c>
      <x:c r="F103" s="130" t="n">
        <x:v>0</x:v>
      </x:c>
      <x:c r="G103" s="130" t="str">
        <x:v>Yes</x:v>
      </x:c>
      <x:c r="H103" s="130" t="str"/>
    </x:row>
    <x:row r="104">
      <x:c r="A104" s="130" t="str">
        <x:v>DRV-005</x:v>
      </x:c>
      <x:c r="B104" s="130" t="str">
        <x:v>Kenji Tanaka</x:v>
      </x:c>
      <x:c r="C104" s="130" t="str">
        <x:v>Health Insurance Premiums</x:v>
      </x:c>
      <x:c r="D104" s="130" t="n">
        <x:v>0</x:v>
      </x:c>
      <x:c r="E104" s="130" t="n">
        <x:v>0</x:v>
      </x:c>
      <x:c r="F104" s="130" t="n">
        <x:v>0</x:v>
      </x:c>
      <x:c r="G104" s="130" t="str">
        <x:v>Yes</x:v>
      </x:c>
      <x:c r="H104" s="130" t="str"/>
    </x:row>
    <x:row r="105">
      <x:c r="A105" s="130" t="str">
        <x:v>DRV-005</x:v>
      </x:c>
      <x:c r="B105" s="130" t="str">
        <x:v>Kenji Tanaka</x:v>
      </x:c>
      <x:c r="C105" s="130" t="str">
        <x:v>Life Insurance Above 50k</x:v>
      </x:c>
      <x:c r="D105" s="130" t="n">
        <x:v>0</x:v>
      </x:c>
      <x:c r="E105" s="130" t="n">
        <x:v>0</x:v>
      </x:c>
      <x:c r="F105" s="130" t="n">
        <x:v>0</x:v>
      </x:c>
      <x:c r="G105" s="130" t="str">
        <x:v>Yes</x:v>
      </x:c>
      <x:c r="H105" s="130" t="str"/>
    </x:row>
    <x:row r="106">
      <x:c r="A106" s="130" t="str">
        <x:v>DRV-005</x:v>
      </x:c>
      <x:c r="B106" s="130" t="str">
        <x:v>Kenji Tanaka</x:v>
      </x:c>
      <x:c r="C106" s="130" t="str">
        <x:v>Total Deductions</x:v>
      </x:c>
      <x:c r="D106" s="130" t="n">
        <x:v>1044.558</x:v>
      </x:c>
      <x:c r="E106" s="130" t="n">
        <x:v>1315.5299999999997</x:v>
      </x:c>
      <x:c r="F106" s="130" t="n">
        <x:v>270.97199999999975</x:v>
      </x:c>
      <x:c r="G106" s="130" t="str">
        <x:v>No</x:v>
      </x:c>
      <x:c r="H106" s="130" t="str"/>
    </x:row>
    <x:row r="107">
      <x:c r="A107" s="130" t="str">
        <x:v>DRV-005</x:v>
      </x:c>
      <x:c r="B107" s="130" t="str">
        <x:v>Kenji Tanaka</x:v>
      </x:c>
      <x:c r="C107" s="130" t="str">
        <x:v>Fuel Reimb.</x:v>
      </x:c>
      <x:c r="D107" s="130" t="n">
        <x:v>0</x:v>
      </x:c>
      <x:c r="E107" s="130" t="n">
        <x:v>0</x:v>
      </x:c>
      <x:c r="F107" s="130" t="n">
        <x:v>0</x:v>
      </x:c>
      <x:c r="G107" s="130" t="str">
        <x:v>Yes</x:v>
      </x:c>
      <x:c r="H107" s="130" t="str"/>
    </x:row>
    <x:row r="108">
      <x:c r="A108" s="130" t="str">
        <x:v>DRV-005</x:v>
      </x:c>
      <x:c r="B108" s="130" t="str">
        <x:v>Kenji Tanaka</x:v>
      </x:c>
      <x:c r="C108" s="130" t="str">
        <x:v>Net Pay</x:v>
      </x:c>
      <x:c r="D108" s="130" t="n">
        <x:v>1280.442</x:v>
      </x:c>
      <x:c r="E108" s="130" t="n">
        <x:v>1084.4700000000003</x:v>
      </x:c>
      <x:c r="F108" s="130" t="n">
        <x:v>-195.97199999999975</x:v>
      </x:c>
      <x:c r="G108" s="130" t="str">
        <x:v>No</x:v>
      </x:c>
      <x:c r="H108" s="130" t="str"/>
    </x:row>
    <x:row r="109">
      <x:c r="A109" s="130" t="str">
        <x:v>DRV-005</x:v>
      </x:c>
      <x:c r="B109" s="130" t="str">
        <x:v>Kenji Tanaka</x:v>
      </x:c>
      <x:c r="C109" s="130" t="str">
        <x:v>Status</x:v>
      </x:c>
      <x:c r="D109" s="130" t="str">
        <x:v>PENDING</x:v>
      </x:c>
      <x:c r="E109" s="130" t="str">
        <x:v>Pending</x:v>
      </x:c>
      <x:c r="F109" s="130"/>
      <x:c r="G109" s="130" t="str">
        <x:v>Yes</x:v>
      </x:c>
      <x:c r="H109" s="130" t="str"/>
    </x:row>
    <x:row r="110">
      <x:c r="A110" s="130" t="str">
        <x:v>DRV-005</x:v>
      </x:c>
      <x:c r="B110" s="130" t="str">
        <x:v>Kenji Tanaka</x:v>
      </x:c>
      <x:c r="C110" s="130" t="str">
        <x:v>Pending Reason</x:v>
      </x:c>
      <x:c r="D110" s="130" t="str">
        <x:v>Load Verification</x:v>
      </x:c>
      <x:c r="E110" s="130" t="str">
        <x:v>Load Verification</x:v>
      </x:c>
      <x:c r="F110" s="130"/>
      <x:c r="G110" s="130" t="str">
        <x:v>Yes</x:v>
      </x:c>
      <x:c r="H110" s="130" t="str"/>
    </x:row>
    <x:row r="111">
      <x:c r="A111" s="130" t="str">
        <x:v>DRV-005</x:v>
      </x:c>
      <x:c r="B111" s="130" t="str">
        <x:v>Kenji Tanaka</x:v>
      </x:c>
      <x:c r="C111" s="130" t="str">
        <x:v>401(k) Rate</x:v>
      </x:c>
      <x:c r="D111" s="130" t="n">
        <x:v>0.03</x:v>
      </x:c>
      <x:c r="E111" s="130" t="n">
        <x:v>0.03</x:v>
      </x:c>
      <x:c r="F111" s="130" t="n">
        <x:v>0</x:v>
      </x:c>
      <x:c r="G111" s="130" t="str">
        <x:v>Yes</x:v>
      </x:c>
      <x:c r="H111" s="130" t="str"/>
    </x:row>
    <x:row r="112">
      <x:c r="A112" s="130" t="str">
        <x:v>DRV-006</x:v>
      </x:c>
      <x:c r="B112" s="130" t="str">
        <x:v>Marcus Chen</x:v>
      </x:c>
      <x:c r="C112" s="130" t="str">
        <x:v>Base Earnings</x:v>
      </x:c>
      <x:c r="D112" s="130" t="n">
        <x:v>2090</x:v>
      </x:c>
      <x:c r="E112" s="130" t="n">
        <x:v>2090</x:v>
      </x:c>
      <x:c r="F112" s="130" t="n">
        <x:v>0</x:v>
      </x:c>
      <x:c r="G112" s="130" t="str">
        <x:v>Yes</x:v>
      </x:c>
      <x:c r="H112" s="130" t="str"/>
    </x:row>
    <x:row r="113">
      <x:c r="A113" s="130" t="str">
        <x:v>DRV-006</x:v>
      </x:c>
      <x:c r="B113" s="130" t="str">
        <x:v>Marcus Chen</x:v>
      </x:c>
      <x:c r="C113" s="130" t="str">
        <x:v>Backhaul Pay</x:v>
      </x:c>
      <x:c r="D113" s="130" t="n">
        <x:v>72</x:v>
      </x:c>
      <x:c r="E113" s="130" t="n">
        <x:v>72</x:v>
      </x:c>
      <x:c r="F113" s="130" t="n">
        <x:v>0</x:v>
      </x:c>
      <x:c r="G113" s="130" t="str">
        <x:v>Yes</x:v>
      </x:c>
      <x:c r="H113" s="130" t="str"/>
    </x:row>
    <x:row r="114">
      <x:c r="A114" s="130" t="str">
        <x:v>DRV-006</x:v>
      </x:c>
      <x:c r="B114" s="130" t="str">
        <x:v>Marcus Chen</x:v>
      </x:c>
      <x:c r="C114" s="130" t="str">
        <x:v>Gross Pay</x:v>
      </x:c>
      <x:c r="D114" s="130" t="n">
        <x:v>2162</x:v>
      </x:c>
      <x:c r="E114" s="130" t="n">
        <x:v>2287</x:v>
      </x:c>
      <x:c r="F114" s="130" t="n">
        <x:v>125</x:v>
      </x:c>
      <x:c r="G114" s="130" t="str">
        <x:v>No</x:v>
      </x:c>
      <x:c r="H114" s="130" t="str"/>
    </x:row>
    <x:row r="115">
      <x:c r="A115" s="130" t="str">
        <x:v>DRV-006</x:v>
      </x:c>
      <x:c r="B115" s="130" t="str">
        <x:v>Marcus Chen</x:v>
      </x:c>
      <x:c r="C115" s="130" t="str">
        <x:v>FICA</x:v>
      </x:c>
      <x:c r="D115" s="130" t="n">
        <x:v>129.58</x:v>
      </x:c>
      <x:c r="E115" s="130" t="n">
        <x:v>141.794</x:v>
      </x:c>
      <x:c r="F115" s="130" t="n">
        <x:v>12.213999999999999</x:v>
      </x:c>
      <x:c r="G115" s="130" t="str">
        <x:v>No</x:v>
      </x:c>
      <x:c r="H115" s="130" t="str"/>
    </x:row>
    <x:row r="116">
      <x:c r="A116" s="130" t="str">
        <x:v>DRV-006</x:v>
      </x:c>
      <x:c r="B116" s="130" t="str">
        <x:v>Marcus Chen</x:v>
      </x:c>
      <x:c r="C116" s="130" t="str">
        <x:v>OASDI</x:v>
      </x:c>
      <x:c r="D116" s="130" t="n">
        <x:v>30.305000000000003</x:v>
      </x:c>
      <x:c r="E116" s="130" t="n">
        <x:v>33.161500000000004</x:v>
      </x:c>
      <x:c r="F116" s="130" t="n">
        <x:v>2.8565000000000005</x:v>
      </x:c>
      <x:c r="G116" s="130" t="str">
        <x:v>No</x:v>
      </x:c>
      <x:c r="H116" s="130" t="str"/>
    </x:row>
    <x:row r="117">
      <x:c r="A117" s="130" t="str">
        <x:v>DRV-006</x:v>
      </x:c>
      <x:c r="B117" s="130" t="str">
        <x:v>Marcus Chen</x:v>
      </x:c>
      <x:c r="C117" s="130" t="str">
        <x:v>Federal Withholding</x:v>
      </x:c>
      <x:c r="D117" s="130" t="n">
        <x:v>376.2</x:v>
      </x:c>
      <x:c r="E117" s="130" t="n">
        <x:v>411.65999999999997</x:v>
      </x:c>
      <x:c r="F117" s="130" t="n">
        <x:v>35.45999999999998</x:v>
      </x:c>
      <x:c r="G117" s="130" t="str">
        <x:v>No</x:v>
      </x:c>
      <x:c r="H117" s="130" t="str"/>
    </x:row>
    <x:row r="118">
      <x:c r="A118" s="130" t="str">
        <x:v>DRV-006</x:v>
      </x:c>
      <x:c r="B118" s="130" t="str">
        <x:v>Marcus Chen</x:v>
      </x:c>
      <x:c r="C118" s="130" t="str">
        <x:v>State Withholding</x:v>
      </x:c>
      <x:c r="D118" s="130" t="n">
        <x:v>73.15</x:v>
      </x:c>
      <x:c r="E118" s="130" t="n">
        <x:v>80.045</x:v>
      </x:c>
      <x:c r="F118" s="130" t="n">
        <x:v>6.894999999999996</x:v>
      </x:c>
      <x:c r="G118" s="130" t="str">
        <x:v>No</x:v>
      </x:c>
      <x:c r="H118" s="130" t="str"/>
    </x:row>
    <x:row r="119">
      <x:c r="A119" s="130" t="str">
        <x:v>DRV-006</x:v>
      </x:c>
      <x:c r="B119" s="130" t="str">
        <x:v>Marcus Chen</x:v>
      </x:c>
      <x:c r="C119" s="130" t="str">
        <x:v>SDI</x:v>
      </x:c>
      <x:c r="D119" s="130" t="n">
        <x:v>9.405</x:v>
      </x:c>
      <x:c r="E119" s="130" t="n">
        <x:v>10.2915</x:v>
      </x:c>
      <x:c r="F119" s="130" t="n">
        <x:v>0.8864999999999998</x:v>
      </x:c>
      <x:c r="G119" s="130" t="str">
        <x:v>No</x:v>
      </x:c>
      <x:c r="H119" s="130" t="str"/>
    </x:row>
    <x:row r="120">
      <x:c r="A120" s="130" t="str">
        <x:v>DRV-006</x:v>
      </x:c>
      <x:c r="B120" s="130" t="str">
        <x:v>Marcus Chen</x:v>
      </x:c>
      <x:c r="C120" s="130" t="str">
        <x:v>FM Leave</x:v>
      </x:c>
      <x:c r="D120" s="130" t="n">
        <x:v>13.794</x:v>
      </x:c>
      <x:c r="E120" s="130" t="n">
        <x:v>15.0942</x:v>
      </x:c>
      <x:c r="F120" s="130" t="n">
        <x:v>1.3002000000000002</x:v>
      </x:c>
      <x:c r="G120" s="130" t="str">
        <x:v>No</x:v>
      </x:c>
      <x:c r="H120" s="130" t="str"/>
    </x:row>
    <x:row r="121">
      <x:c r="A121" s="130" t="str">
        <x:v>DRV-006</x:v>
      </x:c>
      <x:c r="B121" s="130" t="str">
        <x:v>Marcus Chen</x:v>
      </x:c>
      <x:c r="C121" s="130" t="str">
        <x:v>Family Support</x:v>
      </x:c>
      <x:c r="D121" s="130" t="n">
        <x:v>0</x:v>
      </x:c>
      <x:c r="E121" s="130" t="n">
        <x:v>0</x:v>
      </x:c>
      <x:c r="F121" s="130" t="n">
        <x:v>0</x:v>
      </x:c>
      <x:c r="G121" s="130" t="str">
        <x:v>Yes</x:v>
      </x:c>
      <x:c r="H121" s="130" t="str"/>
    </x:row>
    <x:row r="122">
      <x:c r="A122" s="130" t="str">
        <x:v>DRV-006</x:v>
      </x:c>
      <x:c r="B122" s="130" t="str">
        <x:v>Marcus Chen</x:v>
      </x:c>
      <x:c r="C122" s="130" t="str">
        <x:v>Insurance Premiums</x:v>
      </x:c>
      <x:c r="D122" s="130" t="n">
        <x:v>0</x:v>
      </x:c>
      <x:c r="E122" s="130" t="n">
        <x:v>0</x:v>
      </x:c>
      <x:c r="F122" s="130" t="n">
        <x:v>0</x:v>
      </x:c>
      <x:c r="G122" s="130" t="str">
        <x:v>Yes</x:v>
      </x:c>
      <x:c r="H122" s="130" t="str"/>
    </x:row>
    <x:row r="123">
      <x:c r="A123" s="130" t="str">
        <x:v>DRV-006</x:v>
      </x:c>
      <x:c r="B123" s="130" t="str">
        <x:v>Marcus Chen</x:v>
      </x:c>
      <x:c r="C123" s="130" t="str">
        <x:v>Credit Union Savings Club</x:v>
      </x:c>
      <x:c r="D123" s="130" t="n">
        <x:v>0</x:v>
      </x:c>
      <x:c r="E123" s="130" t="n">
        <x:v>0</x:v>
      </x:c>
      <x:c r="F123" s="130" t="n">
        <x:v>0</x:v>
      </x:c>
      <x:c r="G123" s="130" t="str">
        <x:v>Yes</x:v>
      </x:c>
      <x:c r="H123" s="130" t="str"/>
    </x:row>
    <x:row r="124">
      <x:c r="A124" s="130" t="str">
        <x:v>DRV-006</x:v>
      </x:c>
      <x:c r="B124" s="130" t="str">
        <x:v>Marcus Chen</x:v>
      </x:c>
      <x:c r="C124" s="130" t="str">
        <x:v>401(k) Contribution</x:v>
      </x:c>
      <x:c r="D124" s="130" t="n">
        <x:v>62.699999999999996</x:v>
      </x:c>
      <x:c r="E124" s="130" t="n">
        <x:v>68.61</x:v>
      </x:c>
      <x:c r="F124" s="130" t="n">
        <x:v>5.910000000000004</x:v>
      </x:c>
      <x:c r="G124" s="130" t="str">
        <x:v>No</x:v>
      </x:c>
      <x:c r="H124" s="130" t="str"/>
    </x:row>
    <x:row r="125">
      <x:c r="A125" s="130" t="str">
        <x:v>DRV-006</x:v>
      </x:c>
      <x:c r="B125" s="130" t="str">
        <x:v>Marcus Chen</x:v>
      </x:c>
      <x:c r="C125" s="130" t="str">
        <x:v>HSA/FSA Health Deduction</x:v>
      </x:c>
      <x:c r="D125" s="130" t="n">
        <x:v>0</x:v>
      </x:c>
      <x:c r="E125" s="130" t="n">
        <x:v>0</x:v>
      </x:c>
      <x:c r="F125" s="130" t="n">
        <x:v>0</x:v>
      </x:c>
      <x:c r="G125" s="130" t="str">
        <x:v>Yes</x:v>
      </x:c>
      <x:c r="H125" s="130" t="str"/>
    </x:row>
    <x:row r="126">
      <x:c r="A126" s="130" t="str">
        <x:v>DRV-006</x:v>
      </x:c>
      <x:c r="B126" s="130" t="str">
        <x:v>Marcus Chen</x:v>
      </x:c>
      <x:c r="C126" s="130" t="str">
        <x:v>Health Insurance Premiums</x:v>
      </x:c>
      <x:c r="D126" s="130" t="n">
        <x:v>0</x:v>
      </x:c>
      <x:c r="E126" s="130" t="n">
        <x:v>0</x:v>
      </x:c>
      <x:c r="F126" s="130" t="n">
        <x:v>0</x:v>
      </x:c>
      <x:c r="G126" s="130" t="str">
        <x:v>Yes</x:v>
      </x:c>
      <x:c r="H126" s="130" t="str"/>
    </x:row>
    <x:row r="127">
      <x:c r="A127" s="130" t="str">
        <x:v>DRV-006</x:v>
      </x:c>
      <x:c r="B127" s="130" t="str">
        <x:v>Marcus Chen</x:v>
      </x:c>
      <x:c r="C127" s="130" t="str">
        <x:v>Life Insurance Above 50k</x:v>
      </x:c>
      <x:c r="D127" s="130" t="n">
        <x:v>24.94</x:v>
      </x:c>
      <x:c r="E127" s="130" t="n">
        <x:v>4.94</x:v>
      </x:c>
      <x:c r="F127" s="130" t="n">
        <x:v>-20</x:v>
      </x:c>
      <x:c r="G127" s="130" t="str">
        <x:v>No</x:v>
      </x:c>
      <x:c r="H127" s="130" t="str"/>
    </x:row>
    <x:row r="128">
      <x:c r="A128" s="130" t="str">
        <x:v>DRV-006</x:v>
      </x:c>
      <x:c r="B128" s="130" t="str">
        <x:v>Marcus Chen</x:v>
      </x:c>
      <x:c r="C128" s="130" t="str">
        <x:v>Total Deductions</x:v>
      </x:c>
      <x:c r="D128" s="130" t="n">
        <x:v>720.0740000000001</x:v>
      </x:c>
      <x:c r="E128" s="130" t="n">
        <x:v>1521.4038</x:v>
      </x:c>
      <x:c r="F128" s="130" t="n">
        <x:v>801.3298</x:v>
      </x:c>
      <x:c r="G128" s="130" t="str">
        <x:v>No</x:v>
      </x:c>
      <x:c r="H128" s="130" t="str"/>
    </x:row>
    <x:row r="129">
      <x:c r="A129" s="130" t="str">
        <x:v>DRV-006</x:v>
      </x:c>
      <x:c r="B129" s="130" t="str">
        <x:v>Marcus Chen</x:v>
      </x:c>
      <x:c r="C129" s="130" t="str">
        <x:v>Fuel Reimb.</x:v>
      </x:c>
      <x:c r="D129" s="130" t="n">
        <x:v>0</x:v>
      </x:c>
      <x:c r="E129" s="130" t="n">
        <x:v>0</x:v>
      </x:c>
      <x:c r="F129" s="130" t="n">
        <x:v>0</x:v>
      </x:c>
      <x:c r="G129" s="130" t="str">
        <x:v>Yes</x:v>
      </x:c>
      <x:c r="H129" s="130" t="str"/>
    </x:row>
    <x:row r="130">
      <x:c r="A130" s="130" t="str">
        <x:v>DRV-006</x:v>
      </x:c>
      <x:c r="B130" s="130" t="str">
        <x:v>Marcus Chen</x:v>
      </x:c>
      <x:c r="C130" s="130" t="str">
        <x:v>Net Pay</x:v>
      </x:c>
      <x:c r="D130" s="130" t="n">
        <x:v>1441.926</x:v>
      </x:c>
      <x:c r="E130" s="130" t="n">
        <x:v>765.5962</x:v>
      </x:c>
      <x:c r="F130" s="130" t="n">
        <x:v>-676.3298</x:v>
      </x:c>
      <x:c r="G130" s="130" t="str">
        <x:v>No</x:v>
      </x:c>
      <x:c r="H130" s="130" t="str"/>
    </x:row>
    <x:row r="131">
      <x:c r="A131" s="130" t="str">
        <x:v>DRV-006</x:v>
      </x:c>
      <x:c r="B131" s="130" t="str">
        <x:v>Marcus Chen</x:v>
      </x:c>
      <x:c r="C131" s="130" t="str">
        <x:v>Status</x:v>
      </x:c>
      <x:c r="D131" s="130" t="str">
        <x:v>PAID</x:v>
      </x:c>
      <x:c r="E131" s="130" t="str">
        <x:v>Paid</x:v>
      </x:c>
      <x:c r="F131" s="130"/>
      <x:c r="G131" s="130" t="str">
        <x:v>Yes</x:v>
      </x:c>
      <x:c r="H131" s="130" t="str"/>
    </x:row>
    <x:row r="132">
      <x:c r="A132" s="130" t="str">
        <x:v>DRV-006</x:v>
      </x:c>
      <x:c r="B132" s="130" t="str">
        <x:v>Marcus Chen</x:v>
      </x:c>
      <x:c r="C132" s="130" t="str">
        <x:v>Pending Reason</x:v>
      </x:c>
      <x:c r="D132" s="130"/>
      <x:c r="E132" s="130" t="str">
        <x:v>N/A</x:v>
      </x:c>
      <x:c r="F132" s="130"/>
      <x:c r="G132" s="130" t="str">
        <x:v>No</x:v>
      </x:c>
      <x:c r="H132" s="130" t="str"/>
    </x:row>
    <x:row r="133">
      <x:c r="A133" s="130" t="str">
        <x:v>DRV-006</x:v>
      </x:c>
      <x:c r="B133" s="130" t="str">
        <x:v>Marcus Chen</x:v>
      </x:c>
      <x:c r="C133" s="130" t="str">
        <x:v>401(k) Rate</x:v>
      </x:c>
      <x:c r="D133" s="130" t="n">
        <x:v>0.03</x:v>
      </x:c>
      <x:c r="E133" s="130" t="n">
        <x:v>0.03</x:v>
      </x:c>
      <x:c r="F133" s="130" t="n">
        <x:v>0</x:v>
      </x:c>
      <x:c r="G133" s="130" t="str">
        <x:v>Yes</x:v>
      </x:c>
      <x:c r="H133" s="130" t="str"/>
    </x:row>
    <x:row r="134">
      <x:c r="A134" s="130" t="str">
        <x:v>DRV-007</x:v>
      </x:c>
      <x:c r="B134" s="130" t="str">
        <x:v>Sofia Gomez</x:v>
      </x:c>
      <x:c r="C134" s="130" t="str">
        <x:v>Base Earnings</x:v>
      </x:c>
      <x:c r="D134" s="130" t="n">
        <x:v>1975</x:v>
      </x:c>
      <x:c r="E134" s="130" t="n">
        <x:v>1975</x:v>
      </x:c>
      <x:c r="F134" s="130" t="n">
        <x:v>0</x:v>
      </x:c>
      <x:c r="G134" s="130" t="str">
        <x:v>Yes</x:v>
      </x:c>
      <x:c r="H134" s="130" t="str"/>
    </x:row>
    <x:row r="135">
      <x:c r="A135" s="130" t="str">
        <x:v>DRV-007</x:v>
      </x:c>
      <x:c r="B135" s="130" t="str">
        <x:v>Sofia Gomez</x:v>
      </x:c>
      <x:c r="C135" s="130" t="str">
        <x:v>Backhaul Pay</x:v>
      </x:c>
      <x:c r="D135" s="130" t="n">
        <x:v>58</x:v>
      </x:c>
      <x:c r="E135" s="130" t="n">
        <x:v>58</x:v>
      </x:c>
      <x:c r="F135" s="130" t="n">
        <x:v>0</x:v>
      </x:c>
      <x:c r="G135" s="130" t="str">
        <x:v>Yes</x:v>
      </x:c>
      <x:c r="H135" s="130" t="str"/>
    </x:row>
    <x:row r="136">
      <x:c r="A136" s="130" t="str">
        <x:v>DRV-007</x:v>
      </x:c>
      <x:c r="B136" s="130" t="str">
        <x:v>Sofia Gomez</x:v>
      </x:c>
      <x:c r="C136" s="130" t="str">
        <x:v>Gross Pay</x:v>
      </x:c>
      <x:c r="D136" s="130" t="n">
        <x:v>2033</x:v>
      </x:c>
      <x:c r="E136" s="130" t="n">
        <x:v>2158</x:v>
      </x:c>
      <x:c r="F136" s="130" t="n">
        <x:v>125</x:v>
      </x:c>
      <x:c r="G136" s="130" t="str">
        <x:v>No</x:v>
      </x:c>
      <x:c r="H136" s="130" t="str"/>
    </x:row>
    <x:row r="137">
      <x:c r="A137" s="130" t="str">
        <x:v>DRV-007</x:v>
      </x:c>
      <x:c r="B137" s="130" t="str">
        <x:v>Sofia Gomez</x:v>
      </x:c>
      <x:c r="C137" s="130" t="str">
        <x:v>FICA</x:v>
      </x:c>
      <x:c r="D137" s="130" t="n">
        <x:v>122.45</x:v>
      </x:c>
      <x:c r="E137" s="130" t="n">
        <x:v>133.796</x:v>
      </x:c>
      <x:c r="F137" s="130" t="n">
        <x:v>11.34599999999999</x:v>
      </x:c>
      <x:c r="G137" s="130" t="str">
        <x:v>No</x:v>
      </x:c>
      <x:c r="H137" s="130" t="str"/>
    </x:row>
    <x:row r="138">
      <x:c r="A138" s="130" t="str">
        <x:v>DRV-007</x:v>
      </x:c>
      <x:c r="B138" s="130" t="str">
        <x:v>Sofia Gomez</x:v>
      </x:c>
      <x:c r="C138" s="130" t="str">
        <x:v>OASDI</x:v>
      </x:c>
      <x:c r="D138" s="130" t="n">
        <x:v>28.637500000000003</x:v>
      </x:c>
      <x:c r="E138" s="130" t="n">
        <x:v>31.291</x:v>
      </x:c>
      <x:c r="F138" s="130" t="n">
        <x:v>2.6534999999999975</x:v>
      </x:c>
      <x:c r="G138" s="130" t="str">
        <x:v>No</x:v>
      </x:c>
      <x:c r="H138" s="130" t="str"/>
    </x:row>
    <x:row r="139">
      <x:c r="A139" s="130" t="str">
        <x:v>DRV-007</x:v>
      </x:c>
      <x:c r="B139" s="130" t="str">
        <x:v>Sofia Gomez</x:v>
      </x:c>
      <x:c r="C139" s="130" t="str">
        <x:v>Federal Withholding</x:v>
      </x:c>
      <x:c r="D139" s="130" t="n">
        <x:v>355.5</x:v>
      </x:c>
      <x:c r="E139" s="130" t="n">
        <x:v>388.44</x:v>
      </x:c>
      <x:c r="F139" s="130" t="n">
        <x:v>32.94</x:v>
      </x:c>
      <x:c r="G139" s="130" t="str">
        <x:v>No</x:v>
      </x:c>
      <x:c r="H139" s="130" t="str"/>
    </x:row>
    <x:row r="140">
      <x:c r="A140" s="130" t="str">
        <x:v>DRV-007</x:v>
      </x:c>
      <x:c r="B140" s="130" t="str">
        <x:v>Sofia Gomez</x:v>
      </x:c>
      <x:c r="C140" s="130" t="str">
        <x:v>State Withholding</x:v>
      </x:c>
      <x:c r="D140" s="130" t="n">
        <x:v>69.125</x:v>
      </x:c>
      <x:c r="E140" s="130" t="n">
        <x:v>75.53</x:v>
      </x:c>
      <x:c r="F140" s="130" t="n">
        <x:v>6.405000000000001</x:v>
      </x:c>
      <x:c r="G140" s="130" t="str">
        <x:v>No</x:v>
      </x:c>
      <x:c r="H140" s="130" t="str"/>
    </x:row>
    <x:row r="141">
      <x:c r="A141" s="130" t="str">
        <x:v>DRV-007</x:v>
      </x:c>
      <x:c r="B141" s="130" t="str">
        <x:v>Sofia Gomez</x:v>
      </x:c>
      <x:c r="C141" s="130" t="str">
        <x:v>SDI</x:v>
      </x:c>
      <x:c r="D141" s="130" t="n">
        <x:v>8.8875</x:v>
      </x:c>
      <x:c r="E141" s="130" t="n">
        <x:v>9.710999999999999</x:v>
      </x:c>
      <x:c r="F141" s="130" t="n">
        <x:v>0.8234999999999992</x:v>
      </x:c>
      <x:c r="G141" s="130" t="str">
        <x:v>No</x:v>
      </x:c>
      <x:c r="H141" s="130" t="str"/>
    </x:row>
    <x:row r="142">
      <x:c r="A142" s="130" t="str">
        <x:v>DRV-007</x:v>
      </x:c>
      <x:c r="B142" s="130" t="str">
        <x:v>Sofia Gomez</x:v>
      </x:c>
      <x:c r="C142" s="130" t="str">
        <x:v>FM Leave</x:v>
      </x:c>
      <x:c r="D142" s="130" t="n">
        <x:v>13.035</x:v>
      </x:c>
      <x:c r="E142" s="130" t="n">
        <x:v>14.2428</x:v>
      </x:c>
      <x:c r="F142" s="130" t="n">
        <x:v>1.2078000000000007</x:v>
      </x:c>
      <x:c r="G142" s="130" t="str">
        <x:v>No</x:v>
      </x:c>
      <x:c r="H142" s="130" t="str"/>
    </x:row>
    <x:row r="143">
      <x:c r="A143" s="130" t="str">
        <x:v>DRV-007</x:v>
      </x:c>
      <x:c r="B143" s="130" t="str">
        <x:v>Sofia Gomez</x:v>
      </x:c>
      <x:c r="C143" s="130" t="str">
        <x:v>Family Support</x:v>
      </x:c>
      <x:c r="D143" s="130" t="n">
        <x:v>246.6</x:v>
      </x:c>
      <x:c r="E143" s="130" t="n">
        <x:v>246.6</x:v>
      </x:c>
      <x:c r="F143" s="130" t="n">
        <x:v>0</x:v>
      </x:c>
      <x:c r="G143" s="130" t="str">
        <x:v>Yes</x:v>
      </x:c>
      <x:c r="H143" s="130" t="str"/>
    </x:row>
    <x:row r="144">
      <x:c r="A144" s="130" t="str">
        <x:v>DRV-007</x:v>
      </x:c>
      <x:c r="B144" s="130" t="str">
        <x:v>Sofia Gomez</x:v>
      </x:c>
      <x:c r="C144" s="130" t="str">
        <x:v>Insurance Premiums</x:v>
      </x:c>
      <x:c r="D144" s="130" t="n">
        <x:v>146.97</x:v>
      </x:c>
      <x:c r="E144" s="130" t="n">
        <x:v>146.97</x:v>
      </x:c>
      <x:c r="F144" s="130" t="n">
        <x:v>0</x:v>
      </x:c>
      <x:c r="G144" s="130" t="str">
        <x:v>Yes</x:v>
      </x:c>
      <x:c r="H144" s="130" t="str"/>
    </x:row>
    <x:row r="145">
      <x:c r="A145" s="130" t="str">
        <x:v>DRV-007</x:v>
      </x:c>
      <x:c r="B145" s="130" t="str">
        <x:v>Sofia Gomez</x:v>
      </x:c>
      <x:c r="C145" s="130" t="str">
        <x:v>Credit Union Savings Club</x:v>
      </x:c>
      <x:c r="D145" s="130" t="n">
        <x:v>0</x:v>
      </x:c>
      <x:c r="E145" s="130" t="n">
        <x:v>0</x:v>
      </x:c>
      <x:c r="F145" s="130" t="n">
        <x:v>0</x:v>
      </x:c>
      <x:c r="G145" s="130" t="str">
        <x:v>Yes</x:v>
      </x:c>
      <x:c r="H145" s="130" t="str"/>
    </x:row>
    <x:row r="146">
      <x:c r="A146" s="130" t="str">
        <x:v>DRV-007</x:v>
      </x:c>
      <x:c r="B146" s="130" t="str">
        <x:v>Sofia Gomez</x:v>
      </x:c>
      <x:c r="C146" s="130" t="str">
        <x:v>401(k) Contribution</x:v>
      </x:c>
      <x:c r="D146" s="130" t="n">
        <x:v>98.75</x:v>
      </x:c>
      <x:c r="E146" s="130" t="n">
        <x:v>107.9</x:v>
      </x:c>
      <x:c r="F146" s="130" t="n">
        <x:v>9.150000000000006</x:v>
      </x:c>
      <x:c r="G146" s="130" t="str">
        <x:v>No</x:v>
      </x:c>
      <x:c r="H146" s="130" t="str"/>
    </x:row>
    <x:row r="147">
      <x:c r="A147" s="130" t="str">
        <x:v>DRV-007</x:v>
      </x:c>
      <x:c r="B147" s="130" t="str">
        <x:v>Sofia Gomez</x:v>
      </x:c>
      <x:c r="C147" s="130" t="str">
        <x:v>HSA/FSA Health Deduction</x:v>
      </x:c>
      <x:c r="D147" s="130" t="n">
        <x:v>0</x:v>
      </x:c>
      <x:c r="E147" s="130" t="n">
        <x:v>0</x:v>
      </x:c>
      <x:c r="F147" s="130" t="n">
        <x:v>0</x:v>
      </x:c>
      <x:c r="G147" s="130" t="str">
        <x:v>Yes</x:v>
      </x:c>
      <x:c r="H147" s="130" t="str"/>
    </x:row>
    <x:row r="148">
      <x:c r="A148" s="130" t="str">
        <x:v>DRV-007</x:v>
      </x:c>
      <x:c r="B148" s="130" t="str">
        <x:v>Sofia Gomez</x:v>
      </x:c>
      <x:c r="C148" s="130" t="str">
        <x:v>Health Insurance Premiums</x:v>
      </x:c>
      <x:c r="D148" s="130" t="n">
        <x:v>0</x:v>
      </x:c>
      <x:c r="E148" s="130" t="n">
        <x:v>0</x:v>
      </x:c>
      <x:c r="F148" s="130" t="n">
        <x:v>0</x:v>
      </x:c>
      <x:c r="G148" s="130" t="str">
        <x:v>Yes</x:v>
      </x:c>
      <x:c r="H148" s="130" t="str"/>
    </x:row>
    <x:row r="149">
      <x:c r="A149" s="130" t="str">
        <x:v>DRV-007</x:v>
      </x:c>
      <x:c r="B149" s="130" t="str">
        <x:v>Sofia Gomez</x:v>
      </x:c>
      <x:c r="C149" s="130" t="str">
        <x:v>Life Insurance Above 50k</x:v>
      </x:c>
      <x:c r="D149" s="130" t="n">
        <x:v>7.04</x:v>
      </x:c>
      <x:c r="E149" s="130" t="n">
        <x:v>7.04</x:v>
      </x:c>
      <x:c r="F149" s="130" t="n">
        <x:v>0</x:v>
      </x:c>
      <x:c r="G149" s="130" t="str">
        <x:v>Yes</x:v>
      </x:c>
      <x:c r="H149" s="130" t="str"/>
    </x:row>
    <x:row r="150">
      <x:c r="A150" s="130" t="str">
        <x:v>DRV-007</x:v>
      </x:c>
      <x:c r="B150" s="130" t="str">
        <x:v>Sofia Gomez</x:v>
      </x:c>
      <x:c r="C150" s="130" t="str">
        <x:v>Total Deductions</x:v>
      </x:c>
      <x:c r="D150" s="130" t="n">
        <x:v>1096.995</x:v>
      </x:c>
      <x:c r="E150" s="130" t="n">
        <x:v>996.4792000000001</x:v>
      </x:c>
      <x:c r="F150" s="130" t="n">
        <x:v>-100.51579999999979</x:v>
      </x:c>
      <x:c r="G150" s="130" t="str">
        <x:v>No</x:v>
      </x:c>
      <x:c r="H150" s="130" t="str"/>
    </x:row>
    <x:row r="151">
      <x:c r="A151" s="130" t="str">
        <x:v>DRV-007</x:v>
      </x:c>
      <x:c r="B151" s="130" t="str">
        <x:v>Sofia Gomez</x:v>
      </x:c>
      <x:c r="C151" s="130" t="str">
        <x:v>Fuel Reimb.</x:v>
      </x:c>
      <x:c r="D151" s="130" t="n">
        <x:v>0</x:v>
      </x:c>
      <x:c r="E151" s="130" t="n">
        <x:v>0</x:v>
      </x:c>
      <x:c r="F151" s="130" t="n">
        <x:v>0</x:v>
      </x:c>
      <x:c r="G151" s="130" t="str">
        <x:v>Yes</x:v>
      </x:c>
      <x:c r="H151" s="130" t="str"/>
    </x:row>
    <x:row r="152">
      <x:c r="A152" s="130" t="str">
        <x:v>DRV-007</x:v>
      </x:c>
      <x:c r="B152" s="130" t="str">
        <x:v>Sofia Gomez</x:v>
      </x:c>
      <x:c r="C152" s="130" t="str">
        <x:v>Net Pay</x:v>
      </x:c>
      <x:c r="D152" s="130" t="n">
        <x:v>936.0050000000001</x:v>
      </x:c>
      <x:c r="E152" s="130" t="n">
        <x:v>1161.5207999999998</x:v>
      </x:c>
      <x:c r="F152" s="130" t="n">
        <x:v>225.51579999999967</x:v>
      </x:c>
      <x:c r="G152" s="130" t="str">
        <x:v>No</x:v>
      </x:c>
      <x:c r="H152" s="130" t="str"/>
    </x:row>
    <x:row r="153">
      <x:c r="A153" s="130" t="str">
        <x:v>DRV-007</x:v>
      </x:c>
      <x:c r="B153" s="130" t="str">
        <x:v>Sofia Gomez</x:v>
      </x:c>
      <x:c r="C153" s="130" t="str">
        <x:v>Status</x:v>
      </x:c>
      <x:c r="D153" s="130" t="str">
        <x:v>PAID</x:v>
      </x:c>
      <x:c r="E153" s="130" t="str">
        <x:v>Paid</x:v>
      </x:c>
      <x:c r="F153" s="130"/>
      <x:c r="G153" s="130" t="str">
        <x:v>Yes</x:v>
      </x:c>
      <x:c r="H153" s="130" t="str"/>
    </x:row>
    <x:row r="154">
      <x:c r="A154" s="130" t="str">
        <x:v>DRV-007</x:v>
      </x:c>
      <x:c r="B154" s="130" t="str">
        <x:v>Sofia Gomez</x:v>
      </x:c>
      <x:c r="C154" s="130" t="str">
        <x:v>Pending Reason</x:v>
      </x:c>
      <x:c r="D154" s="130"/>
      <x:c r="E154" s="130" t="str">
        <x:v>N/A</x:v>
      </x:c>
      <x:c r="F154" s="130"/>
      <x:c r="G154" s="130" t="str">
        <x:v>No</x:v>
      </x:c>
      <x:c r="H154" s="130" t="str"/>
    </x:row>
    <x:row r="155">
      <x:c r="A155" s="130" t="str">
        <x:v>DRV-007</x:v>
      </x:c>
      <x:c r="B155" s="130" t="str">
        <x:v>Sofia Gomez</x:v>
      </x:c>
      <x:c r="C155" s="130" t="str">
        <x:v>401(k) Rate</x:v>
      </x:c>
      <x:c r="D155" s="130" t="n">
        <x:v>0.05</x:v>
      </x:c>
      <x:c r="E155" s="130" t="n">
        <x:v>0.05</x:v>
      </x:c>
      <x:c r="F155" s="130" t="n">
        <x:v>0</x:v>
      </x:c>
      <x:c r="G155" s="130" t="str">
        <x:v>Yes</x:v>
      </x:c>
      <x:c r="H155" s="130" t="str"/>
    </x:row>
    <x:row r="156">
      <x:c r="A156" s="130" t="str">
        <x:v>DRV-008</x:v>
      </x:c>
      <x:c r="B156" s="130" t="str">
        <x:v>Liam Smith</x:v>
      </x:c>
      <x:c r="C156" s="130" t="str">
        <x:v>Base Earnings</x:v>
      </x:c>
      <x:c r="D156" s="130" t="n">
        <x:v>2165</x:v>
      </x:c>
      <x:c r="E156" s="130" t="n">
        <x:v>2165</x:v>
      </x:c>
      <x:c r="F156" s="130" t="n">
        <x:v>0</x:v>
      </x:c>
      <x:c r="G156" s="130" t="str">
        <x:v>Yes</x:v>
      </x:c>
      <x:c r="H156" s="130" t="str"/>
    </x:row>
    <x:row r="157">
      <x:c r="A157" s="130" t="str">
        <x:v>DRV-008</x:v>
      </x:c>
      <x:c r="B157" s="130" t="str">
        <x:v>Liam Smith</x:v>
      </x:c>
      <x:c r="C157" s="130" t="str">
        <x:v>Backhaul Pay</x:v>
      </x:c>
      <x:c r="D157" s="130" t="n">
        <x:v>81</x:v>
      </x:c>
      <x:c r="E157" s="130" t="n">
        <x:v>81</x:v>
      </x:c>
      <x:c r="F157" s="130" t="n">
        <x:v>0</x:v>
      </x:c>
      <x:c r="G157" s="130" t="str">
        <x:v>Yes</x:v>
      </x:c>
      <x:c r="H157" s="130" t="str"/>
    </x:row>
    <x:row r="158">
      <x:c r="A158" s="130" t="str">
        <x:v>DRV-008</x:v>
      </x:c>
      <x:c r="B158" s="130" t="str">
        <x:v>Liam Smith</x:v>
      </x:c>
      <x:c r="C158" s="130" t="str">
        <x:v>Gross Pay</x:v>
      </x:c>
      <x:c r="D158" s="130" t="n">
        <x:v>2246</x:v>
      </x:c>
      <x:c r="E158" s="130" t="n">
        <x:v>2271</x:v>
      </x:c>
      <x:c r="F158" s="130" t="n">
        <x:v>25</x:v>
      </x:c>
      <x:c r="G158" s="130" t="str">
        <x:v>No</x:v>
      </x:c>
      <x:c r="H158" s="130" t="str"/>
    </x:row>
    <x:row r="159">
      <x:c r="A159" s="130" t="str">
        <x:v>DRV-008</x:v>
      </x:c>
      <x:c r="B159" s="130" t="str">
        <x:v>Liam Smith</x:v>
      </x:c>
      <x:c r="C159" s="130" t="str">
        <x:v>FICA</x:v>
      </x:c>
      <x:c r="D159" s="130" t="n">
        <x:v>134.23</x:v>
      </x:c>
      <x:c r="E159" s="130" t="n">
        <x:v>140.802</x:v>
      </x:c>
      <x:c r="F159" s="130" t="n">
        <x:v>6.572000000000003</x:v>
      </x:c>
      <x:c r="G159" s="130" t="str">
        <x:v>No</x:v>
      </x:c>
      <x:c r="H159" s="130" t="str"/>
    </x:row>
    <x:row r="160">
      <x:c r="A160" s="130" t="str">
        <x:v>DRV-008</x:v>
      </x:c>
      <x:c r="B160" s="130" t="str">
        <x:v>Liam Smith</x:v>
      </x:c>
      <x:c r="C160" s="130" t="str">
        <x:v>OASDI</x:v>
      </x:c>
      <x:c r="D160" s="130" t="n">
        <x:v>31.392500000000002</x:v>
      </x:c>
      <x:c r="E160" s="130" t="n">
        <x:v>32.929500000000004</x:v>
      </x:c>
      <x:c r="F160" s="130" t="n">
        <x:v>1.5370000000000026</x:v>
      </x:c>
      <x:c r="G160" s="130" t="str">
        <x:v>No</x:v>
      </x:c>
      <x:c r="H160" s="130" t="str"/>
    </x:row>
    <x:row r="161">
      <x:c r="A161" s="130" t="str">
        <x:v>DRV-008</x:v>
      </x:c>
      <x:c r="B161" s="130" t="str">
        <x:v>Liam Smith</x:v>
      </x:c>
      <x:c r="C161" s="130" t="str">
        <x:v>Federal Withholding</x:v>
      </x:c>
      <x:c r="D161" s="130" t="n">
        <x:v>389.7</x:v>
      </x:c>
      <x:c r="E161" s="130" t="n">
        <x:v>408.78</x:v>
      </x:c>
      <x:c r="F161" s="130" t="n">
        <x:v>19.079999999999984</x:v>
      </x:c>
      <x:c r="G161" s="130" t="str">
        <x:v>No</x:v>
      </x:c>
      <x:c r="H161" s="130" t="str"/>
    </x:row>
    <x:row r="162">
      <x:c r="A162" s="130" t="str">
        <x:v>DRV-008</x:v>
      </x:c>
      <x:c r="B162" s="130" t="str">
        <x:v>Liam Smith</x:v>
      </x:c>
      <x:c r="C162" s="130" t="str">
        <x:v>State Withholding</x:v>
      </x:c>
      <x:c r="D162" s="130" t="n">
        <x:v>75.775</x:v>
      </x:c>
      <x:c r="E162" s="130" t="n">
        <x:v>79.48500000000001</x:v>
      </x:c>
      <x:c r="F162" s="130" t="n">
        <x:v>3.710000000000008</x:v>
      </x:c>
      <x:c r="G162" s="130" t="str">
        <x:v>No</x:v>
      </x:c>
      <x:c r="H162" s="130" t="str"/>
    </x:row>
    <x:row r="163">
      <x:c r="A163" s="130" t="str">
        <x:v>DRV-008</x:v>
      </x:c>
      <x:c r="B163" s="130" t="str">
        <x:v>Liam Smith</x:v>
      </x:c>
      <x:c r="C163" s="130" t="str">
        <x:v>SDI</x:v>
      </x:c>
      <x:c r="D163" s="130" t="n">
        <x:v>9.7425</x:v>
      </x:c>
      <x:c r="E163" s="130" t="n">
        <x:v>10.2195</x:v>
      </x:c>
      <x:c r="F163" s="130" t="n">
        <x:v>0.4770000000000003</x:v>
      </x:c>
      <x:c r="G163" s="130" t="str">
        <x:v>No</x:v>
      </x:c>
      <x:c r="H163" s="130" t="str"/>
    </x:row>
    <x:row r="164">
      <x:c r="A164" s="130" t="str">
        <x:v>DRV-008</x:v>
      </x:c>
      <x:c r="B164" s="130" t="str">
        <x:v>Liam Smith</x:v>
      </x:c>
      <x:c r="C164" s="130" t="str">
        <x:v>FM Leave</x:v>
      </x:c>
      <x:c r="D164" s="130" t="n">
        <x:v>14.289</x:v>
      </x:c>
      <x:c r="E164" s="130" t="n">
        <x:v>14.9886</x:v>
      </x:c>
      <x:c r="F164" s="130" t="n">
        <x:v>0.6996000000000002</x:v>
      </x:c>
      <x:c r="G164" s="130" t="str">
        <x:v>No</x:v>
      </x:c>
      <x:c r="H164" s="130" t="str"/>
    </x:row>
    <x:row r="165">
      <x:c r="A165" s="130" t="str">
        <x:v>DRV-008</x:v>
      </x:c>
      <x:c r="B165" s="130" t="str">
        <x:v>Liam Smith</x:v>
      </x:c>
      <x:c r="C165" s="130" t="str">
        <x:v>Family Support</x:v>
      </x:c>
      <x:c r="D165" s="130" t="n">
        <x:v>0</x:v>
      </x:c>
      <x:c r="E165" s="130" t="n">
        <x:v>0</x:v>
      </x:c>
      <x:c r="F165" s="130" t="n">
        <x:v>0</x:v>
      </x:c>
      <x:c r="G165" s="130" t="str">
        <x:v>Yes</x:v>
      </x:c>
      <x:c r="H165" s="130" t="str"/>
    </x:row>
    <x:row r="166">
      <x:c r="A166" s="130" t="str">
        <x:v>DRV-008</x:v>
      </x:c>
      <x:c r="B166" s="130" t="str">
        <x:v>Liam Smith</x:v>
      </x:c>
      <x:c r="C166" s="130" t="str">
        <x:v>Insurance Premiums</x:v>
      </x:c>
      <x:c r="D166" s="130" t="n">
        <x:v>0</x:v>
      </x:c>
      <x:c r="E166" s="130" t="n">
        <x:v>0</x:v>
      </x:c>
      <x:c r="F166" s="130" t="n">
        <x:v>0</x:v>
      </x:c>
      <x:c r="G166" s="130" t="str">
        <x:v>Yes</x:v>
      </x:c>
      <x:c r="H166" s="130" t="str"/>
    </x:row>
    <x:row r="167">
      <x:c r="A167" s="130" t="str">
        <x:v>DRV-008</x:v>
      </x:c>
      <x:c r="B167" s="130" t="str">
        <x:v>Liam Smith</x:v>
      </x:c>
      <x:c r="C167" s="130" t="str">
        <x:v>Credit Union Savings Club</x:v>
      </x:c>
      <x:c r="D167" s="130" t="n">
        <x:v>45.02</x:v>
      </x:c>
      <x:c r="E167" s="130" t="n">
        <x:v>45.02</x:v>
      </x:c>
      <x:c r="F167" s="130" t="n">
        <x:v>0</x:v>
      </x:c>
      <x:c r="G167" s="130" t="str">
        <x:v>Yes</x:v>
      </x:c>
      <x:c r="H167" s="130" t="str"/>
    </x:row>
    <x:row r="168">
      <x:c r="A168" s="130" t="str">
        <x:v>DRV-008</x:v>
      </x:c>
      <x:c r="B168" s="130" t="str">
        <x:v>Liam Smith</x:v>
      </x:c>
      <x:c r="C168" s="130" t="str">
        <x:v>401(k) Contribution</x:v>
      </x:c>
      <x:c r="D168" s="130" t="n">
        <x:v>0</x:v>
      </x:c>
      <x:c r="E168" s="130" t="n">
        <x:v>0</x:v>
      </x:c>
      <x:c r="F168" s="130" t="n">
        <x:v>0</x:v>
      </x:c>
      <x:c r="G168" s="130" t="str">
        <x:v>Yes</x:v>
      </x:c>
      <x:c r="H168" s="130" t="str"/>
    </x:row>
    <x:row r="169">
      <x:c r="A169" s="130" t="str">
        <x:v>DRV-008</x:v>
      </x:c>
      <x:c r="B169" s="130" t="str">
        <x:v>Liam Smith</x:v>
      </x:c>
      <x:c r="C169" s="130" t="str">
        <x:v>HSA/FSA Health Deduction</x:v>
      </x:c>
      <x:c r="D169" s="130" t="n">
        <x:v>0</x:v>
      </x:c>
      <x:c r="E169" s="130" t="n">
        <x:v>0</x:v>
      </x:c>
      <x:c r="F169" s="130" t="n">
        <x:v>0</x:v>
      </x:c>
      <x:c r="G169" s="130" t="str">
        <x:v>Yes</x:v>
      </x:c>
      <x:c r="H169" s="130" t="str"/>
    </x:row>
    <x:row r="170">
      <x:c r="A170" s="130" t="str">
        <x:v>DRV-008</x:v>
      </x:c>
      <x:c r="B170" s="130" t="str">
        <x:v>Liam Smith</x:v>
      </x:c>
      <x:c r="C170" s="130" t="str">
        <x:v>Health Insurance Premiums</x:v>
      </x:c>
      <x:c r="D170" s="130" t="n">
        <x:v>111.66</x:v>
      </x:c>
      <x:c r="E170" s="130" t="n">
        <x:v>111.66</x:v>
      </x:c>
      <x:c r="F170" s="130" t="n">
        <x:v>0</x:v>
      </x:c>
      <x:c r="G170" s="130" t="str">
        <x:v>Yes</x:v>
      </x:c>
      <x:c r="H170" s="130" t="str"/>
    </x:row>
    <x:row r="171">
      <x:c r="A171" s="130" t="str">
        <x:v>DRV-008</x:v>
      </x:c>
      <x:c r="B171" s="130" t="str">
        <x:v>Liam Smith</x:v>
      </x:c>
      <x:c r="C171" s="130" t="str">
        <x:v>Life Insurance Above 50k</x:v>
      </x:c>
      <x:c r="D171" s="130" t="n">
        <x:v>0</x:v>
      </x:c>
      <x:c r="E171" s="130" t="n">
        <x:v>0</x:v>
      </x:c>
      <x:c r="F171" s="130" t="n">
        <x:v>0</x:v>
      </x:c>
      <x:c r="G171" s="130" t="str">
        <x:v>Yes</x:v>
      </x:c>
      <x:c r="H171" s="130" t="str"/>
    </x:row>
    <x:row r="172">
      <x:c r="A172" s="130" t="str">
        <x:v>DRV-008</x:v>
      </x:c>
      <x:c r="B172" s="130" t="str">
        <x:v>Liam Smith</x:v>
      </x:c>
      <x:c r="C172" s="130" t="str">
        <x:v>Total Deductions</x:v>
      </x:c>
      <x:c r="D172" s="130" t="n">
        <x:v>811.8089999999999</x:v>
      </x:c>
      <x:c r="E172" s="130" t="n">
        <x:v>1427.1154</x:v>
      </x:c>
      <x:c r="F172" s="130" t="n">
        <x:v>615.3064</x:v>
      </x:c>
      <x:c r="G172" s="130" t="str">
        <x:v>No</x:v>
      </x:c>
      <x:c r="H172" s="130" t="str"/>
    </x:row>
    <x:row r="173">
      <x:c r="A173" s="130" t="str">
        <x:v>DRV-008</x:v>
      </x:c>
      <x:c r="B173" s="130" t="str">
        <x:v>Liam Smith</x:v>
      </x:c>
      <x:c r="C173" s="130" t="str">
        <x:v>Fuel Reimb.</x:v>
      </x:c>
      <x:c r="D173" s="130" t="n">
        <x:v>0</x:v>
      </x:c>
      <x:c r="E173" s="130" t="n">
        <x:v>0</x:v>
      </x:c>
      <x:c r="F173" s="130" t="n">
        <x:v>0</x:v>
      </x:c>
      <x:c r="G173" s="130" t="str">
        <x:v>Yes</x:v>
      </x:c>
      <x:c r="H173" s="130" t="str"/>
    </x:row>
    <x:row r="174">
      <x:c r="A174" s="130" t="str">
        <x:v>DRV-008</x:v>
      </x:c>
      <x:c r="B174" s="130" t="str">
        <x:v>Liam Smith</x:v>
      </x:c>
      <x:c r="C174" s="130" t="str">
        <x:v>Net Pay</x:v>
      </x:c>
      <x:c r="D174" s="130" t="n">
        <x:v>1434.1910000000003</x:v>
      </x:c>
      <x:c r="E174" s="130" t="n">
        <x:v>843.8846000000001</x:v>
      </x:c>
      <x:c r="F174" s="130" t="n">
        <x:v>-590.3064000000002</x:v>
      </x:c>
      <x:c r="G174" s="130" t="str">
        <x:v>No</x:v>
      </x:c>
      <x:c r="H174" s="130" t="str"/>
    </x:row>
    <x:row r="175">
      <x:c r="A175" s="130" t="str">
        <x:v>DRV-008</x:v>
      </x:c>
      <x:c r="B175" s="130" t="str">
        <x:v>Liam Smith</x:v>
      </x:c>
      <x:c r="C175" s="130" t="str">
        <x:v>Status</x:v>
      </x:c>
      <x:c r="D175" s="130" t="str">
        <x:v>PENDING</x:v>
      </x:c>
      <x:c r="E175" s="130" t="str">
        <x:v>Pending</x:v>
      </x:c>
      <x:c r="F175" s="130"/>
      <x:c r="G175" s="130" t="str">
        <x:v>Yes</x:v>
      </x:c>
      <x:c r="H175" s="130" t="str"/>
    </x:row>
    <x:row r="176">
      <x:c r="A176" s="130" t="str">
        <x:v>DRV-008</x:v>
      </x:c>
      <x:c r="B176" s="130" t="str">
        <x:v>Liam Smith</x:v>
      </x:c>
      <x:c r="C176" s="130" t="str">
        <x:v>Pending Reason</x:v>
      </x:c>
      <x:c r="D176" s="130" t="str">
        <x:v>Load Verification</x:v>
      </x:c>
      <x:c r="E176" s="130" t="str">
        <x:v>Load Verification</x:v>
      </x:c>
      <x:c r="F176" s="130"/>
      <x:c r="G176" s="130" t="str">
        <x:v>Yes</x:v>
      </x:c>
      <x:c r="H176" s="130" t="str"/>
    </x:row>
    <x:row r="177">
      <x:c r="A177" s="130" t="str">
        <x:v>DRV-008</x:v>
      </x:c>
      <x:c r="B177" s="130" t="str">
        <x:v>Liam Smith</x:v>
      </x:c>
      <x:c r="C177" s="130" t="str">
        <x:v>401(k) Rate</x:v>
      </x:c>
      <x:c r="D177" s="130" t="n">
        <x:v>0</x:v>
      </x:c>
      <x:c r="E177" s="130" t="n">
        <x:v>0</x:v>
      </x:c>
      <x:c r="F177" s="130" t="n">
        <x:v>0</x:v>
      </x:c>
      <x:c r="G177" s="130" t="str">
        <x:v>Yes</x:v>
      </x:c>
      <x:c r="H177" s="130" t="str"/>
    </x:row>
    <x:row r="178">
      <x:c r="A178" s="130" t="str">
        <x:v>DRV-009</x:v>
      </x:c>
      <x:c r="B178" s="130" t="str">
        <x:v>Emma Brown</x:v>
      </x:c>
      <x:c r="C178" s="130" t="str">
        <x:v>Base Earnings</x:v>
      </x:c>
      <x:c r="D178" s="130" t="n">
        <x:v>2110</x:v>
      </x:c>
      <x:c r="E178" s="130" t="n">
        <x:v>2110</x:v>
      </x:c>
      <x:c r="F178" s="130" t="n">
        <x:v>0</x:v>
      </x:c>
      <x:c r="G178" s="130" t="str">
        <x:v>Yes</x:v>
      </x:c>
      <x:c r="H178" s="130" t="str"/>
    </x:row>
    <x:row r="179">
      <x:c r="A179" s="130" t="str">
        <x:v>DRV-009</x:v>
      </x:c>
      <x:c r="B179" s="130" t="str">
        <x:v>Emma Brown</x:v>
      </x:c>
      <x:c r="C179" s="130" t="str">
        <x:v>Backhaul Pay</x:v>
      </x:c>
      <x:c r="D179" s="130" t="n">
        <x:v>49</x:v>
      </x:c>
      <x:c r="E179" s="130" t="n">
        <x:v>49</x:v>
      </x:c>
      <x:c r="F179" s="130" t="n">
        <x:v>0</x:v>
      </x:c>
      <x:c r="G179" s="130" t="str">
        <x:v>Yes</x:v>
      </x:c>
      <x:c r="H179" s="130" t="str"/>
    </x:row>
    <x:row r="180">
      <x:c r="A180" s="130" t="str">
        <x:v>DRV-009</x:v>
      </x:c>
      <x:c r="B180" s="130" t="str">
        <x:v>Emma Brown</x:v>
      </x:c>
      <x:c r="C180" s="130" t="str">
        <x:v>Gross Pay</x:v>
      </x:c>
      <x:c r="D180" s="130" t="n">
        <x:v>2159</x:v>
      </x:c>
      <x:c r="E180" s="130" t="n">
        <x:v>2234</x:v>
      </x:c>
      <x:c r="F180" s="130" t="n">
        <x:v>75</x:v>
      </x:c>
      <x:c r="G180" s="130" t="str">
        <x:v>No</x:v>
      </x:c>
      <x:c r="H180" s="130" t="str"/>
    </x:row>
    <x:row r="181">
      <x:c r="A181" s="130" t="str">
        <x:v>DRV-009</x:v>
      </x:c>
      <x:c r="B181" s="130" t="str">
        <x:v>Emma Brown</x:v>
      </x:c>
      <x:c r="C181" s="130" t="str">
        <x:v>FICA</x:v>
      </x:c>
      <x:c r="D181" s="130" t="n">
        <x:v>130.82</x:v>
      </x:c>
      <x:c r="E181" s="130" t="n">
        <x:v>138.508</x:v>
      </x:c>
      <x:c r="F181" s="130" t="n">
        <x:v>7.688000000000017</x:v>
      </x:c>
      <x:c r="G181" s="130" t="str">
        <x:v>No</x:v>
      </x:c>
      <x:c r="H181" s="130" t="str"/>
    </x:row>
    <x:row r="182">
      <x:c r="A182" s="130" t="str">
        <x:v>DRV-009</x:v>
      </x:c>
      <x:c r="B182" s="130" t="str">
        <x:v>Emma Brown</x:v>
      </x:c>
      <x:c r="C182" s="130" t="str">
        <x:v>OASDI</x:v>
      </x:c>
      <x:c r="D182" s="130" t="n">
        <x:v>30.595000000000002</x:v>
      </x:c>
      <x:c r="E182" s="130" t="n">
        <x:v>32.393</x:v>
      </x:c>
      <x:c r="F182" s="130" t="n">
        <x:v>1.7979999999999983</x:v>
      </x:c>
      <x:c r="G182" s="130" t="str">
        <x:v>No</x:v>
      </x:c>
      <x:c r="H182" s="130" t="str"/>
    </x:row>
    <x:row r="183">
      <x:c r="A183" s="130" t="str">
        <x:v>DRV-009</x:v>
      </x:c>
      <x:c r="B183" s="130" t="str">
        <x:v>Emma Brown</x:v>
      </x:c>
      <x:c r="C183" s="130" t="str">
        <x:v>Federal Withholding</x:v>
      </x:c>
      <x:c r="D183" s="130" t="n">
        <x:v>379.8</x:v>
      </x:c>
      <x:c r="E183" s="130" t="n">
        <x:v>402.12</x:v>
      </x:c>
      <x:c r="F183" s="130" t="n">
        <x:v>22.319999999999993</x:v>
      </x:c>
      <x:c r="G183" s="130" t="str">
        <x:v>No</x:v>
      </x:c>
      <x:c r="H183" s="130" t="str"/>
    </x:row>
    <x:row r="184">
      <x:c r="A184" s="130" t="str">
        <x:v>DRV-009</x:v>
      </x:c>
      <x:c r="B184" s="130" t="str">
        <x:v>Emma Brown</x:v>
      </x:c>
      <x:c r="C184" s="130" t="str">
        <x:v>State Withholding</x:v>
      </x:c>
      <x:c r="D184" s="130" t="n">
        <x:v>73.85000000000001</x:v>
      </x:c>
      <x:c r="E184" s="130" t="n">
        <x:v>78.19000000000001</x:v>
      </x:c>
      <x:c r="F184" s="130" t="n">
        <x:v>4.340000000000003</x:v>
      </x:c>
      <x:c r="G184" s="130" t="str">
        <x:v>No</x:v>
      </x:c>
      <x:c r="H184" s="130" t="str"/>
    </x:row>
    <x:row r="185">
      <x:c r="A185" s="130" t="str">
        <x:v>DRV-009</x:v>
      </x:c>
      <x:c r="B185" s="130" t="str">
        <x:v>Emma Brown</x:v>
      </x:c>
      <x:c r="C185" s="130" t="str">
        <x:v>SDI</x:v>
      </x:c>
      <x:c r="D185" s="130" t="n">
        <x:v>9.495</x:v>
      </x:c>
      <x:c r="E185" s="130" t="n">
        <x:v>10.052999999999999</x:v>
      </x:c>
      <x:c r="F185" s="130" t="n">
        <x:v>0.5579999999999998</x:v>
      </x:c>
      <x:c r="G185" s="130" t="str">
        <x:v>No</x:v>
      </x:c>
      <x:c r="H185" s="130" t="str"/>
    </x:row>
    <x:row r="186">
      <x:c r="A186" s="130" t="str">
        <x:v>DRV-009</x:v>
      </x:c>
      <x:c r="B186" s="130" t="str">
        <x:v>Emma Brown</x:v>
      </x:c>
      <x:c r="C186" s="130" t="str">
        <x:v>FM Leave</x:v>
      </x:c>
      <x:c r="D186" s="130" t="n">
        <x:v>13.926</x:v>
      </x:c>
      <x:c r="E186" s="130" t="n">
        <x:v>14.7444</x:v>
      </x:c>
      <x:c r="F186" s="130" t="n">
        <x:v>0.8184000000000005</x:v>
      </x:c>
      <x:c r="G186" s="130" t="str">
        <x:v>No</x:v>
      </x:c>
      <x:c r="H186" s="130" t="str"/>
    </x:row>
    <x:row r="187">
      <x:c r="A187" s="130" t="str">
        <x:v>DRV-009</x:v>
      </x:c>
      <x:c r="B187" s="130" t="str">
        <x:v>Emma Brown</x:v>
      </x:c>
      <x:c r="C187" s="130" t="str">
        <x:v>Family Support</x:v>
      </x:c>
      <x:c r="D187" s="130" t="n">
        <x:v>67.76</x:v>
      </x:c>
      <x:c r="E187" s="130" t="n">
        <x:v>67.76</x:v>
      </x:c>
      <x:c r="F187" s="130" t="n">
        <x:v>0</x:v>
      </x:c>
      <x:c r="G187" s="130" t="str">
        <x:v>Yes</x:v>
      </x:c>
      <x:c r="H187" s="130" t="str"/>
    </x:row>
    <x:row r="188">
      <x:c r="A188" s="130" t="str">
        <x:v>DRV-009</x:v>
      </x:c>
      <x:c r="B188" s="130" t="str">
        <x:v>Emma Brown</x:v>
      </x:c>
      <x:c r="C188" s="130" t="str">
        <x:v>Insurance Premiums</x:v>
      </x:c>
      <x:c r="D188" s="130" t="n">
        <x:v>0</x:v>
      </x:c>
      <x:c r="E188" s="130" t="n">
        <x:v>0</x:v>
      </x:c>
      <x:c r="F188" s="130" t="n">
        <x:v>0</x:v>
      </x:c>
      <x:c r="G188" s="130" t="str">
        <x:v>Yes</x:v>
      </x:c>
      <x:c r="H188" s="130" t="str"/>
    </x:row>
    <x:row r="189">
      <x:c r="A189" s="130" t="str">
        <x:v>DRV-009</x:v>
      </x:c>
      <x:c r="B189" s="130" t="str">
        <x:v>Emma Brown</x:v>
      </x:c>
      <x:c r="C189" s="130" t="str">
        <x:v>Credit Union Savings Club</x:v>
      </x:c>
      <x:c r="D189" s="130" t="n">
        <x:v>0</x:v>
      </x:c>
      <x:c r="E189" s="130" t="n">
        <x:v>0</x:v>
      </x:c>
      <x:c r="F189" s="130" t="n">
        <x:v>0</x:v>
      </x:c>
      <x:c r="G189" s="130" t="str">
        <x:v>Yes</x:v>
      </x:c>
      <x:c r="H189" s="130" t="str"/>
    </x:row>
    <x:row r="190">
      <x:c r="A190" s="130" t="str">
        <x:v>DRV-009</x:v>
      </x:c>
      <x:c r="B190" s="130" t="str">
        <x:v>Emma Brown</x:v>
      </x:c>
      <x:c r="C190" s="130" t="str">
        <x:v>401(k) Contribution</x:v>
      </x:c>
      <x:c r="D190" s="130" t="n">
        <x:v>0</x:v>
      </x:c>
      <x:c r="E190" s="130" t="n">
        <x:v>0</x:v>
      </x:c>
      <x:c r="F190" s="130" t="n">
        <x:v>0</x:v>
      </x:c>
      <x:c r="G190" s="130" t="str">
        <x:v>Yes</x:v>
      </x:c>
      <x:c r="H190" s="130" t="str"/>
    </x:row>
    <x:row r="191">
      <x:c r="A191" s="130" t="str">
        <x:v>DRV-009</x:v>
      </x:c>
      <x:c r="B191" s="130" t="str">
        <x:v>Emma Brown</x:v>
      </x:c>
      <x:c r="C191" s="130" t="str">
        <x:v>HSA/FSA Health Deduction</x:v>
      </x:c>
      <x:c r="D191" s="130" t="n">
        <x:v>24.17</x:v>
      </x:c>
      <x:c r="E191" s="130" t="n">
        <x:v>24.17</x:v>
      </x:c>
      <x:c r="F191" s="130" t="n">
        <x:v>0</x:v>
      </x:c>
      <x:c r="G191" s="130" t="str">
        <x:v>Yes</x:v>
      </x:c>
      <x:c r="H191" s="130" t="str"/>
    </x:row>
    <x:row r="192">
      <x:c r="A192" s="130" t="str">
        <x:v>DRV-009</x:v>
      </x:c>
      <x:c r="B192" s="130" t="str">
        <x:v>Emma Brown</x:v>
      </x:c>
      <x:c r="C192" s="130" t="str">
        <x:v>Health Insurance Premiums</x:v>
      </x:c>
      <x:c r="D192" s="130" t="n">
        <x:v>0</x:v>
      </x:c>
      <x:c r="E192" s="130" t="n">
        <x:v>0</x:v>
      </x:c>
      <x:c r="F192" s="130" t="n">
        <x:v>0</x:v>
      </x:c>
      <x:c r="G192" s="130" t="str">
        <x:v>Yes</x:v>
      </x:c>
      <x:c r="H192" s="130" t="str"/>
    </x:row>
    <x:row r="193">
      <x:c r="A193" s="130" t="str">
        <x:v>DRV-009</x:v>
      </x:c>
      <x:c r="B193" s="130" t="str">
        <x:v>Emma Brown</x:v>
      </x:c>
      <x:c r="C193" s="130" t="str">
        <x:v>Life Insurance Above 50k</x:v>
      </x:c>
      <x:c r="D193" s="130" t="n">
        <x:v>0</x:v>
      </x:c>
      <x:c r="E193" s="130" t="n">
        <x:v>0</x:v>
      </x:c>
      <x:c r="F193" s="130" t="n">
        <x:v>0</x:v>
      </x:c>
      <x:c r="G193" s="130" t="str">
        <x:v>Yes</x:v>
      </x:c>
      <x:c r="H193" s="130" t="str"/>
    </x:row>
    <x:row r="194">
      <x:c r="A194" s="130" t="str">
        <x:v>DRV-009</x:v>
      </x:c>
      <x:c r="B194" s="130" t="str">
        <x:v>Emma Brown</x:v>
      </x:c>
      <x:c r="C194" s="130" t="str">
        <x:v>Total Deductions</x:v>
      </x:c>
      <x:c r="D194" s="130" t="n">
        <x:v>730.416</x:v>
      </x:c>
      <x:c r="E194" s="130" t="n">
        <x:v>1466.0616</x:v>
      </x:c>
      <x:c r="F194" s="130" t="n">
        <x:v>735.6456</x:v>
      </x:c>
      <x:c r="G194" s="130" t="str">
        <x:v>No</x:v>
      </x:c>
      <x:c r="H194" s="130" t="str"/>
    </x:row>
    <x:row r="195">
      <x:c r="A195" s="130" t="str">
        <x:v>DRV-009</x:v>
      </x:c>
      <x:c r="B195" s="130" t="str">
        <x:v>Emma Brown</x:v>
      </x:c>
      <x:c r="C195" s="130" t="str">
        <x:v>Fuel Reimb.</x:v>
      </x:c>
      <x:c r="D195" s="130" t="n">
        <x:v>0</x:v>
      </x:c>
      <x:c r="E195" s="130" t="n">
        <x:v>0</x:v>
      </x:c>
      <x:c r="F195" s="130" t="n">
        <x:v>0</x:v>
      </x:c>
      <x:c r="G195" s="130" t="str">
        <x:v>Yes</x:v>
      </x:c>
      <x:c r="H195" s="130" t="str"/>
    </x:row>
    <x:row r="196">
      <x:c r="A196" s="130" t="str">
        <x:v>DRV-009</x:v>
      </x:c>
      <x:c r="B196" s="130" t="str">
        <x:v>Emma Brown</x:v>
      </x:c>
      <x:c r="C196" s="130" t="str">
        <x:v>Net Pay</x:v>
      </x:c>
      <x:c r="D196" s="130" t="n">
        <x:v>1428.5839999999998</x:v>
      </x:c>
      <x:c r="E196" s="130" t="n">
        <x:v>767.9384</x:v>
      </x:c>
      <x:c r="F196" s="130" t="n">
        <x:v>-660.6455999999998</x:v>
      </x:c>
      <x:c r="G196" s="130" t="str">
        <x:v>No</x:v>
      </x:c>
      <x:c r="H196" s="130" t="str"/>
    </x:row>
    <x:row r="197">
      <x:c r="A197" s="130" t="str">
        <x:v>DRV-009</x:v>
      </x:c>
      <x:c r="B197" s="130" t="str">
        <x:v>Emma Brown</x:v>
      </x:c>
      <x:c r="C197" s="130" t="str">
        <x:v>Status</x:v>
      </x:c>
      <x:c r="D197" s="130" t="str">
        <x:v>PAID</x:v>
      </x:c>
      <x:c r="E197" s="130" t="str">
        <x:v>Paid</x:v>
      </x:c>
      <x:c r="F197" s="130"/>
      <x:c r="G197" s="130" t="str">
        <x:v>Yes</x:v>
      </x:c>
      <x:c r="H197" s="130" t="str"/>
    </x:row>
    <x:row r="198">
      <x:c r="A198" s="130" t="str">
        <x:v>DRV-009</x:v>
      </x:c>
      <x:c r="B198" s="130" t="str">
        <x:v>Emma Brown</x:v>
      </x:c>
      <x:c r="C198" s="130" t="str">
        <x:v>Pending Reason</x:v>
      </x:c>
      <x:c r="D198" s="130"/>
      <x:c r="E198" s="130" t="str">
        <x:v>N/A</x:v>
      </x:c>
      <x:c r="F198" s="130"/>
      <x:c r="G198" s="130" t="str">
        <x:v>No</x:v>
      </x:c>
      <x:c r="H198" s="130" t="str"/>
    </x:row>
    <x:row r="199">
      <x:c r="A199" s="130" t="str">
        <x:v>DRV-009</x:v>
      </x:c>
      <x:c r="B199" s="130" t="str">
        <x:v>Emma Brown</x:v>
      </x:c>
      <x:c r="C199" s="130" t="str">
        <x:v>401(k) Rate</x:v>
      </x:c>
      <x:c r="D199" s="130" t="n">
        <x:v>0</x:v>
      </x:c>
      <x:c r="E199" s="130" t="n">
        <x:v>0</x:v>
      </x:c>
      <x:c r="F199" s="130" t="n">
        <x:v>0</x:v>
      </x:c>
      <x:c r="G199" s="130" t="str">
        <x:v>Yes</x:v>
      </x:c>
      <x:c r="H199" s="130" t="str"/>
    </x:row>
    <x:row r="200">
      <x:c r="A200" s="130" t="str">
        <x:v>DRV-010</x:v>
      </x:c>
      <x:c r="B200" s="130" t="str">
        <x:v>Noah Wilson</x:v>
      </x:c>
      <x:c r="C200" s="130" t="str">
        <x:v>Base Earnings</x:v>
      </x:c>
      <x:c r="D200" s="130" t="n">
        <x:v>2080</x:v>
      </x:c>
      <x:c r="E200" s="130" t="n">
        <x:v>2080</x:v>
      </x:c>
      <x:c r="F200" s="130" t="n">
        <x:v>0</x:v>
      </x:c>
      <x:c r="G200" s="130" t="str">
        <x:v>Yes</x:v>
      </x:c>
      <x:c r="H200" s="130" t="str"/>
    </x:row>
    <x:row r="201">
      <x:c r="A201" s="130" t="str">
        <x:v>DRV-010</x:v>
      </x:c>
      <x:c r="B201" s="130" t="str">
        <x:v>Noah Wilson</x:v>
      </x:c>
      <x:c r="C201" s="130" t="str">
        <x:v>Backhaul Pay</x:v>
      </x:c>
      <x:c r="D201" s="130" t="n">
        <x:v>77</x:v>
      </x:c>
      <x:c r="E201" s="130" t="n">
        <x:v>77</x:v>
      </x:c>
      <x:c r="F201" s="130" t="n">
        <x:v>0</x:v>
      </x:c>
      <x:c r="G201" s="130" t="str">
        <x:v>Yes</x:v>
      </x:c>
      <x:c r="H201" s="130" t="str"/>
    </x:row>
    <x:row r="202">
      <x:c r="A202" s="130" t="str">
        <x:v>DRV-010</x:v>
      </x:c>
      <x:c r="B202" s="130" t="str">
        <x:v>Noah Wilson</x:v>
      </x:c>
      <x:c r="C202" s="130" t="str">
        <x:v>Gross Pay</x:v>
      </x:c>
      <x:c r="D202" s="130" t="n">
        <x:v>2157</x:v>
      </x:c>
      <x:c r="E202" s="130" t="n">
        <x:v>2282</x:v>
      </x:c>
      <x:c r="F202" s="130" t="n">
        <x:v>125</x:v>
      </x:c>
      <x:c r="G202" s="130" t="str">
        <x:v>No</x:v>
      </x:c>
      <x:c r="H202" s="130" t="str"/>
    </x:row>
    <x:row r="203">
      <x:c r="A203" s="130" t="str">
        <x:v>DRV-010</x:v>
      </x:c>
      <x:c r="B203" s="130" t="str">
        <x:v>Noah Wilson</x:v>
      </x:c>
      <x:c r="C203" s="130" t="str">
        <x:v>FICA</x:v>
      </x:c>
      <x:c r="D203" s="130" t="n">
        <x:v>128.96</x:v>
      </x:c>
      <x:c r="E203" s="130" t="n">
        <x:v>141.484</x:v>
      </x:c>
      <x:c r="F203" s="130" t="n">
        <x:v>12.524000000000001</x:v>
      </x:c>
      <x:c r="G203" s="130" t="str">
        <x:v>No</x:v>
      </x:c>
      <x:c r="H203" s="130" t="str"/>
    </x:row>
    <x:row r="204">
      <x:c r="A204" s="130" t="str">
        <x:v>DRV-010</x:v>
      </x:c>
      <x:c r="B204" s="130" t="str">
        <x:v>Noah Wilson</x:v>
      </x:c>
      <x:c r="C204" s="130" t="str">
        <x:v>OASDI</x:v>
      </x:c>
      <x:c r="D204" s="130" t="n">
        <x:v>30.16</x:v>
      </x:c>
      <x:c r="E204" s="130" t="n">
        <x:v>33.089</x:v>
      </x:c>
      <x:c r="F204" s="130" t="n">
        <x:v>2.9289999999999985</x:v>
      </x:c>
      <x:c r="G204" s="130" t="str">
        <x:v>No</x:v>
      </x:c>
      <x:c r="H204" s="130" t="str"/>
    </x:row>
    <x:row r="205">
      <x:c r="A205" s="130" t="str">
        <x:v>DRV-010</x:v>
      </x:c>
      <x:c r="B205" s="130" t="str">
        <x:v>Noah Wilson</x:v>
      </x:c>
      <x:c r="C205" s="130" t="str">
        <x:v>Federal Withholding</x:v>
      </x:c>
      <x:c r="D205" s="130" t="n">
        <x:v>374.4</x:v>
      </x:c>
      <x:c r="E205" s="130" t="n">
        <x:v>410.76</x:v>
      </x:c>
      <x:c r="F205" s="130" t="n">
        <x:v>36.360000000000014</x:v>
      </x:c>
      <x:c r="G205" s="130" t="str">
        <x:v>No</x:v>
      </x:c>
      <x:c r="H205" s="130" t="str"/>
    </x:row>
    <x:row r="206">
      <x:c r="A206" s="130" t="str">
        <x:v>DRV-010</x:v>
      </x:c>
      <x:c r="B206" s="130" t="str">
        <x:v>Noah Wilson</x:v>
      </x:c>
      <x:c r="C206" s="130" t="str">
        <x:v>State Withholding</x:v>
      </x:c>
      <x:c r="D206" s="130" t="n">
        <x:v>72.80000000000001</x:v>
      </x:c>
      <x:c r="E206" s="130" t="n">
        <x:v>79.87</x:v>
      </x:c>
      <x:c r="F206" s="130" t="n">
        <x:v>7.069999999999993</x:v>
      </x:c>
      <x:c r="G206" s="130" t="str">
        <x:v>No</x:v>
      </x:c>
      <x:c r="H206" s="130" t="str"/>
    </x:row>
    <x:row r="207">
      <x:c r="A207" s="130" t="str">
        <x:v>DRV-010</x:v>
      </x:c>
      <x:c r="B207" s="130" t="str">
        <x:v>Noah Wilson</x:v>
      </x:c>
      <x:c r="C207" s="130" t="str">
        <x:v>SDI</x:v>
      </x:c>
      <x:c r="D207" s="130" t="n">
        <x:v>9.36</x:v>
      </x:c>
      <x:c r="E207" s="130" t="n">
        <x:v>10.268999999999998</x:v>
      </x:c>
      <x:c r="F207" s="130" t="n">
        <x:v>0.9089999999999989</x:v>
      </x:c>
      <x:c r="G207" s="130" t="str">
        <x:v>No</x:v>
      </x:c>
      <x:c r="H207" s="130" t="str"/>
    </x:row>
    <x:row r="208">
      <x:c r="A208" s="130" t="str">
        <x:v>DRV-010</x:v>
      </x:c>
      <x:c r="B208" s="130" t="str">
        <x:v>Noah Wilson</x:v>
      </x:c>
      <x:c r="C208" s="130" t="str">
        <x:v>FM Leave</x:v>
      </x:c>
      <x:c r="D208" s="130" t="n">
        <x:v>13.728</x:v>
      </x:c>
      <x:c r="E208" s="130" t="n">
        <x:v>15.0612</x:v>
      </x:c>
      <x:c r="F208" s="130" t="n">
        <x:v>1.3331999999999997</x:v>
      </x:c>
      <x:c r="G208" s="130" t="str">
        <x:v>No</x:v>
      </x:c>
      <x:c r="H208" s="130" t="str"/>
    </x:row>
    <x:row r="209">
      <x:c r="A209" s="130" t="str">
        <x:v>DRV-010</x:v>
      </x:c>
      <x:c r="B209" s="130" t="str">
        <x:v>Noah Wilson</x:v>
      </x:c>
      <x:c r="C209" s="130" t="str">
        <x:v>Family Support</x:v>
      </x:c>
      <x:c r="D209" s="130" t="n">
        <x:v>0</x:v>
      </x:c>
      <x:c r="E209" s="130" t="n">
        <x:v>0</x:v>
      </x:c>
      <x:c r="F209" s="130" t="n">
        <x:v>0</x:v>
      </x:c>
      <x:c r="G209" s="130" t="str">
        <x:v>Yes</x:v>
      </x:c>
      <x:c r="H209" s="130" t="str"/>
    </x:row>
    <x:row r="210">
      <x:c r="A210" s="130" t="str">
        <x:v>DRV-010</x:v>
      </x:c>
      <x:c r="B210" s="130" t="str">
        <x:v>Noah Wilson</x:v>
      </x:c>
      <x:c r="C210" s="130" t="str">
        <x:v>Insurance Premiums</x:v>
      </x:c>
      <x:c r="D210" s="130" t="n">
        <x:v>0</x:v>
      </x:c>
      <x:c r="E210" s="130" t="n">
        <x:v>0</x:v>
      </x:c>
      <x:c r="F210" s="130" t="n">
        <x:v>0</x:v>
      </x:c>
      <x:c r="G210" s="130" t="str">
        <x:v>Yes</x:v>
      </x:c>
      <x:c r="H210" s="130" t="str"/>
    </x:row>
    <x:row r="211">
      <x:c r="A211" s="130" t="str">
        <x:v>DRV-010</x:v>
      </x:c>
      <x:c r="B211" s="130" t="str">
        <x:v>Noah Wilson</x:v>
      </x:c>
      <x:c r="C211" s="130" t="str">
        <x:v>Credit Union Savings Club</x:v>
      </x:c>
      <x:c r="D211" s="130" t="n">
        <x:v>0</x:v>
      </x:c>
      <x:c r="E211" s="130" t="n">
        <x:v>0</x:v>
      </x:c>
      <x:c r="F211" s="130" t="n">
        <x:v>0</x:v>
      </x:c>
      <x:c r="G211" s="130" t="str">
        <x:v>Yes</x:v>
      </x:c>
      <x:c r="H211" s="130" t="str"/>
    </x:row>
    <x:row r="212">
      <x:c r="A212" s="130" t="str">
        <x:v>DRV-010</x:v>
      </x:c>
      <x:c r="B212" s="130" t="str">
        <x:v>Noah Wilson</x:v>
      </x:c>
      <x:c r="C212" s="130" t="str">
        <x:v>401(k) Contribution</x:v>
      </x:c>
      <x:c r="D212" s="130" t="n">
        <x:v>41.6</x:v>
      </x:c>
      <x:c r="E212" s="130" t="n">
        <x:v>45.64</x:v>
      </x:c>
      <x:c r="F212" s="130" t="n">
        <x:v>4.039999999999999</x:v>
      </x:c>
      <x:c r="G212" s="130" t="str">
        <x:v>No</x:v>
      </x:c>
      <x:c r="H212" s="130" t="str"/>
    </x:row>
    <x:row r="213">
      <x:c r="A213" s="130" t="str">
        <x:v>DRV-010</x:v>
      </x:c>
      <x:c r="B213" s="130" t="str">
        <x:v>Noah Wilson</x:v>
      </x:c>
      <x:c r="C213" s="130" t="str">
        <x:v>HSA/FSA Health Deduction</x:v>
      </x:c>
      <x:c r="D213" s="130" t="n">
        <x:v>0</x:v>
      </x:c>
      <x:c r="E213" s="130" t="n">
        <x:v>0</x:v>
      </x:c>
      <x:c r="F213" s="130" t="n">
        <x:v>0</x:v>
      </x:c>
      <x:c r="G213" s="130" t="str">
        <x:v>Yes</x:v>
      </x:c>
      <x:c r="H213" s="130" t="str"/>
    </x:row>
    <x:row r="214">
      <x:c r="A214" s="130" t="str">
        <x:v>DRV-010</x:v>
      </x:c>
      <x:c r="B214" s="130" t="str">
        <x:v>Noah Wilson</x:v>
      </x:c>
      <x:c r="C214" s="130" t="str">
        <x:v>Health Insurance Premiums</x:v>
      </x:c>
      <x:c r="D214" s="130" t="n">
        <x:v>196.15</x:v>
      </x:c>
      <x:c r="E214" s="130" t="n">
        <x:v>196.15</x:v>
      </x:c>
      <x:c r="F214" s="130" t="n">
        <x:v>0</x:v>
      </x:c>
      <x:c r="G214" s="130" t="str">
        <x:v>Yes</x:v>
      </x:c>
      <x:c r="H214" s="130" t="str"/>
    </x:row>
    <x:row r="215">
      <x:c r="A215" s="130" t="str">
        <x:v>DRV-010</x:v>
      </x:c>
      <x:c r="B215" s="130" t="str">
        <x:v>Noah Wilson</x:v>
      </x:c>
      <x:c r="C215" s="130" t="str">
        <x:v>Life Insurance Above 50k</x:v>
      </x:c>
      <x:c r="D215" s="130" t="n">
        <x:v>0</x:v>
      </x:c>
      <x:c r="E215" s="130" t="n">
        <x:v>0</x:v>
      </x:c>
      <x:c r="F215" s="130" t="n">
        <x:v>0</x:v>
      </x:c>
      <x:c r="G215" s="130" t="str">
        <x:v>Yes</x:v>
      </x:c>
      <x:c r="H215" s="130" t="str"/>
    </x:row>
    <x:row r="216">
      <x:c r="A216" s="130" t="str">
        <x:v>DRV-010</x:v>
      </x:c>
      <x:c r="B216" s="130" t="str">
        <x:v>Noah Wilson</x:v>
      </x:c>
      <x:c r="C216" s="130" t="str">
        <x:v>Total Deductions</x:v>
      </x:c>
      <x:c r="D216" s="130" t="n">
        <x:v>867.1579999999999</x:v>
      </x:c>
      <x:c r="E216" s="130" t="n">
        <x:v>1349.6767999999997</x:v>
      </x:c>
      <x:c r="F216" s="130" t="n">
        <x:v>482.5187999999998</x:v>
      </x:c>
      <x:c r="G216" s="130" t="str">
        <x:v>No</x:v>
      </x:c>
      <x:c r="H216" s="130" t="str"/>
    </x:row>
    <x:row r="217">
      <x:c r="A217" s="130" t="str">
        <x:v>DRV-010</x:v>
      </x:c>
      <x:c r="B217" s="130" t="str">
        <x:v>Noah Wilson</x:v>
      </x:c>
      <x:c r="C217" s="130" t="str">
        <x:v>Fuel Reimb.</x:v>
      </x:c>
      <x:c r="D217" s="130" t="n">
        <x:v>0</x:v>
      </x:c>
      <x:c r="E217" s="130" t="n">
        <x:v>0</x:v>
      </x:c>
      <x:c r="F217" s="130" t="n">
        <x:v>0</x:v>
      </x:c>
      <x:c r="G217" s="130" t="str">
        <x:v>Yes</x:v>
      </x:c>
      <x:c r="H217" s="130" t="str"/>
    </x:row>
    <x:row r="218">
      <x:c r="A218" s="130" t="str">
        <x:v>DRV-010</x:v>
      </x:c>
      <x:c r="B218" s="130" t="str">
        <x:v>Noah Wilson</x:v>
      </x:c>
      <x:c r="C218" s="130" t="str">
        <x:v>Net Pay</x:v>
      </x:c>
      <x:c r="D218" s="130" t="n">
        <x:v>1289.842</x:v>
      </x:c>
      <x:c r="E218" s="130" t="n">
        <x:v>932.3232000000003</x:v>
      </x:c>
      <x:c r="F218" s="130" t="n">
        <x:v>-357.5187999999998</x:v>
      </x:c>
      <x:c r="G218" s="130" t="str">
        <x:v>No</x:v>
      </x:c>
      <x:c r="H218" s="130" t="str"/>
    </x:row>
    <x:row r="219">
      <x:c r="A219" s="130" t="str">
        <x:v>DRV-010</x:v>
      </x:c>
      <x:c r="B219" s="130" t="str">
        <x:v>Noah Wilson</x:v>
      </x:c>
      <x:c r="C219" s="130" t="str">
        <x:v>Status</x:v>
      </x:c>
      <x:c r="D219" s="130" t="str">
        <x:v>PAID</x:v>
      </x:c>
      <x:c r="E219" s="130" t="str">
        <x:v>Paid</x:v>
      </x:c>
      <x:c r="F219" s="130"/>
      <x:c r="G219" s="130" t="str">
        <x:v>Yes</x:v>
      </x:c>
      <x:c r="H219" s="130" t="str"/>
    </x:row>
    <x:row r="220">
      <x:c r="A220" s="130" t="str">
        <x:v>DRV-010</x:v>
      </x:c>
      <x:c r="B220" s="130" t="str">
        <x:v>Noah Wilson</x:v>
      </x:c>
      <x:c r="C220" s="130" t="str">
        <x:v>Pending Reason</x:v>
      </x:c>
      <x:c r="D220" s="130"/>
      <x:c r="E220" s="130" t="str">
        <x:v>N/A</x:v>
      </x:c>
      <x:c r="F220" s="130"/>
      <x:c r="G220" s="130" t="str">
        <x:v>No</x:v>
      </x:c>
      <x:c r="H220" s="130" t="str"/>
    </x:row>
    <x:row r="221">
      <x:c r="A221" s="130" t="str">
        <x:v>DRV-010</x:v>
      </x:c>
      <x:c r="B221" s="130" t="str">
        <x:v>Noah Wilson</x:v>
      </x:c>
      <x:c r="C221" s="130" t="str">
        <x:v>401(k) Rate</x:v>
      </x:c>
      <x:c r="D221" s="130" t="n">
        <x:v>0.02</x:v>
      </x:c>
      <x:c r="E221" s="130" t="n">
        <x:v>0.02</x:v>
      </x:c>
      <x:c r="F221" s="130" t="n">
        <x:v>0</x:v>
      </x:c>
      <x:c r="G221" s="130" t="str">
        <x:v>Yes</x:v>
      </x:c>
      <x:c r="H221" s="130" t="str"/>
    </x:row>
    <x:row r="222">
      <x:c r="A222" s="130" t="str">
        <x:v>DRV-011</x:v>
      </x:c>
      <x:c r="B222" s="130" t="str">
        <x:v>Olivia Lee</x:v>
      </x:c>
      <x:c r="C222" s="130" t="str">
        <x:v>Base Earnings</x:v>
      </x:c>
      <x:c r="D222" s="130" t="n">
        <x:v>2010</x:v>
      </x:c>
      <x:c r="E222" s="130" t="n">
        <x:v>2010</x:v>
      </x:c>
      <x:c r="F222" s="130" t="n">
        <x:v>0</x:v>
      </x:c>
      <x:c r="G222" s="130" t="str">
        <x:v>Yes</x:v>
      </x:c>
      <x:c r="H222" s="130" t="str"/>
    </x:row>
    <x:row r="223">
      <x:c r="A223" s="130" t="str">
        <x:v>DRV-011</x:v>
      </x:c>
      <x:c r="B223" s="130" t="str">
        <x:v>Olivia Lee</x:v>
      </x:c>
      <x:c r="C223" s="130" t="str">
        <x:v>Backhaul Pay</x:v>
      </x:c>
      <x:c r="D223" s="130" t="n">
        <x:v>63</x:v>
      </x:c>
      <x:c r="E223" s="130" t="n">
        <x:v>63</x:v>
      </x:c>
      <x:c r="F223" s="130" t="n">
        <x:v>0</x:v>
      </x:c>
      <x:c r="G223" s="130" t="str">
        <x:v>Yes</x:v>
      </x:c>
      <x:c r="H223" s="130" t="str"/>
    </x:row>
    <x:row r="224">
      <x:c r="A224" s="130" t="str">
        <x:v>DRV-011</x:v>
      </x:c>
      <x:c r="B224" s="130" t="str">
        <x:v>Olivia Lee</x:v>
      </x:c>
      <x:c r="C224" s="130" t="str">
        <x:v>Gross Pay</x:v>
      </x:c>
      <x:c r="D224" s="130" t="n">
        <x:v>2073</x:v>
      </x:c>
      <x:c r="E224" s="130" t="n">
        <x:v>2148</x:v>
      </x:c>
      <x:c r="F224" s="130" t="n">
        <x:v>75</x:v>
      </x:c>
      <x:c r="G224" s="130" t="str">
        <x:v>No</x:v>
      </x:c>
      <x:c r="H224" s="130" t="str"/>
    </x:row>
    <x:row r="225">
      <x:c r="A225" s="130" t="str">
        <x:v>DRV-011</x:v>
      </x:c>
      <x:c r="B225" s="130" t="str">
        <x:v>Olivia Lee</x:v>
      </x:c>
      <x:c r="C225" s="130" t="str">
        <x:v>FICA</x:v>
      </x:c>
      <x:c r="D225" s="130" t="n">
        <x:v>124.62</x:v>
      </x:c>
      <x:c r="E225" s="130" t="n">
        <x:v>133.176</x:v>
      </x:c>
      <x:c r="F225" s="130" t="n">
        <x:v>8.555999999999983</x:v>
      </x:c>
      <x:c r="G225" s="130" t="str">
        <x:v>No</x:v>
      </x:c>
      <x:c r="H225" s="130" t="str"/>
    </x:row>
    <x:row r="226">
      <x:c r="A226" s="130" t="str">
        <x:v>DRV-011</x:v>
      </x:c>
      <x:c r="B226" s="130" t="str">
        <x:v>Olivia Lee</x:v>
      </x:c>
      <x:c r="C226" s="130" t="str">
        <x:v>OASDI</x:v>
      </x:c>
      <x:c r="D226" s="130" t="n">
        <x:v>29.145000000000003</x:v>
      </x:c>
      <x:c r="E226" s="130" t="n">
        <x:v>31.146</x:v>
      </x:c>
      <x:c r="F226" s="130" t="n">
        <x:v>2.0009999999999977</x:v>
      </x:c>
      <x:c r="G226" s="130" t="str">
        <x:v>No</x:v>
      </x:c>
      <x:c r="H226" s="130" t="str"/>
    </x:row>
    <x:row r="227">
      <x:c r="A227" s="130" t="str">
        <x:v>DRV-011</x:v>
      </x:c>
      <x:c r="B227" s="130" t="str">
        <x:v>Olivia Lee</x:v>
      </x:c>
      <x:c r="C227" s="130" t="str">
        <x:v>Federal Withholding</x:v>
      </x:c>
      <x:c r="D227" s="130" t="n">
        <x:v>361.8</x:v>
      </x:c>
      <x:c r="E227" s="130" t="n">
        <x:v>386.64</x:v>
      </x:c>
      <x:c r="F227" s="130" t="n">
        <x:v>24.839999999999975</x:v>
      </x:c>
      <x:c r="G227" s="130" t="str">
        <x:v>No</x:v>
      </x:c>
      <x:c r="H227" s="130" t="str"/>
    </x:row>
    <x:row r="228">
      <x:c r="A228" s="130" t="str">
        <x:v>DRV-011</x:v>
      </x:c>
      <x:c r="B228" s="130" t="str">
        <x:v>Olivia Lee</x:v>
      </x:c>
      <x:c r="C228" s="130" t="str">
        <x:v>State Withholding</x:v>
      </x:c>
      <x:c r="D228" s="130" t="n">
        <x:v>70.35000000000001</x:v>
      </x:c>
      <x:c r="E228" s="130" t="n">
        <x:v>75.18</x:v>
      </x:c>
      <x:c r="F228" s="130" t="n">
        <x:v>4.829999999999998</x:v>
      </x:c>
      <x:c r="G228" s="130" t="str">
        <x:v>No</x:v>
      </x:c>
      <x:c r="H228" s="130" t="str"/>
    </x:row>
    <x:row r="229">
      <x:c r="A229" s="130" t="str">
        <x:v>DRV-011</x:v>
      </x:c>
      <x:c r="B229" s="130" t="str">
        <x:v>Olivia Lee</x:v>
      </x:c>
      <x:c r="C229" s="130" t="str">
        <x:v>SDI</x:v>
      </x:c>
      <x:c r="D229" s="130" t="n">
        <x:v>9.045</x:v>
      </x:c>
      <x:c r="E229" s="130" t="n">
        <x:v>9.665999999999999</x:v>
      </x:c>
      <x:c r="F229" s="130" t="n">
        <x:v>0.6209999999999987</x:v>
      </x:c>
      <x:c r="G229" s="130" t="str">
        <x:v>No</x:v>
      </x:c>
      <x:c r="H229" s="130" t="str"/>
    </x:row>
    <x:row r="230">
      <x:c r="A230" s="130" t="str">
        <x:v>DRV-011</x:v>
      </x:c>
      <x:c r="B230" s="130" t="str">
        <x:v>Olivia Lee</x:v>
      </x:c>
      <x:c r="C230" s="130" t="str">
        <x:v>FM Leave</x:v>
      </x:c>
      <x:c r="D230" s="130" t="n">
        <x:v>13.266</x:v>
      </x:c>
      <x:c r="E230" s="130" t="n">
        <x:v>14.1768</x:v>
      </x:c>
      <x:c r="F230" s="130" t="n">
        <x:v>0.9108</x:v>
      </x:c>
      <x:c r="G230" s="130" t="str">
        <x:v>No</x:v>
      </x:c>
      <x:c r="H230" s="130" t="str"/>
    </x:row>
    <x:row r="231">
      <x:c r="A231" s="130" t="str">
        <x:v>DRV-011</x:v>
      </x:c>
      <x:c r="B231" s="130" t="str">
        <x:v>Olivia Lee</x:v>
      </x:c>
      <x:c r="C231" s="130" t="str">
        <x:v>Family Support</x:v>
      </x:c>
      <x:c r="D231" s="130" t="n">
        <x:v>50.51</x:v>
      </x:c>
      <x:c r="E231" s="130" t="n">
        <x:v>50.51</x:v>
      </x:c>
      <x:c r="F231" s="130" t="n">
        <x:v>0</x:v>
      </x:c>
      <x:c r="G231" s="130" t="str">
        <x:v>Yes</x:v>
      </x:c>
      <x:c r="H231" s="130" t="str"/>
    </x:row>
    <x:row r="232">
      <x:c r="A232" s="130" t="str">
        <x:v>DRV-011</x:v>
      </x:c>
      <x:c r="B232" s="130" t="str">
        <x:v>Olivia Lee</x:v>
      </x:c>
      <x:c r="C232" s="130" t="str">
        <x:v>Insurance Premiums</x:v>
      </x:c>
      <x:c r="D232" s="130" t="n">
        <x:v>0</x:v>
      </x:c>
      <x:c r="E232" s="130" t="n">
        <x:v>0</x:v>
      </x:c>
      <x:c r="F232" s="130" t="n">
        <x:v>0</x:v>
      </x:c>
      <x:c r="G232" s="130" t="str">
        <x:v>Yes</x:v>
      </x:c>
      <x:c r="H232" s="130" t="str"/>
    </x:row>
    <x:row r="233">
      <x:c r="A233" s="130" t="str">
        <x:v>DRV-011</x:v>
      </x:c>
      <x:c r="B233" s="130" t="str">
        <x:v>Olivia Lee</x:v>
      </x:c>
      <x:c r="C233" s="130" t="str">
        <x:v>Credit Union Savings Club</x:v>
      </x:c>
      <x:c r="D233" s="130" t="n">
        <x:v>0</x:v>
      </x:c>
      <x:c r="E233" s="130" t="n">
        <x:v>0</x:v>
      </x:c>
      <x:c r="F233" s="130" t="n">
        <x:v>0</x:v>
      </x:c>
      <x:c r="G233" s="130" t="str">
        <x:v>Yes</x:v>
      </x:c>
      <x:c r="H233" s="130" t="str"/>
    </x:row>
    <x:row r="234">
      <x:c r="A234" s="130" t="str">
        <x:v>DRV-011</x:v>
      </x:c>
      <x:c r="B234" s="130" t="str">
        <x:v>Olivia Lee</x:v>
      </x:c>
      <x:c r="C234" s="130" t="str">
        <x:v>401(k) Contribution</x:v>
      </x:c>
      <x:c r="D234" s="130" t="n">
        <x:v>0</x:v>
      </x:c>
      <x:c r="E234" s="130" t="n">
        <x:v>0</x:v>
      </x:c>
      <x:c r="F234" s="130" t="n">
        <x:v>0</x:v>
      </x:c>
      <x:c r="G234" s="130" t="str">
        <x:v>Yes</x:v>
      </x:c>
      <x:c r="H234" s="130" t="str"/>
    </x:row>
    <x:row r="235">
      <x:c r="A235" s="130" t="str">
        <x:v>DRV-011</x:v>
      </x:c>
      <x:c r="B235" s="130" t="str">
        <x:v>Olivia Lee</x:v>
      </x:c>
      <x:c r="C235" s="130" t="str">
        <x:v>HSA/FSA Health Deduction</x:v>
      </x:c>
      <x:c r="D235" s="130" t="n">
        <x:v>47.43</x:v>
      </x:c>
      <x:c r="E235" s="130" t="n">
        <x:v>47.43</x:v>
      </x:c>
      <x:c r="F235" s="130" t="n">
        <x:v>0</x:v>
      </x:c>
      <x:c r="G235" s="130" t="str">
        <x:v>Yes</x:v>
      </x:c>
      <x:c r="H235" s="130" t="str"/>
    </x:row>
    <x:row r="236">
      <x:c r="A236" s="130" t="str">
        <x:v>DRV-011</x:v>
      </x:c>
      <x:c r="B236" s="130" t="str">
        <x:v>Olivia Lee</x:v>
      </x:c>
      <x:c r="C236" s="130" t="str">
        <x:v>Health Insurance Premiums</x:v>
      </x:c>
      <x:c r="D236" s="130" t="n">
        <x:v>0</x:v>
      </x:c>
      <x:c r="E236" s="130" t="n">
        <x:v>0</x:v>
      </x:c>
      <x:c r="F236" s="130" t="n">
        <x:v>0</x:v>
      </x:c>
      <x:c r="G236" s="130" t="str">
        <x:v>Yes</x:v>
      </x:c>
      <x:c r="H236" s="130" t="str"/>
    </x:row>
    <x:row r="237">
      <x:c r="A237" s="130" t="str">
        <x:v>DRV-011</x:v>
      </x:c>
      <x:c r="B237" s="130" t="str">
        <x:v>Olivia Lee</x:v>
      </x:c>
      <x:c r="C237" s="130" t="str">
        <x:v>Life Insurance Above 50k</x:v>
      </x:c>
      <x:c r="D237" s="130" t="n">
        <x:v>0</x:v>
      </x:c>
      <x:c r="E237" s="130" t="n">
        <x:v>0</x:v>
      </x:c>
      <x:c r="F237" s="130" t="n">
        <x:v>0</x:v>
      </x:c>
      <x:c r="G237" s="130" t="str">
        <x:v>Yes</x:v>
      </x:c>
      <x:c r="H237" s="130" t="str"/>
    </x:row>
    <x:row r="238">
      <x:c r="A238" s="130" t="str">
        <x:v>DRV-011</x:v>
      </x:c>
      <x:c r="B238" s="130" t="str">
        <x:v>Olivia Lee</x:v>
      </x:c>
      <x:c r="C238" s="130" t="str">
        <x:v>Total Deductions</x:v>
      </x:c>
      <x:c r="D238" s="130" t="n">
        <x:v>706.1659999999999</x:v>
      </x:c>
      <x:c r="E238" s="130" t="n">
        <x:v>1400.0752</x:v>
      </x:c>
      <x:c r="F238" s="130" t="n">
        <x:v>693.9092</x:v>
      </x:c>
      <x:c r="G238" s="130" t="str">
        <x:v>No</x:v>
      </x:c>
      <x:c r="H238" s="130" t="str"/>
    </x:row>
    <x:row r="239">
      <x:c r="A239" s="130" t="str">
        <x:v>DRV-011</x:v>
      </x:c>
      <x:c r="B239" s="130" t="str">
        <x:v>Olivia Lee</x:v>
      </x:c>
      <x:c r="C239" s="130" t="str">
        <x:v>Fuel Reimb.</x:v>
      </x:c>
      <x:c r="D239" s="130" t="n">
        <x:v>0</x:v>
      </x:c>
      <x:c r="E239" s="130" t="n">
        <x:v>0</x:v>
      </x:c>
      <x:c r="F239" s="130" t="n">
        <x:v>0</x:v>
      </x:c>
      <x:c r="G239" s="130" t="str">
        <x:v>Yes</x:v>
      </x:c>
      <x:c r="H239" s="130" t="str"/>
    </x:row>
    <x:row r="240">
      <x:c r="A240" s="130" t="str">
        <x:v>DRV-011</x:v>
      </x:c>
      <x:c r="B240" s="130" t="str">
        <x:v>Olivia Lee</x:v>
      </x:c>
      <x:c r="C240" s="130" t="str">
        <x:v>Net Pay</x:v>
      </x:c>
      <x:c r="D240" s="130" t="n">
        <x:v>1366.834</x:v>
      </x:c>
      <x:c r="E240" s="130" t="n">
        <x:v>747.9248</x:v>
      </x:c>
      <x:c r="F240" s="130" t="n">
        <x:v>-618.9092</x:v>
      </x:c>
      <x:c r="G240" s="130" t="str">
        <x:v>No</x:v>
      </x:c>
      <x:c r="H240" s="130" t="str"/>
    </x:row>
    <x:row r="241">
      <x:c r="A241" s="130" t="str">
        <x:v>DRV-011</x:v>
      </x:c>
      <x:c r="B241" s="130" t="str">
        <x:v>Olivia Lee</x:v>
      </x:c>
      <x:c r="C241" s="130" t="str">
        <x:v>Status</x:v>
      </x:c>
      <x:c r="D241" s="130" t="str">
        <x:v>PAID</x:v>
      </x:c>
      <x:c r="E241" s="130" t="str">
        <x:v>Paid</x:v>
      </x:c>
      <x:c r="F241" s="130"/>
      <x:c r="G241" s="130" t="str">
        <x:v>Yes</x:v>
      </x:c>
      <x:c r="H241" s="130" t="str"/>
    </x:row>
    <x:row r="242">
      <x:c r="A242" s="130" t="str">
        <x:v>DRV-011</x:v>
      </x:c>
      <x:c r="B242" s="130" t="str">
        <x:v>Olivia Lee</x:v>
      </x:c>
      <x:c r="C242" s="130" t="str">
        <x:v>Pending Reason</x:v>
      </x:c>
      <x:c r="D242" s="130"/>
      <x:c r="E242" s="130" t="str">
        <x:v>N/A</x:v>
      </x:c>
      <x:c r="F242" s="130"/>
      <x:c r="G242" s="130" t="str">
        <x:v>No</x:v>
      </x:c>
      <x:c r="H242" s="130" t="str"/>
    </x:row>
    <x:row r="243">
      <x:c r="A243" s="130" t="str">
        <x:v>DRV-011</x:v>
      </x:c>
      <x:c r="B243" s="130" t="str">
        <x:v>Olivia Lee</x:v>
      </x:c>
      <x:c r="C243" s="130" t="str">
        <x:v>401(k) Rate</x:v>
      </x:c>
      <x:c r="D243" s="130" t="n">
        <x:v>0</x:v>
      </x:c>
      <x:c r="E243" s="130" t="n">
        <x:v>0</x:v>
      </x:c>
      <x:c r="F243" s="130" t="n">
        <x:v>0</x:v>
      </x:c>
      <x:c r="G243" s="130" t="str">
        <x:v>Yes</x:v>
      </x:c>
      <x:c r="H243" s="130" t="str"/>
    </x:row>
    <x:row r="244">
      <x:c r="A244" s="130" t="str">
        <x:v>DRV-012</x:v>
      </x:c>
      <x:c r="B244" s="130" t="str">
        <x:v>Robert Johnson</x:v>
      </x:c>
      <x:c r="C244" s="130" t="str">
        <x:v>Base Earnings</x:v>
      </x:c>
      <x:c r="D244" s="130" t="n">
        <x:v>2230</x:v>
      </x:c>
      <x:c r="E244" s="130" t="n">
        <x:v>2230</x:v>
      </x:c>
      <x:c r="F244" s="130" t="n">
        <x:v>0</x:v>
      </x:c>
      <x:c r="G244" s="130" t="str">
        <x:v>Yes</x:v>
      </x:c>
      <x:c r="H244" s="130" t="str"/>
    </x:row>
    <x:row r="245">
      <x:c r="A245" s="130" t="str">
        <x:v>DRV-012</x:v>
      </x:c>
      <x:c r="B245" s="130" t="str">
        <x:v>Robert Johnson</x:v>
      </x:c>
      <x:c r="C245" s="130" t="str">
        <x:v>Backhaul Pay</x:v>
      </x:c>
      <x:c r="D245" s="130" t="n">
        <x:v>69</x:v>
      </x:c>
      <x:c r="E245" s="130" t="n">
        <x:v>69</x:v>
      </x:c>
      <x:c r="F245" s="130" t="n">
        <x:v>0</x:v>
      </x:c>
      <x:c r="G245" s="130" t="str">
        <x:v>Yes</x:v>
      </x:c>
      <x:c r="H245" s="130" t="str"/>
    </x:row>
    <x:row r="246">
      <x:c r="A246" s="130" t="str">
        <x:v>DRV-012</x:v>
      </x:c>
      <x:c r="B246" s="130" t="str">
        <x:v>Robert Johnson</x:v>
      </x:c>
      <x:c r="C246" s="130" t="str">
        <x:v>Gross Pay</x:v>
      </x:c>
      <x:c r="D246" s="130" t="n">
        <x:v>2299</x:v>
      </x:c>
      <x:c r="E246" s="130" t="n">
        <x:v>2374</x:v>
      </x:c>
      <x:c r="F246" s="130" t="n">
        <x:v>75</x:v>
      </x:c>
      <x:c r="G246" s="130" t="str">
        <x:v>No</x:v>
      </x:c>
      <x:c r="H246" s="130" t="str"/>
    </x:row>
    <x:row r="247">
      <x:c r="A247" s="130" t="str">
        <x:v>DRV-012</x:v>
      </x:c>
      <x:c r="B247" s="130" t="str">
        <x:v>Robert Johnson</x:v>
      </x:c>
      <x:c r="C247" s="130" t="str">
        <x:v>FICA</x:v>
      </x:c>
      <x:c r="D247" s="130" t="n">
        <x:v>138.26</x:v>
      </x:c>
      <x:c r="E247" s="130" t="n">
        <x:v>142.538</x:v>
      </x:c>
      <x:c r="F247" s="130" t="n">
        <x:v>4.27800000000002</x:v>
      </x:c>
      <x:c r="G247" s="130" t="str">
        <x:v>No</x:v>
      </x:c>
      <x:c r="H247" s="130" t="str"/>
    </x:row>
    <x:row r="248">
      <x:c r="A248" s="130" t="str">
        <x:v>DRV-012</x:v>
      </x:c>
      <x:c r="B248" s="130" t="str">
        <x:v>Robert Johnson</x:v>
      </x:c>
      <x:c r="C248" s="130" t="str">
        <x:v>OASDI</x:v>
      </x:c>
      <x:c r="D248" s="130" t="n">
        <x:v>32.335</x:v>
      </x:c>
      <x:c r="E248" s="130" t="n">
        <x:v>33.3355</x:v>
      </x:c>
      <x:c r="F248" s="130" t="n">
        <x:v>1.0005000000000024</x:v>
      </x:c>
      <x:c r="G248" s="130" t="str">
        <x:v>No</x:v>
      </x:c>
      <x:c r="H248" s="130" t="str"/>
    </x:row>
    <x:row r="249">
      <x:c r="A249" s="130" t="str">
        <x:v>DRV-012</x:v>
      </x:c>
      <x:c r="B249" s="130" t="str">
        <x:v>Robert Johnson</x:v>
      </x:c>
      <x:c r="C249" s="130" t="str">
        <x:v>Federal Withholding</x:v>
      </x:c>
      <x:c r="D249" s="130" t="n">
        <x:v>401.4</x:v>
      </x:c>
      <x:c r="E249" s="130" t="n">
        <x:v>413.82</x:v>
      </x:c>
      <x:c r="F249" s="130" t="n">
        <x:v>12.420000000000016</x:v>
      </x:c>
      <x:c r="G249" s="130" t="str">
        <x:v>No</x:v>
      </x:c>
      <x:c r="H249" s="130" t="str"/>
    </x:row>
    <x:row r="250">
      <x:c r="A250" s="130" t="str">
        <x:v>DRV-012</x:v>
      </x:c>
      <x:c r="B250" s="130" t="str">
        <x:v>Robert Johnson</x:v>
      </x:c>
      <x:c r="C250" s="130" t="str">
        <x:v>State Withholding</x:v>
      </x:c>
      <x:c r="D250" s="130" t="n">
        <x:v>78.05000000000001</x:v>
      </x:c>
      <x:c r="E250" s="130" t="n">
        <x:v>80.465</x:v>
      </x:c>
      <x:c r="F250" s="130" t="n">
        <x:v>2.414999999999992</x:v>
      </x:c>
      <x:c r="G250" s="130" t="str">
        <x:v>No</x:v>
      </x:c>
      <x:c r="H250" s="130" t="str"/>
    </x:row>
    <x:row r="251">
      <x:c r="A251" s="130" t="str">
        <x:v>DRV-012</x:v>
      </x:c>
      <x:c r="B251" s="130" t="str">
        <x:v>Robert Johnson</x:v>
      </x:c>
      <x:c r="C251" s="130" t="str">
        <x:v>SDI</x:v>
      </x:c>
      <x:c r="D251" s="130" t="n">
        <x:v>10.034999999999998</x:v>
      </x:c>
      <x:c r="E251" s="130" t="n">
        <x:v>10.3455</x:v>
      </x:c>
      <x:c r="F251" s="130" t="n">
        <x:v>0.3105000000000011</x:v>
      </x:c>
      <x:c r="G251" s="130" t="str">
        <x:v>No</x:v>
      </x:c>
      <x:c r="H251" s="130" t="str"/>
    </x:row>
    <x:row r="252">
      <x:c r="A252" s="130" t="str">
        <x:v>DRV-012</x:v>
      </x:c>
      <x:c r="B252" s="130" t="str">
        <x:v>Robert Johnson</x:v>
      </x:c>
      <x:c r="C252" s="130" t="str">
        <x:v>FM Leave</x:v>
      </x:c>
      <x:c r="D252" s="130" t="n">
        <x:v>14.718</x:v>
      </x:c>
      <x:c r="E252" s="130" t="n">
        <x:v>15.1734</x:v>
      </x:c>
      <x:c r="F252" s="130" t="n">
        <x:v>0.4554000000000009</x:v>
      </x:c>
      <x:c r="G252" s="130" t="str">
        <x:v>No</x:v>
      </x:c>
      <x:c r="H252" s="130" t="str"/>
    </x:row>
    <x:row r="253">
      <x:c r="A253" s="130" t="str">
        <x:v>DRV-012</x:v>
      </x:c>
      <x:c r="B253" s="130" t="str">
        <x:v>Robert Johnson</x:v>
      </x:c>
      <x:c r="C253" s="130" t="str">
        <x:v>Family Support</x:v>
      </x:c>
      <x:c r="D253" s="130" t="n">
        <x:v>0</x:v>
      </x:c>
      <x:c r="E253" s="130" t="n">
        <x:v>0</x:v>
      </x:c>
      <x:c r="F253" s="130" t="n">
        <x:v>0</x:v>
      </x:c>
      <x:c r="G253" s="130" t="str">
        <x:v>Yes</x:v>
      </x:c>
      <x:c r="H253" s="130" t="str"/>
    </x:row>
    <x:row r="254">
      <x:c r="A254" s="130" t="str">
        <x:v>DRV-012</x:v>
      </x:c>
      <x:c r="B254" s="130" t="str">
        <x:v>Robert Johnson</x:v>
      </x:c>
      <x:c r="C254" s="130" t="str">
        <x:v>Insurance Premiums</x:v>
      </x:c>
      <x:c r="D254" s="130" t="n">
        <x:v>0</x:v>
      </x:c>
      <x:c r="E254" s="130" t="n">
        <x:v>0</x:v>
      </x:c>
      <x:c r="F254" s="130" t="n">
        <x:v>0</x:v>
      </x:c>
      <x:c r="G254" s="130" t="str">
        <x:v>Yes</x:v>
      </x:c>
      <x:c r="H254" s="130" t="str"/>
    </x:row>
    <x:row r="255">
      <x:c r="A255" s="130" t="str">
        <x:v>DRV-012</x:v>
      </x:c>
      <x:c r="B255" s="130" t="str">
        <x:v>Robert Johnson</x:v>
      </x:c>
      <x:c r="C255" s="130" t="str">
        <x:v>Credit Union Savings Club</x:v>
      </x:c>
      <x:c r="D255" s="130" t="n">
        <x:v>0</x:v>
      </x:c>
      <x:c r="E255" s="130" t="n">
        <x:v>48.75</x:v>
      </x:c>
      <x:c r="F255" s="130" t="n">
        <x:v>48.75</x:v>
      </x:c>
      <x:c r="G255" s="130" t="str">
        <x:v>No</x:v>
      </x:c>
      <x:c r="H255" s="130" t="str"/>
    </x:row>
    <x:row r="256">
      <x:c r="A256" s="130" t="str">
        <x:v>DRV-012</x:v>
      </x:c>
      <x:c r="B256" s="130" t="str">
        <x:v>Robert Johnson</x:v>
      </x:c>
      <x:c r="C256" s="130" t="str">
        <x:v>401(k) Contribution</x:v>
      </x:c>
      <x:c r="D256" s="130" t="n">
        <x:v>66.89999999999999</x:v>
      </x:c>
      <x:c r="E256" s="130" t="n">
        <x:v>45.98</x:v>
      </x:c>
      <x:c r="F256" s="130" t="n">
        <x:v>-20.919999999999995</x:v>
      </x:c>
      <x:c r="G256" s="130" t="str">
        <x:v>No</x:v>
      </x:c>
      <x:c r="H256" s="130" t="str"/>
    </x:row>
    <x:row r="257">
      <x:c r="A257" s="130" t="str">
        <x:v>DRV-012</x:v>
      </x:c>
      <x:c r="B257" s="130" t="str">
        <x:v>Robert Johnson</x:v>
      </x:c>
      <x:c r="C257" s="130" t="str">
        <x:v>HSA/FSA Health Deduction</x:v>
      </x:c>
      <x:c r="D257" s="130" t="n">
        <x:v>48.75</x:v>
      </x:c>
      <x:c r="E257" s="130" t="n">
        <x:v>22.3</x:v>
      </x:c>
      <x:c r="F257" s="130" t="n">
        <x:v>-26.45</x:v>
      </x:c>
      <x:c r="G257" s="130" t="str">
        <x:v>No</x:v>
      </x:c>
      <x:c r="H257" s="130" t="str"/>
    </x:row>
    <x:row r="258">
      <x:c r="A258" s="130" t="str">
        <x:v>DRV-012</x:v>
      </x:c>
      <x:c r="B258" s="130" t="str">
        <x:v>Robert Johnson</x:v>
      </x:c>
      <x:c r="C258" s="130" t="str">
        <x:v>Health Insurance Premiums</x:v>
      </x:c>
      <x:c r="D258" s="130" t="n">
        <x:v>0</x:v>
      </x:c>
      <x:c r="E258" s="130" t="n">
        <x:v>148</x:v>
      </x:c>
      <x:c r="F258" s="130" t="n">
        <x:v>148</x:v>
      </x:c>
      <x:c r="G258" s="130" t="str">
        <x:v>No</x:v>
      </x:c>
      <x:c r="H258" s="130" t="str"/>
    </x:row>
    <x:row r="259">
      <x:c r="A259" s="130" t="str">
        <x:v>DRV-012</x:v>
      </x:c>
      <x:c r="B259" s="130" t="str">
        <x:v>Robert Johnson</x:v>
      </x:c>
      <x:c r="C259" s="130" t="str">
        <x:v>Life Insurance Above 50k</x:v>
      </x:c>
      <x:c r="D259" s="130" t="n">
        <x:v>0</x:v>
      </x:c>
      <x:c r="E259" s="130" t="n">
        <x:v>2.3</x:v>
      </x:c>
      <x:c r="F259" s="130" t="n">
        <x:v>2.3</x:v>
      </x:c>
      <x:c r="G259" s="130" t="str">
        <x:v>No</x:v>
      </x:c>
      <x:c r="H259" s="130" t="str"/>
    </x:row>
    <x:row r="260">
      <x:c r="A260" s="130" t="str">
        <x:v>DRV-012</x:v>
      </x:c>
      <x:c r="B260" s="130" t="str">
        <x:v>Robert Johnson</x:v>
      </x:c>
      <x:c r="C260" s="130" t="str">
        <x:v>Total Deductions</x:v>
      </x:c>
      <x:c r="D260" s="130" t="n">
        <x:v>790.448</x:v>
      </x:c>
      <x:c r="E260" s="130" t="n">
        <x:v>1410.9926000000003</x:v>
      </x:c>
      <x:c r="F260" s="130" t="n">
        <x:v>620.5446000000003</x:v>
      </x:c>
      <x:c r="G260" s="130" t="str">
        <x:v>No</x:v>
      </x:c>
      <x:c r="H260" s="130" t="str"/>
    </x:row>
    <x:row r="261">
      <x:c r="A261" s="130" t="str">
        <x:v>DRV-012</x:v>
      </x:c>
      <x:c r="B261" s="130" t="str">
        <x:v>Robert Johnson</x:v>
      </x:c>
      <x:c r="C261" s="130" t="str">
        <x:v>Fuel Reimb.</x:v>
      </x:c>
      <x:c r="D261" s="130" t="n">
        <x:v>0</x:v>
      </x:c>
      <x:c r="E261" s="130" t="n">
        <x:v>0</x:v>
      </x:c>
      <x:c r="F261" s="130" t="n">
        <x:v>0</x:v>
      </x:c>
      <x:c r="G261" s="130" t="str">
        <x:v>Yes</x:v>
      </x:c>
      <x:c r="H261" s="130" t="str"/>
    </x:row>
    <x:row r="262">
      <x:c r="A262" s="130" t="str">
        <x:v>DRV-012</x:v>
      </x:c>
      <x:c r="B262" s="130" t="str">
        <x:v>Robert Johnson</x:v>
      </x:c>
      <x:c r="C262" s="130" t="str">
        <x:v>Net Pay</x:v>
      </x:c>
      <x:c r="D262" s="130" t="n">
        <x:v>1508.5520000000001</x:v>
      </x:c>
      <x:c r="E262" s="130" t="n">
        <x:v>963.0073999999997</x:v>
      </x:c>
      <x:c r="F262" s="130" t="n">
        <x:v>-545.5446000000004</x:v>
      </x:c>
      <x:c r="G262" s="130" t="str">
        <x:v>No</x:v>
      </x:c>
      <x:c r="H262" s="130" t="str"/>
    </x:row>
    <x:row r="263">
      <x:c r="A263" s="130" t="str">
        <x:v>DRV-012</x:v>
      </x:c>
      <x:c r="B263" s="130" t="str">
        <x:v>Robert Johnson</x:v>
      </x:c>
      <x:c r="C263" s="130" t="str">
        <x:v>Status</x:v>
      </x:c>
      <x:c r="D263" s="130" t="str">
        <x:v>PENDING</x:v>
      </x:c>
      <x:c r="E263" s="130" t="str">
        <x:v>Paid</x:v>
      </x:c>
      <x:c r="F263" s="130"/>
      <x:c r="G263" s="130" t="str">
        <x:v>No</x:v>
      </x:c>
      <x:c r="H263" s="130" t="str"/>
    </x:row>
    <x:row r="264">
      <x:c r="A264" s="130" t="str">
        <x:v>DRV-012</x:v>
      </x:c>
      <x:c r="B264" s="130" t="str">
        <x:v>Robert Johnson</x:v>
      </x:c>
      <x:c r="C264" s="130" t="str">
        <x:v>Pending Reason</x:v>
      </x:c>
      <x:c r="D264" s="130" t="str">
        <x:v>Document Review</x:v>
      </x:c>
      <x:c r="E264" s="130" t="str">
        <x:v>N/A</x:v>
      </x:c>
      <x:c r="F264" s="130"/>
      <x:c r="G264" s="130" t="str">
        <x:v>No</x:v>
      </x:c>
      <x:c r="H264" s="130" t="str"/>
    </x:row>
    <x:row r="265">
      <x:c r="A265" s="130" t="str">
        <x:v>DRV-012</x:v>
      </x:c>
      <x:c r="B265" s="130" t="str">
        <x:v>Robert Johnson</x:v>
      </x:c>
      <x:c r="C265" s="130" t="str">
        <x:v>401(k) Rate</x:v>
      </x:c>
      <x:c r="D265" s="130" t="n">
        <x:v>0.03</x:v>
      </x:c>
      <x:c r="E265" s="130" t="n">
        <x:v>0.020618834080717487</x:v>
      </x:c>
      <x:c r="F265" s="130" t="n">
        <x:v>-0.009381165919282512</x:v>
      </x:c>
      <x:c r="G265" s="130" t="str">
        <x:v>No</x:v>
      </x:c>
      <x:c r="H265" s="130" t="str"/>
    </x:row>
  </x:sheetData>
  <x:conditionalFormatting sqref="G2:G265">
    <x:cfRule type="cellIs" dxfId="25" priority="1">
      <x:formula>"No"</x:formula>
    </x:cfRule>
    <x:cfRule type="cellIs" dxfId="26" priority="2">
      <x:formula>"Yes"</x:formula>
    </x:cfRule>
  </x:conditionalFormatting>
  <x:pageMargins left="0.7" right="0.7" top="0.75" bottom="0.75" header="0.3" footer="0.3"/>
</x:worksheet>
</file>