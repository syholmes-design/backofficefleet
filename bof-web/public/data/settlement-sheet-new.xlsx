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Users\syhol\Downloads\"/>
    </mc:Choice>
  </mc:AlternateContent>
  <xr:revisionPtr revIDLastSave="0" documentId="8_{7FF78E60-CD1C-4597-B8C6-E3BC2C1296EC}" xr6:coauthVersionLast="47" xr6:coauthVersionMax="47" xr10:uidLastSave="{00000000-0000-0000-0000-000000000000}"/>
  <bookViews>
    <workbookView xWindow="3036" yWindow="3036" windowWidth="17280" windowHeight="8880" xr2:uid="{8A90C9DE-FF31-4EC2-B0B5-F638560049D7}"/>
  </bookViews>
  <sheets>
    <sheet name="Payroll" sheetId="1" r:id="rId1"/>
    <sheet name="Payroll 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2" l="1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W13" i="1"/>
  <c r="T13" i="1"/>
  <c r="R13" i="1"/>
  <c r="D12" i="1"/>
  <c r="E11" i="1"/>
  <c r="D11" i="1"/>
  <c r="N10" i="1"/>
  <c r="J10" i="1"/>
  <c r="I10" i="1"/>
  <c r="F10" i="1"/>
  <c r="E10" i="1"/>
  <c r="D10" i="1"/>
  <c r="H10" i="1" s="1"/>
  <c r="N9" i="1"/>
  <c r="J9" i="1"/>
  <c r="I9" i="1"/>
  <c r="H9" i="1"/>
  <c r="G9" i="1"/>
  <c r="F9" i="1"/>
  <c r="R9" i="1" s="1"/>
  <c r="T9" i="1" s="1"/>
  <c r="E9" i="1"/>
  <c r="D9" i="1"/>
  <c r="G8" i="1"/>
  <c r="F8" i="1"/>
  <c r="D8" i="1"/>
  <c r="D7" i="1"/>
  <c r="N7" i="1" s="1"/>
  <c r="N6" i="1"/>
  <c r="J6" i="1"/>
  <c r="I6" i="1"/>
  <c r="H6" i="1"/>
  <c r="G6" i="1"/>
  <c r="D6" i="1"/>
  <c r="F6" i="1" s="1"/>
  <c r="I5" i="1"/>
  <c r="D5" i="1"/>
  <c r="E4" i="1"/>
  <c r="D4" i="1"/>
  <c r="N3" i="1"/>
  <c r="J3" i="1"/>
  <c r="I3" i="1"/>
  <c r="F3" i="1"/>
  <c r="E3" i="1"/>
  <c r="D3" i="1"/>
  <c r="H3" i="1" s="1"/>
  <c r="N2" i="1"/>
  <c r="J2" i="1"/>
  <c r="I2" i="1"/>
  <c r="H2" i="1"/>
  <c r="G2" i="1"/>
  <c r="F2" i="1"/>
  <c r="E2" i="1"/>
  <c r="D2" i="1"/>
  <c r="E5" i="1" l="1"/>
  <c r="R5" i="1" s="1"/>
  <c r="T5" i="1" s="1"/>
  <c r="E12" i="1"/>
  <c r="R12" i="1" s="1"/>
  <c r="T12" i="1" s="1"/>
  <c r="F5" i="1"/>
  <c r="F12" i="1"/>
  <c r="G5" i="1"/>
  <c r="E8" i="1"/>
  <c r="G12" i="1"/>
  <c r="H5" i="1"/>
  <c r="H12" i="1"/>
  <c r="I12" i="1"/>
  <c r="R2" i="1"/>
  <c r="T2" i="1" s="1"/>
  <c r="F4" i="1"/>
  <c r="J5" i="1"/>
  <c r="H8" i="1"/>
  <c r="R8" i="1" s="1"/>
  <c r="T8" i="1" s="1"/>
  <c r="F11" i="1"/>
  <c r="R11" i="1" s="1"/>
  <c r="T11" i="1" s="1"/>
  <c r="J12" i="1"/>
  <c r="G4" i="1"/>
  <c r="N5" i="1"/>
  <c r="E7" i="1"/>
  <c r="I8" i="1"/>
  <c r="G11" i="1"/>
  <c r="N12" i="1"/>
  <c r="H4" i="1"/>
  <c r="F7" i="1"/>
  <c r="J8" i="1"/>
  <c r="H11" i="1"/>
  <c r="I4" i="1"/>
  <c r="G7" i="1"/>
  <c r="N8" i="1"/>
  <c r="I11" i="1"/>
  <c r="J4" i="1"/>
  <c r="H7" i="1"/>
  <c r="J11" i="1"/>
  <c r="G3" i="1"/>
  <c r="R3" i="1" s="1"/>
  <c r="T3" i="1" s="1"/>
  <c r="N4" i="1"/>
  <c r="E6" i="1"/>
  <c r="R6" i="1" s="1"/>
  <c r="T6" i="1" s="1"/>
  <c r="I7" i="1"/>
  <c r="G10" i="1"/>
  <c r="R10" i="1" s="1"/>
  <c r="T10" i="1" s="1"/>
  <c r="N11" i="1"/>
  <c r="R4" i="1"/>
  <c r="T4" i="1" s="1"/>
  <c r="J7" i="1"/>
  <c r="R7" i="1" l="1"/>
  <c r="T7" i="1" s="1"/>
</calcChain>
</file>

<file path=xl/sharedStrings.xml><?xml version="1.0" encoding="utf-8"?>
<sst xmlns="http://schemas.openxmlformats.org/spreadsheetml/2006/main" count="80" uniqueCount="60">
  <si>
    <t>Driver</t>
  </si>
  <si>
    <t>Base Earnings</t>
  </si>
  <si>
    <t>Backhaul Pay</t>
  </si>
  <si>
    <t>Gross Pay</t>
  </si>
  <si>
    <t>FICA</t>
  </si>
  <si>
    <t>OASDI</t>
  </si>
  <si>
    <t>Federal Withholding</t>
  </si>
  <si>
    <t>State Withholding</t>
  </si>
  <si>
    <t>SDI</t>
  </si>
  <si>
    <t>FM Leave</t>
  </si>
  <si>
    <t>Family Support</t>
  </si>
  <si>
    <t>Insurance Premiums</t>
  </si>
  <si>
    <t>Credit Union Savings Club</t>
  </si>
  <si>
    <t>401(k) Contribution</t>
  </si>
  <si>
    <t>HSA/FSA Health Deduction</t>
  </si>
  <si>
    <t>Health Insurance Premiums</t>
  </si>
  <si>
    <t>Life Insurance Above 50k</t>
  </si>
  <si>
    <t>Total Deductions</t>
  </si>
  <si>
    <t>Fuel Reimb.</t>
  </si>
  <si>
    <t>Net Pay</t>
  </si>
  <si>
    <t>Status</t>
  </si>
  <si>
    <t>Pending Reason</t>
  </si>
  <si>
    <t>401(k) Rate</t>
  </si>
  <si>
    <t>J. Carter</t>
  </si>
  <si>
    <t>Paid</t>
  </si>
  <si>
    <t>N/A</t>
  </si>
  <si>
    <t>M. Lopez</t>
  </si>
  <si>
    <t>Pending</t>
  </si>
  <si>
    <t>Awaiting Receipts</t>
  </si>
  <si>
    <t>A. Kim</t>
  </si>
  <si>
    <t>P. Patel</t>
  </si>
  <si>
    <t>K. Tanaka</t>
  </si>
  <si>
    <t>Load Verification</t>
  </si>
  <si>
    <t>M. Chen</t>
  </si>
  <si>
    <t>S. Gomez</t>
  </si>
  <si>
    <t>L. Smith</t>
  </si>
  <si>
    <t>E. Brown</t>
  </si>
  <si>
    <t>N. Wilson</t>
  </si>
  <si>
    <t>O. Lee</t>
  </si>
  <si>
    <t>R. Johnson</t>
  </si>
  <si>
    <t>Metric</t>
  </si>
  <si>
    <t>Total</t>
  </si>
  <si>
    <t>Total Base Earnings</t>
  </si>
  <si>
    <t>Total Backhaul Pay</t>
  </si>
  <si>
    <t>Total Gross Pay</t>
  </si>
  <si>
    <t>Total FICA</t>
  </si>
  <si>
    <t>Total OASDI</t>
  </si>
  <si>
    <t>Total Federal Withholding</t>
  </si>
  <si>
    <t>Total State Withholding</t>
  </si>
  <si>
    <t>Total SDI</t>
  </si>
  <si>
    <t>Total FM Leave</t>
  </si>
  <si>
    <t>Total Family Support</t>
  </si>
  <si>
    <t>Total Insurance Premiums</t>
  </si>
  <si>
    <t>Total Credit Union Savings Club</t>
  </si>
  <si>
    <t>Total 401(k) Contribution</t>
  </si>
  <si>
    <t>Total HSA/FSA Health Deduction</t>
  </si>
  <si>
    <t>Total Health Insurance Premiums</t>
  </si>
  <si>
    <t>Total Life Insurance Above 50k</t>
  </si>
  <si>
    <t>Total Fuel Reimb.</t>
  </si>
  <si>
    <t>Total Net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</si>
</sst>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.00_-"/>
    <numFmt numFmtId="165" formatCode="&quot;$&quot;#,##0.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/>
    <xf numFmtId="6" fontId="2" fillId="0" borderId="0" xfId="0" applyNumberFormat="1" applyFont="1" applyAlignment="1">
      <alignment horizontal="center"/>
    </xf>
    <xf numFmtId="6" fontId="0" fillId="0" borderId="0" xfId="0" applyNumberFormat="1"/>
    <xf numFmtId="165" fontId="3" fillId="0" borderId="0" xfId="0" applyNumberFormat="1" applyFont="1"/>
    <xf numFmtId="165" fontId="4" fillId="0" borderId="0" xfId="0" applyNumberFormat="1" applyFont="1" applyAlignment="1">
      <alignment horizontal="center"/>
    </xf>
    <xf numFmtId="165" fontId="0" fillId="0" borderId="0" xfId="0" applyNumberFormat="1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2BCC-C81E-4C68-A409-0FDF30364344}">
  <dimension ref="A1:W13"/>
  <sheetViews>
    <sheetView tabSelected="1" workbookViewId="0">
      <selection activeCell="K19" sqref="K19"/>
    </sheetView>
  </sheetViews>
  <sheetFormatPr defaultRowHeight="14.45"/>
  <cols>
    <col min="2" max="2" width="13.140625" customWidth="1"/>
    <col min="4" max="4" width="9.85546875" customWidth="1"/>
    <col min="17" max="17" width="23.28515625" customWidth="1"/>
    <col min="18" max="18" width="9.85546875" customWidth="1"/>
    <col min="20" max="20" width="9.85546875" customWidth="1"/>
    <col min="21" max="21" width="8.28515625" customWidth="1"/>
    <col min="22" max="22" width="17" customWidth="1"/>
    <col min="23" max="23" width="13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s="1">
        <v>2100</v>
      </c>
      <c r="C2" s="2">
        <v>65</v>
      </c>
      <c r="D2" s="1">
        <f t="shared" ref="D2:D12" si="0">B2+C2</f>
        <v>2165</v>
      </c>
      <c r="E2" s="1">
        <f t="shared" ref="E2:E12" si="1">0.062*D2</f>
        <v>134.22999999999999</v>
      </c>
      <c r="F2" s="1">
        <f t="shared" ref="F2:F12" si="2">0.0145*D2</f>
        <v>31.392500000000002</v>
      </c>
      <c r="G2" s="1">
        <f t="shared" ref="G2:G12" si="3">0.18*D2</f>
        <v>389.7</v>
      </c>
      <c r="H2" s="1">
        <f t="shared" ref="H2:H12" si="4">0.035*D2</f>
        <v>75.775000000000006</v>
      </c>
      <c r="I2" s="1">
        <f t="shared" ref="I2:I12" si="5">0.0045*D2</f>
        <v>9.7424999999999997</v>
      </c>
      <c r="J2" s="1">
        <f t="shared" ref="J2:J12" si="6">0.0066*D2</f>
        <v>14.289</v>
      </c>
      <c r="K2" s="1">
        <v>0</v>
      </c>
      <c r="L2" s="1">
        <v>214.92</v>
      </c>
      <c r="M2" s="1">
        <v>0</v>
      </c>
      <c r="N2" s="1">
        <f t="shared" ref="N2:N12" si="7">D2*W2</f>
        <v>64.95</v>
      </c>
      <c r="O2">
        <v>114.79</v>
      </c>
      <c r="P2">
        <v>0</v>
      </c>
      <c r="Q2" s="1">
        <v>0</v>
      </c>
      <c r="R2" s="1">
        <f t="shared" ref="R2:R13" si="8">D2-E2-F2-G2-H2-I2-J2-K2-L2-M2-N2-O2-P2-Q2</f>
        <v>1115.2109999999998</v>
      </c>
      <c r="S2" s="1">
        <v>0</v>
      </c>
      <c r="T2" s="1">
        <f t="shared" ref="T2:T13" si="9">D2-R2</f>
        <v>1049.7890000000002</v>
      </c>
      <c r="U2" t="s">
        <v>24</v>
      </c>
      <c r="V2" t="s">
        <v>25</v>
      </c>
      <c r="W2">
        <v>0.03</v>
      </c>
    </row>
    <row r="3" spans="1:23">
      <c r="A3" t="s">
        <v>26</v>
      </c>
      <c r="B3" s="1">
        <v>1910</v>
      </c>
      <c r="C3" s="2">
        <v>95</v>
      </c>
      <c r="D3" s="1">
        <f t="shared" si="0"/>
        <v>2005</v>
      </c>
      <c r="E3" s="1">
        <f t="shared" si="1"/>
        <v>124.31</v>
      </c>
      <c r="F3" s="1">
        <f t="shared" si="2"/>
        <v>29.072500000000002</v>
      </c>
      <c r="G3" s="1">
        <f t="shared" si="3"/>
        <v>360.9</v>
      </c>
      <c r="H3" s="1">
        <f t="shared" si="4"/>
        <v>70.175000000000011</v>
      </c>
      <c r="I3" s="1">
        <f t="shared" si="5"/>
        <v>9.0224999999999991</v>
      </c>
      <c r="J3" s="1">
        <f t="shared" si="6"/>
        <v>13.233000000000001</v>
      </c>
      <c r="K3" s="1">
        <v>79.680000000000007</v>
      </c>
      <c r="L3" s="1">
        <v>0</v>
      </c>
      <c r="M3" s="1">
        <v>42.09</v>
      </c>
      <c r="N3" s="1">
        <f t="shared" si="7"/>
        <v>0</v>
      </c>
      <c r="O3">
        <v>69.33</v>
      </c>
      <c r="P3">
        <v>0</v>
      </c>
      <c r="Q3" s="1">
        <v>0</v>
      </c>
      <c r="R3" s="1">
        <f t="shared" si="8"/>
        <v>1207.1870000000004</v>
      </c>
      <c r="S3" s="1">
        <v>120</v>
      </c>
      <c r="T3" s="1">
        <f t="shared" si="9"/>
        <v>797.81299999999965</v>
      </c>
      <c r="U3" t="s">
        <v>27</v>
      </c>
      <c r="V3" t="s">
        <v>28</v>
      </c>
      <c r="W3">
        <v>0</v>
      </c>
    </row>
    <row r="4" spans="1:23">
      <c r="A4" t="s">
        <v>29</v>
      </c>
      <c r="B4" s="1">
        <v>2155</v>
      </c>
      <c r="C4" s="2">
        <v>45</v>
      </c>
      <c r="D4" s="1">
        <f t="shared" si="0"/>
        <v>2200</v>
      </c>
      <c r="E4" s="1">
        <f t="shared" si="1"/>
        <v>136.4</v>
      </c>
      <c r="F4" s="1">
        <f t="shared" si="2"/>
        <v>31.900000000000002</v>
      </c>
      <c r="G4" s="1">
        <f t="shared" si="3"/>
        <v>396</v>
      </c>
      <c r="H4" s="1">
        <f t="shared" si="4"/>
        <v>77.000000000000014</v>
      </c>
      <c r="I4" s="1">
        <f t="shared" si="5"/>
        <v>9.8999999999999986</v>
      </c>
      <c r="J4" s="1">
        <f t="shared" si="6"/>
        <v>14.52</v>
      </c>
      <c r="K4" s="1">
        <v>0</v>
      </c>
      <c r="L4" s="1">
        <v>0</v>
      </c>
      <c r="M4" s="1">
        <v>30.98</v>
      </c>
      <c r="N4" s="1">
        <f t="shared" si="7"/>
        <v>132</v>
      </c>
      <c r="O4">
        <v>0</v>
      </c>
      <c r="P4">
        <v>0</v>
      </c>
      <c r="Q4" s="1">
        <v>0</v>
      </c>
      <c r="R4" s="1">
        <f t="shared" si="8"/>
        <v>1371.2999999999997</v>
      </c>
      <c r="S4" s="1">
        <v>0</v>
      </c>
      <c r="T4" s="1">
        <f t="shared" si="9"/>
        <v>828.70000000000027</v>
      </c>
      <c r="U4" t="s">
        <v>24</v>
      </c>
      <c r="V4" t="s">
        <v>25</v>
      </c>
      <c r="W4">
        <v>0.06</v>
      </c>
    </row>
    <row r="5" spans="1:23">
      <c r="A5" t="s">
        <v>30</v>
      </c>
      <c r="B5" s="1">
        <v>2020</v>
      </c>
      <c r="C5" s="2">
        <v>88</v>
      </c>
      <c r="D5" s="1">
        <f t="shared" si="0"/>
        <v>2108</v>
      </c>
      <c r="E5" s="1">
        <f t="shared" si="1"/>
        <v>130.696</v>
      </c>
      <c r="F5" s="1">
        <f t="shared" si="2"/>
        <v>30.566000000000003</v>
      </c>
      <c r="G5" s="1">
        <f t="shared" si="3"/>
        <v>379.44</v>
      </c>
      <c r="H5" s="1">
        <f t="shared" si="4"/>
        <v>73.78</v>
      </c>
      <c r="I5" s="1">
        <f t="shared" si="5"/>
        <v>9.4859999999999989</v>
      </c>
      <c r="J5" s="1">
        <f t="shared" si="6"/>
        <v>13.912800000000001</v>
      </c>
      <c r="K5" s="1">
        <v>0</v>
      </c>
      <c r="L5" s="1">
        <v>0</v>
      </c>
      <c r="M5" s="1">
        <v>32.58</v>
      </c>
      <c r="N5" s="1">
        <f t="shared" si="7"/>
        <v>0</v>
      </c>
      <c r="O5">
        <v>0</v>
      </c>
      <c r="P5">
        <v>0</v>
      </c>
      <c r="Q5" s="1">
        <v>0</v>
      </c>
      <c r="R5" s="1">
        <f t="shared" si="8"/>
        <v>1437.5391999999999</v>
      </c>
      <c r="S5" s="1">
        <v>150</v>
      </c>
      <c r="T5" s="1">
        <f t="shared" si="9"/>
        <v>670.46080000000006</v>
      </c>
      <c r="U5" t="s">
        <v>27</v>
      </c>
      <c r="V5" t="s">
        <v>28</v>
      </c>
      <c r="W5">
        <v>0</v>
      </c>
    </row>
    <row r="6" spans="1:23">
      <c r="A6" t="s">
        <v>31</v>
      </c>
      <c r="B6" s="1">
        <v>2280</v>
      </c>
      <c r="C6" s="2">
        <v>45</v>
      </c>
      <c r="D6" s="1">
        <f t="shared" si="0"/>
        <v>2325</v>
      </c>
      <c r="E6" s="1">
        <f t="shared" si="1"/>
        <v>144.15</v>
      </c>
      <c r="F6" s="1">
        <f t="shared" si="2"/>
        <v>33.712499999999999</v>
      </c>
      <c r="G6" s="1">
        <f t="shared" si="3"/>
        <v>418.5</v>
      </c>
      <c r="H6" s="1">
        <f t="shared" si="4"/>
        <v>81.375000000000014</v>
      </c>
      <c r="I6" s="1">
        <f t="shared" si="5"/>
        <v>10.462499999999999</v>
      </c>
      <c r="J6" s="1">
        <f t="shared" si="6"/>
        <v>15.345000000000001</v>
      </c>
      <c r="K6" s="1">
        <v>187.05</v>
      </c>
      <c r="L6" s="1">
        <v>0</v>
      </c>
      <c r="M6" s="1">
        <v>72.680000000000007</v>
      </c>
      <c r="N6" s="1">
        <f t="shared" si="7"/>
        <v>69.75</v>
      </c>
      <c r="O6">
        <v>26.5</v>
      </c>
      <c r="P6">
        <v>0</v>
      </c>
      <c r="Q6" s="1">
        <v>0</v>
      </c>
      <c r="R6" s="1">
        <f t="shared" si="8"/>
        <v>1265.4749999999997</v>
      </c>
      <c r="S6" s="1">
        <v>0</v>
      </c>
      <c r="T6" s="1">
        <f t="shared" si="9"/>
        <v>1059.5250000000003</v>
      </c>
      <c r="U6" t="s">
        <v>27</v>
      </c>
      <c r="V6" t="s">
        <v>32</v>
      </c>
      <c r="W6">
        <v>0.03</v>
      </c>
    </row>
    <row r="7" spans="1:23">
      <c r="A7" t="s">
        <v>33</v>
      </c>
      <c r="B7" s="1">
        <v>2090</v>
      </c>
      <c r="C7" s="2">
        <v>72</v>
      </c>
      <c r="D7" s="1">
        <f t="shared" si="0"/>
        <v>2162</v>
      </c>
      <c r="E7" s="1">
        <f t="shared" si="1"/>
        <v>134.04400000000001</v>
      </c>
      <c r="F7" s="1">
        <f t="shared" si="2"/>
        <v>31.349</v>
      </c>
      <c r="G7" s="1">
        <f t="shared" si="3"/>
        <v>389.15999999999997</v>
      </c>
      <c r="H7" s="1">
        <f t="shared" si="4"/>
        <v>75.67</v>
      </c>
      <c r="I7" s="1">
        <f t="shared" si="5"/>
        <v>9.7289999999999992</v>
      </c>
      <c r="J7" s="1">
        <f t="shared" si="6"/>
        <v>14.2692</v>
      </c>
      <c r="K7" s="1">
        <v>0</v>
      </c>
      <c r="L7" s="1">
        <v>0</v>
      </c>
      <c r="M7" s="1">
        <v>0</v>
      </c>
      <c r="N7" s="1">
        <f t="shared" si="7"/>
        <v>64.86</v>
      </c>
      <c r="O7">
        <v>0</v>
      </c>
      <c r="P7">
        <v>0</v>
      </c>
      <c r="Q7" s="1">
        <v>4.9400000000000004</v>
      </c>
      <c r="R7" s="1">
        <f t="shared" si="8"/>
        <v>1437.9788000000001</v>
      </c>
      <c r="S7" s="1">
        <v>0</v>
      </c>
      <c r="T7" s="1">
        <f t="shared" si="9"/>
        <v>724.02119999999991</v>
      </c>
      <c r="U7" t="s">
        <v>24</v>
      </c>
      <c r="V7" t="s">
        <v>25</v>
      </c>
      <c r="W7">
        <v>0.03</v>
      </c>
    </row>
    <row r="8" spans="1:23">
      <c r="A8" t="s">
        <v>34</v>
      </c>
      <c r="B8" s="1">
        <v>1975</v>
      </c>
      <c r="C8" s="2">
        <v>58</v>
      </c>
      <c r="D8" s="1">
        <f t="shared" si="0"/>
        <v>2033</v>
      </c>
      <c r="E8" s="1">
        <f t="shared" si="1"/>
        <v>126.04599999999999</v>
      </c>
      <c r="F8" s="1">
        <f t="shared" si="2"/>
        <v>29.4785</v>
      </c>
      <c r="G8" s="1">
        <f t="shared" si="3"/>
        <v>365.94</v>
      </c>
      <c r="H8" s="1">
        <f t="shared" si="4"/>
        <v>71.155000000000001</v>
      </c>
      <c r="I8" s="1">
        <f t="shared" si="5"/>
        <v>9.1484999999999985</v>
      </c>
      <c r="J8" s="1">
        <f t="shared" si="6"/>
        <v>13.4178</v>
      </c>
      <c r="K8" s="1">
        <v>246.6</v>
      </c>
      <c r="L8" s="1">
        <v>146.97</v>
      </c>
      <c r="M8" s="1">
        <v>0</v>
      </c>
      <c r="N8" s="1">
        <f t="shared" si="7"/>
        <v>101.65</v>
      </c>
      <c r="O8">
        <v>0</v>
      </c>
      <c r="P8">
        <v>0</v>
      </c>
      <c r="Q8" s="1">
        <v>7.04</v>
      </c>
      <c r="R8" s="1">
        <f t="shared" si="8"/>
        <v>915.55420000000015</v>
      </c>
      <c r="S8" s="1">
        <v>0</v>
      </c>
      <c r="T8" s="1">
        <f t="shared" si="9"/>
        <v>1117.4458</v>
      </c>
      <c r="U8" t="s">
        <v>24</v>
      </c>
      <c r="V8" t="s">
        <v>25</v>
      </c>
      <c r="W8">
        <v>0.05</v>
      </c>
    </row>
    <row r="9" spans="1:23">
      <c r="A9" t="s">
        <v>35</v>
      </c>
      <c r="B9" s="1">
        <v>2165</v>
      </c>
      <c r="C9" s="2">
        <v>81</v>
      </c>
      <c r="D9" s="1">
        <f t="shared" si="0"/>
        <v>2246</v>
      </c>
      <c r="E9" s="1">
        <f t="shared" si="1"/>
        <v>139.25200000000001</v>
      </c>
      <c r="F9" s="1">
        <f t="shared" si="2"/>
        <v>32.567</v>
      </c>
      <c r="G9" s="1">
        <f t="shared" si="3"/>
        <v>404.28</v>
      </c>
      <c r="H9" s="1">
        <f t="shared" si="4"/>
        <v>78.610000000000014</v>
      </c>
      <c r="I9" s="1">
        <f t="shared" si="5"/>
        <v>10.106999999999999</v>
      </c>
      <c r="J9" s="1">
        <f t="shared" si="6"/>
        <v>14.823600000000001</v>
      </c>
      <c r="K9" s="1">
        <v>0</v>
      </c>
      <c r="L9" s="1">
        <v>0</v>
      </c>
      <c r="M9" s="1">
        <v>45.02</v>
      </c>
      <c r="N9" s="1">
        <f t="shared" si="7"/>
        <v>0</v>
      </c>
      <c r="O9">
        <v>0</v>
      </c>
      <c r="P9">
        <v>111.66</v>
      </c>
      <c r="Q9" s="1">
        <v>0</v>
      </c>
      <c r="R9" s="1">
        <f t="shared" si="8"/>
        <v>1409.6804000000002</v>
      </c>
      <c r="S9" s="1">
        <v>0</v>
      </c>
      <c r="T9" s="1">
        <f t="shared" si="9"/>
        <v>836.31959999999981</v>
      </c>
      <c r="U9" t="s">
        <v>27</v>
      </c>
      <c r="V9" t="s">
        <v>32</v>
      </c>
      <c r="W9">
        <v>0</v>
      </c>
    </row>
    <row r="10" spans="1:23">
      <c r="A10" t="s">
        <v>36</v>
      </c>
      <c r="B10" s="1">
        <v>2110</v>
      </c>
      <c r="C10" s="2">
        <v>49</v>
      </c>
      <c r="D10" s="1">
        <f t="shared" si="0"/>
        <v>2159</v>
      </c>
      <c r="E10" s="1">
        <f t="shared" si="1"/>
        <v>133.858</v>
      </c>
      <c r="F10" s="1">
        <f t="shared" si="2"/>
        <v>31.305500000000002</v>
      </c>
      <c r="G10" s="1">
        <f t="shared" si="3"/>
        <v>388.62</v>
      </c>
      <c r="H10" s="1">
        <f t="shared" si="4"/>
        <v>75.565000000000012</v>
      </c>
      <c r="I10" s="1">
        <f t="shared" si="5"/>
        <v>9.7154999999999987</v>
      </c>
      <c r="J10" s="1">
        <f t="shared" si="6"/>
        <v>14.2494</v>
      </c>
      <c r="K10" s="1">
        <v>67.760000000000005</v>
      </c>
      <c r="L10" s="1">
        <v>0</v>
      </c>
      <c r="M10" s="1">
        <v>0</v>
      </c>
      <c r="N10" s="1">
        <f t="shared" si="7"/>
        <v>0</v>
      </c>
      <c r="O10">
        <v>24.17</v>
      </c>
      <c r="P10">
        <v>0</v>
      </c>
      <c r="Q10" s="1">
        <v>0</v>
      </c>
      <c r="R10" s="1">
        <f t="shared" si="8"/>
        <v>1413.7565999999999</v>
      </c>
      <c r="S10" s="1">
        <v>0</v>
      </c>
      <c r="T10" s="1">
        <f t="shared" si="9"/>
        <v>745.24340000000007</v>
      </c>
      <c r="U10" t="s">
        <v>24</v>
      </c>
      <c r="V10" t="s">
        <v>25</v>
      </c>
      <c r="W10">
        <v>0</v>
      </c>
    </row>
    <row r="11" spans="1:23">
      <c r="A11" t="s">
        <v>37</v>
      </c>
      <c r="B11" s="1">
        <v>2080</v>
      </c>
      <c r="C11" s="2">
        <v>77</v>
      </c>
      <c r="D11" s="1">
        <f t="shared" si="0"/>
        <v>2157</v>
      </c>
      <c r="E11" s="1">
        <f t="shared" si="1"/>
        <v>133.73400000000001</v>
      </c>
      <c r="F11" s="1">
        <f t="shared" si="2"/>
        <v>31.276500000000002</v>
      </c>
      <c r="G11" s="1">
        <f t="shared" si="3"/>
        <v>388.26</v>
      </c>
      <c r="H11" s="1">
        <f t="shared" si="4"/>
        <v>75.495000000000005</v>
      </c>
      <c r="I11" s="1">
        <f t="shared" si="5"/>
        <v>9.7065000000000001</v>
      </c>
      <c r="J11" s="1">
        <f t="shared" si="6"/>
        <v>14.2362</v>
      </c>
      <c r="K11" s="1">
        <v>0</v>
      </c>
      <c r="L11" s="1">
        <v>0</v>
      </c>
      <c r="M11" s="1">
        <v>0</v>
      </c>
      <c r="N11" s="1">
        <f t="shared" si="7"/>
        <v>43.14</v>
      </c>
      <c r="O11">
        <v>0</v>
      </c>
      <c r="P11">
        <v>196.15</v>
      </c>
      <c r="Q11" s="1">
        <v>0</v>
      </c>
      <c r="R11" s="1">
        <f t="shared" si="8"/>
        <v>1265.0017999999998</v>
      </c>
      <c r="S11" s="1">
        <v>0</v>
      </c>
      <c r="T11" s="1">
        <f t="shared" si="9"/>
        <v>891.99820000000022</v>
      </c>
      <c r="U11" t="s">
        <v>24</v>
      </c>
      <c r="V11" t="s">
        <v>25</v>
      </c>
      <c r="W11">
        <v>0.02</v>
      </c>
    </row>
    <row r="12" spans="1:23">
      <c r="A12" t="s">
        <v>38</v>
      </c>
      <c r="B12" s="1">
        <v>2010</v>
      </c>
      <c r="C12" s="2">
        <v>63</v>
      </c>
      <c r="D12" s="1">
        <f t="shared" si="0"/>
        <v>2073</v>
      </c>
      <c r="E12" s="1">
        <f t="shared" si="1"/>
        <v>128.52600000000001</v>
      </c>
      <c r="F12" s="1">
        <f t="shared" si="2"/>
        <v>30.058500000000002</v>
      </c>
      <c r="G12" s="1">
        <f t="shared" si="3"/>
        <v>373.14</v>
      </c>
      <c r="H12" s="1">
        <f t="shared" si="4"/>
        <v>72.555000000000007</v>
      </c>
      <c r="I12" s="1">
        <f t="shared" si="5"/>
        <v>9.3285</v>
      </c>
      <c r="J12" s="1">
        <f t="shared" si="6"/>
        <v>13.681799999999999</v>
      </c>
      <c r="K12" s="1">
        <v>50.51</v>
      </c>
      <c r="L12" s="1">
        <v>0</v>
      </c>
      <c r="M12" s="1">
        <v>0</v>
      </c>
      <c r="N12" s="1">
        <f t="shared" si="7"/>
        <v>0</v>
      </c>
      <c r="O12">
        <v>47.43</v>
      </c>
      <c r="P12">
        <v>0</v>
      </c>
      <c r="Q12" s="1">
        <v>0</v>
      </c>
      <c r="R12" s="1">
        <f t="shared" si="8"/>
        <v>1347.7701999999995</v>
      </c>
      <c r="S12" s="1">
        <v>0</v>
      </c>
      <c r="T12" s="1">
        <f t="shared" si="9"/>
        <v>725.22980000000052</v>
      </c>
      <c r="U12" t="s">
        <v>24</v>
      </c>
      <c r="V12" t="s">
        <v>25</v>
      </c>
      <c r="W12">
        <v>0</v>
      </c>
    </row>
    <row r="13" spans="1:23" s="8" customFormat="1">
      <c r="A13" s="4" t="s">
        <v>39</v>
      </c>
      <c r="B13" s="4">
        <v>2230</v>
      </c>
      <c r="C13" s="5">
        <v>69</v>
      </c>
      <c r="D13" s="4">
        <v>2299</v>
      </c>
      <c r="E13" s="4">
        <v>142.53800000000001</v>
      </c>
      <c r="F13" s="4">
        <v>33.335500000000003</v>
      </c>
      <c r="G13" s="4">
        <v>413.82</v>
      </c>
      <c r="H13" s="4">
        <v>80.465000000000003</v>
      </c>
      <c r="I13" s="4">
        <v>10.345499999999999</v>
      </c>
      <c r="J13" s="4">
        <v>15.173400000000001</v>
      </c>
      <c r="K13" s="4">
        <v>0</v>
      </c>
      <c r="L13" s="4">
        <v>0</v>
      </c>
      <c r="M13" s="4">
        <v>48.75</v>
      </c>
      <c r="N13" s="4">
        <v>45.98</v>
      </c>
      <c r="O13" s="4">
        <v>22.3</v>
      </c>
      <c r="P13" s="4">
        <v>148</v>
      </c>
      <c r="Q13" s="6">
        <v>2.2999999999999998</v>
      </c>
      <c r="R13" s="7">
        <f t="shared" si="8"/>
        <v>1335.9926000000003</v>
      </c>
      <c r="S13" s="7">
        <v>0</v>
      </c>
      <c r="T13" s="7">
        <f t="shared" si="9"/>
        <v>963.00739999999973</v>
      </c>
      <c r="U13" s="8" t="s">
        <v>24</v>
      </c>
      <c r="V13" s="8" t="s">
        <v>25</v>
      </c>
      <c r="W13" s="8">
        <f>N13/B13</f>
        <v>2.0618834080717487E-2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AD51E08-52CC-41FA-B56C-8E7CF70E1777}">
            <xm:f>NOT(ISERROR(SEARCH("pAID",U1)))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U1:U13</xm:sqref>
        </x14:conditionalFormatting>
        <x14:conditionalFormatting xmlns:xm="http://schemas.microsoft.com/office/excel/2006/main">
          <x14:cfRule type="containsText" priority="2" operator="containsText" id="{C48023D5-1094-461B-A533-16E08CB89120}">
            <xm:f>NOT(ISERROR(SEARCH("Pending",U2)))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U2:U13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8E4B-1208-46B7-8CC7-1A8315458D6C}">
  <dimension ref="A1:B20"/>
  <sheetViews>
    <sheetView workbookViewId="0">
      <selection activeCell="I24" sqref="I24"/>
    </sheetView>
  </sheetViews>
  <sheetFormatPr defaultRowHeight="14.45"/>
  <sheetData>
    <row r="1" spans="1:2">
      <c r="A1" t="s">
        <v>40</v>
      </c>
      <c r="B1" t="s">
        <v>41</v>
      </c>
    </row>
    <row r="2" spans="1:2">
      <c r="A2" t="s">
        <v>42</v>
      </c>
      <c r="B2">
        <f>SUM(Payroll!B2:B13)</f>
        <v>25125</v>
      </c>
    </row>
    <row r="3" spans="1:2">
      <c r="A3" t="s">
        <v>43</v>
      </c>
      <c r="B3" s="3">
        <f>SUM(Payroll!C2:C13)</f>
        <v>807</v>
      </c>
    </row>
    <row r="4" spans="1:2">
      <c r="A4" t="s">
        <v>44</v>
      </c>
      <c r="B4">
        <f>SUM(Payroll!D2:D13)</f>
        <v>25932</v>
      </c>
    </row>
    <row r="5" spans="1:2">
      <c r="A5" t="s">
        <v>45</v>
      </c>
      <c r="B5">
        <f>SUM(Payroll!E2:E13)</f>
        <v>1607.7839999999999</v>
      </c>
    </row>
    <row r="6" spans="1:2">
      <c r="A6" t="s">
        <v>46</v>
      </c>
      <c r="B6">
        <f>SUM(Payroll!F2:F13)</f>
        <v>376.01400000000001</v>
      </c>
    </row>
    <row r="7" spans="1:2">
      <c r="A7" t="s">
        <v>47</v>
      </c>
      <c r="B7">
        <f>SUM(Payroll!G2:G13)</f>
        <v>4667.76</v>
      </c>
    </row>
    <row r="8" spans="1:2">
      <c r="A8" t="s">
        <v>48</v>
      </c>
      <c r="B8">
        <f>SUM(Payroll!H2:H13)</f>
        <v>907.62000000000023</v>
      </c>
    </row>
    <row r="9" spans="1:2">
      <c r="A9" t="s">
        <v>49</v>
      </c>
      <c r="B9">
        <f>SUM(Payroll!I2:I13)</f>
        <v>116.69399999999999</v>
      </c>
    </row>
    <row r="10" spans="1:2">
      <c r="A10" t="s">
        <v>50</v>
      </c>
      <c r="B10">
        <f>SUM(Payroll!J2:J13)</f>
        <v>171.15120000000002</v>
      </c>
    </row>
    <row r="11" spans="1:2">
      <c r="A11" t="s">
        <v>51</v>
      </c>
      <c r="B11">
        <f>SUM(Payroll!K2:K13)</f>
        <v>631.6</v>
      </c>
    </row>
    <row r="12" spans="1:2">
      <c r="A12" t="s">
        <v>52</v>
      </c>
      <c r="B12">
        <f>SUM(Payroll!L2:L13)</f>
        <v>361.89</v>
      </c>
    </row>
    <row r="13" spans="1:2">
      <c r="A13" t="s">
        <v>53</v>
      </c>
      <c r="B13">
        <f>SUM(Payroll!M2:M13)</f>
        <v>272.10000000000002</v>
      </c>
    </row>
    <row r="14" spans="1:2">
      <c r="A14" t="s">
        <v>54</v>
      </c>
      <c r="B14">
        <f>SUM(Payroll!N2:N13)</f>
        <v>522.33000000000004</v>
      </c>
    </row>
    <row r="15" spans="1:2">
      <c r="A15" t="s">
        <v>55</v>
      </c>
      <c r="B15">
        <f>SUM(Payroll!O2:O13)</f>
        <v>304.52000000000004</v>
      </c>
    </row>
    <row r="16" spans="1:2">
      <c r="A16" t="s">
        <v>56</v>
      </c>
      <c r="B16">
        <f>SUM(Payroll!P2:P13)</f>
        <v>455.81</v>
      </c>
    </row>
    <row r="17" spans="1:2">
      <c r="A17" t="s">
        <v>57</v>
      </c>
      <c r="B17">
        <f>SUM(Payroll!Q2:Q13)</f>
        <v>14.280000000000001</v>
      </c>
    </row>
    <row r="18" spans="1:2">
      <c r="A18" t="s">
        <v>17</v>
      </c>
      <c r="B18">
        <f>SUM(Payroll!S2:S13)</f>
        <v>270</v>
      </c>
    </row>
    <row r="19" spans="1:2">
      <c r="A19" t="s">
        <v>58</v>
      </c>
      <c r="B19">
        <f>SUM(Payroll!T2:T13)</f>
        <v>10409.553200000002</v>
      </c>
    </row>
    <row r="20" spans="1:2">
      <c r="A20" t="s">
        <v>59</v>
      </c>
      <c r="B20">
        <f>SUM(Payroll!U2:U13)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Sylvester Holmes</dc:creator>
  <cp:keywords/>
  <dc:description/>
  <cp:lastModifiedBy>Sylvester Holmes</cp:lastModifiedBy>
  <cp:revision/>
  <dcterms:created xsi:type="dcterms:W3CDTF">2026-04-27T11:59:33Z</dcterms:created>
  <dcterms:modified xsi:type="dcterms:W3CDTF">2026-05-09T22:51:38Z</dcterms:modified>
  <cp:category/>
  <cp:contentStatus/>
</cp:coreProperties>
</file>