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11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12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13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14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15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  <Override PartName="/xl/worksheets/sheet19.xml" ContentType="application/vnd.openxmlformats-officedocument.spreadsheetml.worksheet+xml"/>
  <Override PartName="/xl/tables/table17.xml" ContentType="application/vnd.openxmlformats-officedocument.spreadsheetml.table+xml"/>
  <Override PartName="/xl/worksheets/sheet20.xml" ContentType="application/vnd.openxmlformats-officedocument.spreadsheetml.worksheet+xml"/>
  <Override PartName="/xl/tables/table18.xml" ContentType="application/vnd.openxmlformats-officedocument.spreadsheetml.table+xml"/>
  <Override PartName="/xl/worksheets/sheet21.xml" ContentType="application/vnd.openxmlformats-officedocument.spreadsheetml.worksheet+xml"/>
  <Override PartName="/xl/tables/table19.xml" ContentType="application/vnd.openxmlformats-officedocument.spreadsheetml.table+xml"/>
  <Override PartName="/xl/worksheets/sheet22.xml" ContentType="application/vnd.openxmlformats-officedocument.spreadsheetml.worksheet+xml"/>
  <Override PartName="/xl/tables/table20.xml" ContentType="application/vnd.openxmlformats-officedocument.spreadsheetml.table+xml"/>
  <Override PartName="/xl/worksheets/sheet2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Drivers" sheetId="2" state="visible" r:id="rId2"/>
    <sheet xmlns:r="http://schemas.openxmlformats.org/officeDocument/2006/relationships" name="Documents" sheetId="3" state="visible" r:id="rId3"/>
    <sheet xmlns:r="http://schemas.openxmlformats.org/officeDocument/2006/relationships" name="Assets" sheetId="4" state="visible" r:id="rId4"/>
    <sheet xmlns:r="http://schemas.openxmlformats.org/officeDocument/2006/relationships" name="Maintenance" sheetId="5" state="visible" r:id="rId5"/>
    <sheet xmlns:r="http://schemas.openxmlformats.org/officeDocument/2006/relationships" name="Dispatch" sheetId="6" state="visible" r:id="rId6"/>
    <sheet xmlns:r="http://schemas.openxmlformats.org/officeDocument/2006/relationships" name="Dashboard" sheetId="7" state="visible" r:id="rId7"/>
    <sheet xmlns:r="http://schemas.openxmlformats.org/officeDocument/2006/relationships" name="Payroll" sheetId="8" state="visible" r:id="rId8"/>
    <sheet xmlns:r="http://schemas.openxmlformats.org/officeDocument/2006/relationships" name="Payroll Summary" sheetId="9" state="visible" r:id="rId9"/>
    <sheet xmlns:r="http://schemas.openxmlformats.org/officeDocument/2006/relationships" name="Drivers_Clean" sheetId="10" state="visible" r:id="rId10"/>
    <sheet xmlns:r="http://schemas.openxmlformats.org/officeDocument/2006/relationships" name="Documents_Clean" sheetId="11" state="visible" r:id="rId11"/>
    <sheet xmlns:r="http://schemas.openxmlformats.org/officeDocument/2006/relationships" name="Assets_Clean" sheetId="12" state="visible" r:id="rId12"/>
    <sheet xmlns:r="http://schemas.openxmlformats.org/officeDocument/2006/relationships" name="Dispatch_Clean" sheetId="13" state="visible" r:id="rId13"/>
    <sheet xmlns:r="http://schemas.openxmlformats.org/officeDocument/2006/relationships" name="Payroll_Clean" sheetId="14" state="visible" r:id="rId14"/>
    <sheet xmlns:r="http://schemas.openxmlformats.org/officeDocument/2006/relationships" name="Safety_Events" sheetId="15" state="visible" r:id="rId15"/>
    <sheet xmlns:r="http://schemas.openxmlformats.org/officeDocument/2006/relationships" name="Compliance_Events" sheetId="16" state="visible" r:id="rId16"/>
    <sheet xmlns:r="http://schemas.openxmlformats.org/officeDocument/2006/relationships" name="Lookups" sheetId="17" state="visible" r:id="rId17"/>
    <sheet xmlns:r="http://schemas.openxmlformats.org/officeDocument/2006/relationships" name="Vercel_Drivers" sheetId="18" state="visible" r:id="rId18"/>
    <sheet xmlns:r="http://schemas.openxmlformats.org/officeDocument/2006/relationships" name="Vercel_Settlements" sheetId="19" state="visible" r:id="rId19"/>
    <sheet xmlns:r="http://schemas.openxmlformats.org/officeDocument/2006/relationships" name="Vercel_Loads" sheetId="20" state="visible" r:id="rId20"/>
    <sheet xmlns:r="http://schemas.openxmlformats.org/officeDocument/2006/relationships" name="Vercel_Safety" sheetId="21" state="visible" r:id="rId21"/>
    <sheet xmlns:r="http://schemas.openxmlformats.org/officeDocument/2006/relationships" name="Vercel_Compliance" sheetId="22" state="visible" r:id="rId22"/>
    <sheet xmlns:r="http://schemas.openxmlformats.org/officeDocument/2006/relationships" name="Vercel_Documents" sheetId="23" state="visible" r:id="rId23"/>
  </sheets>
  <definedNames/>
</workbook>
</file>

<file path=xl/styles.xml><?xml version="1.0" encoding="utf-8"?>
<styleSheet xmlns="http://schemas.openxmlformats.org/spreadsheetml/2006/main">
  <numFmts count="11">
    <numFmt numFmtId="164" formatCode="&quot;$&quot;#,##0_);[Red]\(&quot;$&quot;#,##0\)"/>
    <numFmt numFmtId="165" formatCode="\$#,##0"/>
    <numFmt numFmtId="166" formatCode="0.0%"/>
    <numFmt numFmtId="167" formatCode="&quot;$&quot;#,##0.00_-"/>
    <numFmt numFmtId="168" formatCode="$#,##0"/>
    <numFmt numFmtId="169" formatCode="mm/dd/yyyy"/>
    <numFmt numFmtId="170" formatCode="$#,##0.00;[Red]($#,##0.00)"/>
    <numFmt numFmtId="171" formatCode="mm/dd/yyyy hh:mm AM/PM"/>
    <numFmt numFmtId="172" formatCode="m/d/yyyy"/>
    <numFmt numFmtId="173" formatCode="$#,##0.00"/>
    <numFmt numFmtId="174" formatCode="m/d/yyyy h:mm AM/PM"/>
  </numFmts>
  <fonts count="12">
    <font>
      <name val="Aptos Narrow"/>
      <family val="2"/>
      <color theme="1"/>
      <sz val="11"/>
      <scheme val="minor"/>
    </font>
    <font>
      <name val="Aptos Narrow"/>
      <family val="2"/>
      <i val="1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Times New Roman"/>
      <color theme="1"/>
      <sz val="11"/>
    </font>
    <font>
      <name val="Arial"/>
      <color theme="1"/>
      <sz val="10"/>
    </font>
    <font>
      <name val="Arial"/>
      <b val="1"/>
      <color theme="1"/>
      <sz val="10"/>
    </font>
    <font>
      <name val="Aptos Narrow"/>
      <family val="2"/>
      <color rgb="FFFF0000"/>
      <sz val="11"/>
      <scheme val="minor"/>
    </font>
    <font>
      <name val="Aptos Narrow"/>
      <b val="1"/>
      <color rgb="FFFFFFFF"/>
      <sz val="14"/>
    </font>
    <font>
      <name val="Aptos Narrow"/>
      <b val="1"/>
      <color rgb="FF000000"/>
      <sz val="11"/>
    </font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D9EAF7"/>
      </patternFill>
    </fill>
    <fill>
      <patternFill patternType="solid">
        <fgColor rgb="FFDDEBF7"/>
      </patternFill>
    </fill>
    <fill>
      <patternFill patternType="solid">
        <fgColor rgb="001F4E78"/>
      </patternFill>
    </fill>
    <fill>
      <patternFill patternType="solid">
        <fgColor rgb="000F766E"/>
      </patternFill>
    </fill>
    <fill>
      <patternFill patternType="solid">
        <fgColor rgb="00E6F4F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bottom style="thin">
        <color rgb="00D1D5DB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  <xf numFmtId="10" fontId="0" fillId="0" borderId="0" pivotButton="0" quotePrefix="0" xfId="0"/>
    <xf numFmtId="14" fontId="0" fillId="0" borderId="0" pivotButton="0" quotePrefix="0" xfId="0"/>
    <xf numFmtId="0" fontId="3" fillId="0" borderId="0" pivotButton="0" quotePrefix="0" xfId="0"/>
    <xf numFmtId="14" fontId="3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6" fillId="0" borderId="0" applyAlignment="1" pivotButton="0" quotePrefix="0" xfId="0">
      <alignment horizontal="center" wrapText="1"/>
    </xf>
    <xf numFmtId="0" fontId="8" fillId="4" borderId="1" applyAlignment="1" pivotButton="0" quotePrefix="0" xfId="0">
      <alignment horizontal="center"/>
    </xf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8" fillId="5" borderId="1" pivotButton="0" quotePrefix="0" xfId="0"/>
    <xf numFmtId="0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  <xf numFmtId="0" fontId="0" fillId="3" borderId="0" pivotButton="0" quotePrefix="0" xfId="0"/>
    <xf numFmtId="0" fontId="0" fillId="0" borderId="0" pivotButton="0" quotePrefix="0" xfId="0"/>
    <xf numFmtId="0" fontId="7" fillId="2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  <xf numFmtId="165" fontId="0" fillId="0" borderId="1" pivotButton="0" quotePrefix="0" xfId="0"/>
    <xf numFmtId="166" fontId="0" fillId="0" borderId="1" pivotButton="0" quotePrefix="0" xfId="0"/>
    <xf numFmtId="167" fontId="9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14" fontId="3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4" fontId="0" fillId="0" borderId="0" pivotButton="0" quotePrefix="0" xfId="0"/>
    <xf numFmtId="0" fontId="5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wrapText="1"/>
    </xf>
    <xf numFmtId="0" fontId="10" fillId="6" borderId="0" applyAlignment="1" pivotButton="0" quotePrefix="0" xfId="0">
      <alignment horizontal="center"/>
    </xf>
    <xf numFmtId="0" fontId="0" fillId="3" borderId="0" pivotButton="0" quotePrefix="0" xfId="0"/>
    <xf numFmtId="0" fontId="11" fillId="5" borderId="1" pivotButton="0" quotePrefix="0" xfId="0"/>
    <xf numFmtId="0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  <xf numFmtId="0" fontId="0" fillId="0" borderId="1" pivotButton="0" quotePrefix="0" xfId="0"/>
    <xf numFmtId="168" fontId="0" fillId="0" borderId="1" pivotButton="0" quotePrefix="0" xfId="0"/>
    <xf numFmtId="166" fontId="0" fillId="0" borderId="1" pivotButton="0" quotePrefix="0" xfId="0"/>
    <xf numFmtId="167" fontId="9" fillId="0" borderId="0" pivotButton="0" quotePrefix="0" xfId="0"/>
    <xf numFmtId="0" fontId="10" fillId="7" borderId="2" applyAlignment="1" pivotButton="0" quotePrefix="0" xfId="0">
      <alignment horizontal="center" vertical="center"/>
    </xf>
    <xf numFmtId="0" fontId="11" fillId="8" borderId="2" pivotButton="0" quotePrefix="0" xfId="0"/>
    <xf numFmtId="0" fontId="0" fillId="0" borderId="0" applyAlignment="1" pivotButton="0" quotePrefix="0" xfId="0">
      <alignment vertical="top" wrapText="1"/>
    </xf>
    <xf numFmtId="169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169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0" fontId="10" fillId="7" borderId="2" applyAlignment="1" pivotButton="0" quotePrefix="0" xfId="0">
      <alignment wrapText="1"/>
    </xf>
    <xf numFmtId="0" fontId="11" fillId="8" borderId="2" applyAlignment="1" pivotButton="0" quotePrefix="0" xfId="0">
      <alignment wrapText="1"/>
    </xf>
    <xf numFmtId="172" fontId="0" fillId="0" borderId="0" pivotButton="0" quotePrefix="0" xfId="0"/>
    <xf numFmtId="173" fontId="0" fillId="0" borderId="0" pivotButton="0" quotePrefix="0" xfId="0"/>
    <xf numFmtId="174" fontId="0" fillId="0" borderId="0" pivotButton="0" quotePrefix="0" xfId="0"/>
    <xf numFmtId="172" fontId="0" fillId="0" borderId="0" pivotButton="0" quotePrefix="0" xfId="0"/>
    <xf numFmtId="173" fontId="0" fillId="0" borderId="0" pivotButton="0" quotePrefix="0" xfId="0"/>
    <xf numFmtId="174" fontId="0" fillId="0" borderId="0" pivotButton="0" quotePrefix="0" xfId="0"/>
    <xf numFmtId="0" fontId="10" fillId="7" borderId="2" applyAlignment="1" pivotButton="0" quotePrefix="0" xfId="0">
      <alignment horizontal="center"/>
    </xf>
  </cellXfs>
  <cellStyles count="1">
    <cellStyle name="Normal" xfId="0"/>
  </cellStyles>
  <dxfs count="23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 val="1"/>
        <color rgb="FFFFFFFF"/>
      </font>
      <fill>
        <patternFill>
          <bgColor rgb="FF00B050"/>
        </patternFill>
      </fill>
    </dxf>
    <dxf>
      <font>
        <b val="1"/>
        <color rgb="FF000000"/>
      </font>
      <fill>
        <patternFill>
          <bgColor rgb="FFF4B183"/>
        </patternFill>
      </fill>
    </dxf>
    <dxf>
      <font>
        <b val="1"/>
        <color rgb="FFFFFFFF"/>
      </font>
      <fill>
        <patternFill>
          <bgColor rgb="FFC00000"/>
        </patternFill>
      </fill>
    </dxf>
    <dxf>
      <font>
        <b val="1"/>
        <color rgb="FF000000"/>
      </font>
      <fill>
        <patternFill>
          <bgColor rgb="FFFFA500"/>
        </patternFill>
      </fill>
    </dxf>
    <dxf>
      <font>
        <b val="1"/>
        <color rgb="FFFFFFFF"/>
      </font>
      <fill>
        <patternFill>
          <bgColor rgb="FFAA0000"/>
        </patternFill>
      </fill>
    </dxf>
    <dxf>
      <font>
        <b val="1"/>
        <color rgb="FF000000"/>
      </font>
      <fill>
        <patternFill>
          <bgColor rgb="FFFFFF00"/>
        </patternFill>
      </fill>
    </dxf>
    <dxf>
      <font>
        <b val="1"/>
        <color rgb="FFFFFFFF"/>
      </font>
      <fill>
        <patternFill>
          <bgColor rgb="FFAA0000"/>
        </patternFill>
      </fill>
    </dxf>
    <dxf>
      <font>
        <b val="1"/>
        <color rgb="FFFFFFFF"/>
      </font>
      <fill>
        <patternFill>
          <bgColor rgb="FF00AA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FFFFFF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Deal Count by Driver</a:t>
            </a:r>
          </a:p>
        </rich>
      </tx>
      <overlay val="0"/>
      <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/>
          </a:pPr>
          <a:r>
            <a:t>None</a:t>
          </a:r>
        </a:p>
      </txPr>
    </title>
    <plotArea>
      <layout/>
      <barChart>
        <barDir val="col"/>
        <grouping val="clustered"/>
        <ser>
          <idx val="0"/>
          <order val="0"/>
          <tx>
            <strRef>
              <f>'Dashboard'!B13</f>
              <strCache>
                <ptCount val="1"/>
                <pt idx="0">
                  <v>None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cat>
            <strRef>
              <f>'Dashboard'!$A$14:$A$25</f>
              <strCache>
                <ptCount val="0"/>
              </strCache>
            </strRef>
          </cat>
          <val>
            <numRef>
              <f>'Dashboard'!$B$14:$B$25</f>
              <numCach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l"/>
        <numFmt formatCode="" sourceLinked="0"/>
        <majorTickMark val="none"/>
        <minorTickMark val="none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numFmt formatCode="" sourceLinked="0"/>
        <majorTickMark val="none"/>
        <minorTickMark val="none"/>
        <crossAx val="48650112"/>
        <crosses val="autoZero"/>
        <crossBetween val="between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Compliance % by Driver</a:t>
            </a:r>
          </a:p>
        </rich>
      </tx>
      <overlay val="0"/>
      <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/>
          </a:pPr>
          <a:r>
            <a:t>None</a:t>
          </a:r>
        </a:p>
      </txPr>
    </title>
    <plotArea>
      <layout/>
      <barChart>
        <barDir val="col"/>
        <grouping val="clustered"/>
        <ser>
          <idx val="0"/>
          <order val="0"/>
          <tx>
            <strRef>
              <f>'Dashboard'!D13</f>
              <strCache>
                <ptCount val="1"/>
                <pt idx="0">
                  <v>None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cat>
            <strRef>
              <f>'Dashboard'!$A$14:$A$25</f>
              <strCache>
                <ptCount val="0"/>
              </strCache>
            </strRef>
          </cat>
          <val>
            <numRef>
              <f>'Dashboard'!$D$14:$D$25</f>
              <numCach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l"/>
        <numFmt formatCode="" sourceLinked="0"/>
        <majorTickMark val="none"/>
        <minorTickMark val="none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numFmt formatCode="" sourceLinked="0"/>
        <majorTickMark val="none"/>
        <minorTickMark val="none"/>
        <crossAx val="48650112"/>
        <crosses val="autoZero"/>
        <crossBetween val="between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6</col>
      <colOff>0</colOff>
      <row>3</row>
      <rowOff>0</rowOff>
    </from>
    <to>
      <col>2</col>
      <colOff>0</colOff>
      <row>10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6</col>
      <colOff>0</colOff>
      <row>19</row>
      <rowOff>0</rowOff>
    </from>
    <to>
      <col>2</col>
      <colOff>0</colOff>
      <row>10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DriversCleanTable" displayName="DriversCleanTable" ref="A1:M12" headerRowCount="1">
  <autoFilter ref="A1:M12"/>
  <tableColumns count="13">
    <tableColumn id="1" name="Driver ID"/>
    <tableColumn id="2" name="Full Name"/>
    <tableColumn id="3" name="Phone Number"/>
    <tableColumn id="4" name="Address"/>
    <tableColumn id="5" name="CDL Expiration Date"/>
    <tableColumn id="6" name="Medical Card Expiration"/>
    <tableColumn id="7" name="MVR Expiration"/>
    <tableColumn id="8" name="Assigned Truck"/>
    <tableColumn id="9" name="Compliance Status"/>
    <tableColumn id="10" name="Photo URL"/>
    <tableColumn id="11" name="CDL URL"/>
    <tableColumn id="12" name="MVR URL"/>
    <tableColumn id="13" name="Medical URL"/>
  </tableColumns>
  <tableStyleInfo name="TableStyleMedium2" showRowStripes="1"/>
</table>
</file>

<file path=xl/tables/table2.xml><?xml version="1.0" encoding="utf-8"?>
<table xmlns="http://schemas.openxmlformats.org/spreadsheetml/2006/main" id="2" name="tblDriversClean" displayName="tblDriversClean" ref="A1:P12" headerRowCount="1">
  <autoFilter ref="A1:P12"/>
  <tableColumns count="16">
    <tableColumn id="1" name="Legacy Driver ID"/>
    <tableColumn id="2" name="Driver ID"/>
    <tableColumn id="3" name="Full Name"/>
    <tableColumn id="4" name="Phone Number"/>
    <tableColumn id="5" name="Address"/>
    <tableColumn id="6" name="CDL Expiration Date"/>
    <tableColumn id="7" name="Medical Card Expiration"/>
    <tableColumn id="8" name="MVR Expiration"/>
    <tableColumn id="9" name="Assigned Truck"/>
    <tableColumn id="10" name="Compliance Status"/>
    <tableColumn id="11" name="Photo URL"/>
    <tableColumn id="12" name="CDL URL"/>
    <tableColumn id="13" name="MVR URL"/>
    <tableColumn id="14" name="Medical URL"/>
    <tableColumn id="15" name="Compliance Tier"/>
    <tableColumn id="16" name="Primary Truck"/>
  </tableColumns>
  <tableStyleInfo name="TableStyleMedium2" showRowStripes="1"/>
</table>
</file>

<file path=xl/tables/table3.xml><?xml version="1.0" encoding="utf-8"?>
<table xmlns="http://schemas.openxmlformats.org/spreadsheetml/2006/main" id="3" name="DocumentsCleanTable" displayName="DocumentsCleanTable" ref="A1:J85" headerRowCount="1">
  <autoFilter ref="A1:J85"/>
  <tableColumns count="10">
    <tableColumn id="1" name="Driver ID"/>
    <tableColumn id="2" name="Full Name"/>
    <tableColumn id="3" name="Phone"/>
    <tableColumn id="4" name="Address"/>
    <tableColumn id="5" name="Compliance Status"/>
    <tableColumn id="6" name="Document Type"/>
    <tableColumn id="7" name="Expiration Date"/>
    <tableColumn id="8" name="File Link"/>
    <tableColumn id="9" name="Standard Doc Type"/>
    <tableColumn id="10" name="Document URL"/>
  </tableColumns>
  <tableStyleInfo name="TableStyleMedium2" showRowStripes="1"/>
</table>
</file>

<file path=xl/tables/table4.xml><?xml version="1.0" encoding="utf-8"?>
<table xmlns="http://schemas.openxmlformats.org/spreadsheetml/2006/main" id="4" name="tblDocumentsClean" displayName="tblDocumentsClean" ref="A1:L85" headerRowCount="1">
  <autoFilter ref="A1:L85"/>
  <tableColumns count="12">
    <tableColumn id="1" name="Driver ID"/>
    <tableColumn id="2" name="Full Name"/>
    <tableColumn id="3" name="Phone"/>
    <tableColumn id="4" name="Address"/>
    <tableColumn id="5" name="Compliance Status"/>
    <tableColumn id="6" name="Document Type"/>
    <tableColumn id="7" name="Expiration Date"/>
    <tableColumn id="8" name="File Link"/>
    <tableColumn id="9" name="Standard Doc Type"/>
    <tableColumn id="10" name="Document URL"/>
    <tableColumn id="11" name="Doc Status"/>
    <tableColumn id="12" name="Export Key"/>
  </tableColumns>
  <tableStyleInfo name="TableStyleMedium2" showRowStripes="1"/>
</table>
</file>

<file path=xl/tables/table5.xml><?xml version="1.0" encoding="utf-8"?>
<table xmlns="http://schemas.openxmlformats.org/spreadsheetml/2006/main" id="5" name="AssetsCleanTable" displayName="AssetsCleanTable" ref="A1:F26" headerRowCount="1">
  <autoFilter ref="A1:F26"/>
  <tableColumns count="6">
    <tableColumn id="1" name="Asset ID"/>
    <tableColumn id="2" name="Assigned Driver ID"/>
    <tableColumn id="3" name="Assigned Driver Name"/>
    <tableColumn id="4" name="Last Service Date"/>
    <tableColumn id="5" name="Next Service Date"/>
    <tableColumn id="6" name="Status Indicator"/>
  </tableColumns>
  <tableStyleInfo name="TableStyleMedium2" showRowStripes="1"/>
</table>
</file>

<file path=xl/tables/table6.xml><?xml version="1.0" encoding="utf-8"?>
<table xmlns="http://schemas.openxmlformats.org/spreadsheetml/2006/main" id="6" name="tblAssetsClean" displayName="tblAssetsClean" ref="A1:H26" headerRowCount="1">
  <autoFilter ref="A1:H26"/>
  <tableColumns count="8">
    <tableColumn id="1" name="Asset ID"/>
    <tableColumn id="2" name="Assigned Driver ID"/>
    <tableColumn id="3" name="Assigned Driver Name"/>
    <tableColumn id="4" name="Last Service Date"/>
    <tableColumn id="5" name="Next Service Date"/>
    <tableColumn id="6" name="Status Indicator"/>
    <tableColumn id="7" name="Service Status"/>
    <tableColumn id="8" name="Export Ready"/>
  </tableColumns>
  <tableStyleInfo name="TableStyleMedium2" showRowStripes="1"/>
</table>
</file>

<file path=xl/tables/table7.xml><?xml version="1.0" encoding="utf-8"?>
<table xmlns="http://schemas.openxmlformats.org/spreadsheetml/2006/main" id="7" name="DispatchCleanTable" displayName="DispatchCleanTable" ref="A1:U13" headerRowCount="1">
  <autoFilter ref="A1:U13"/>
  <tableColumns count="21">
    <tableColumn id="1" name="Load ID"/>
    <tableColumn id="2" name="Driver ID"/>
    <tableColumn id="3" name="Driver Name"/>
    <tableColumn id="4" name="Asset ID"/>
    <tableColumn id="5" name="Revenue"/>
    <tableColumn id="6" name="Backhaul Pay"/>
    <tableColumn id="7" name="Driver Signature?"/>
    <tableColumn id="8" name="Load Status"/>
    <tableColumn id="9" name="Reason for Pending Status"/>
    <tableColumn id="10" name="Seal Number (Pickup)"/>
    <tableColumn id="11" name="Seal Photo (Pickup)"/>
    <tableColumn id="12" name="Seal Number (Delivery)"/>
    <tableColumn id="13" name="Seal Photo (Delivery)"/>
    <tableColumn id="14" name="Seal Status"/>
    <tableColumn id="15" name="Exception Flag"/>
    <tableColumn id="16" name="Override Reason"/>
    <tableColumn id="17" name="Audit Log"/>
    <tableColumn id="18" name="Compliance Lock"/>
    <tableColumn id="19" name="Seal Issue Type"/>
    <tableColumn id="20" name="Photo Required?"/>
    <tableColumn id="21" name="Review Status"/>
  </tableColumns>
  <tableStyleInfo name="TableStyleMedium2" showRowStripes="1"/>
</table>
</file>

<file path=xl/tables/table8.xml><?xml version="1.0" encoding="utf-8"?>
<table xmlns="http://schemas.openxmlformats.org/spreadsheetml/2006/main" id="8" name="tblDispatchClean" displayName="tblDispatchClean" ref="A1:X13" headerRowCount="1">
  <autoFilter ref="A1:X13"/>
  <tableColumns count="24">
    <tableColumn id="1" name="Load ID"/>
    <tableColumn id="2" name="Driver ID"/>
    <tableColumn id="3" name="Driver Name"/>
    <tableColumn id="4" name="Asset ID"/>
    <tableColumn id="5" name="Revenue"/>
    <tableColumn id="6" name="Backhaul Pay"/>
    <tableColumn id="7" name="Driver Signature?"/>
    <tableColumn id="8" name="Load Status"/>
    <tableColumn id="9" name="Reason for Pending Status"/>
    <tableColumn id="10" name="Seal Number (Pickup)"/>
    <tableColumn id="11" name="Seal Photo (Pickup)"/>
    <tableColumn id="12" name="Seal Number (Delivery)"/>
    <tableColumn id="13" name="Seal Photo (Delivery)"/>
    <tableColumn id="14" name="Seal Status"/>
    <tableColumn id="15" name="Exception Flag"/>
    <tableColumn id="16" name="Override Reason"/>
    <tableColumn id="17" name="Audit Log"/>
    <tableColumn id="18" name="Compliance Lock"/>
    <tableColumn id="19" name="Seal Issue Type"/>
    <tableColumn id="20" name="Photo Required?"/>
    <tableColumn id="21" name="Review Status"/>
    <tableColumn id="22" name="Legacy Driver ID"/>
    <tableColumn id="23" name="Revenue Status"/>
    <tableColumn id="24" name="Export Load Status"/>
  </tableColumns>
  <tableStyleInfo name="TableStyleMedium2" showRowStripes="1"/>
</table>
</file>

<file path=xl/tables/table9.xml><?xml version="1.0" encoding="utf-8"?>
<table xmlns="http://schemas.openxmlformats.org/spreadsheetml/2006/main" id="9" name="PayrollCleanTable" displayName="PayrollCleanTable" ref="A1:Y12" headerRowCount="1">
  <autoFilter ref="A1:Y12"/>
  <tableColumns count="25">
    <tableColumn id="1" name="Driver ID"/>
    <tableColumn id="2" name="Full Name"/>
    <tableColumn id="3" name="Driver"/>
    <tableColumn id="4" name="Base Earnings"/>
    <tableColumn id="5" name="Backhaul Pay"/>
    <tableColumn id="6" name="Gross Pay"/>
    <tableColumn id="7" name="FICA"/>
    <tableColumn id="8" name="OASDI"/>
    <tableColumn id="9" name="Federal Withholding"/>
    <tableColumn id="10" name="State Withholding"/>
    <tableColumn id="11" name="SDI"/>
    <tableColumn id="12" name="FM Leave"/>
    <tableColumn id="13" name="Family Support"/>
    <tableColumn id="14" name="Insurance Premiums"/>
    <tableColumn id="15" name="Credit Union Savings Club"/>
    <tableColumn id="16" name="401(k) Contribution"/>
    <tableColumn id="17" name="HSA/FSA Health Deduction"/>
    <tableColumn id="18" name="Health Insurance Premiums"/>
    <tableColumn id="19" name="Life Insurance Above 50k"/>
    <tableColumn id="20" name="Total Deductions"/>
    <tableColumn id="21" name="Fuel Reimb."/>
    <tableColumn id="22" name="Net Pay"/>
    <tableColumn id="23" name="Status"/>
    <tableColumn id="24" name="Pending Reason"/>
    <tableColumn id="25" name="401(k) Rate"/>
  </tableColumns>
  <tableStyleInfo name="TableStyleMedium2" showRowStripes="1"/>
</table>
</file>

<file path=xl/tables/table10.xml><?xml version="1.0" encoding="utf-8"?>
<table xmlns="http://schemas.openxmlformats.org/spreadsheetml/2006/main" id="10" name="tblPayrollClean" displayName="tblPayrollClean" ref="A1:AB12" headerRowCount="1">
  <autoFilter ref="A1:AB12"/>
  <tableColumns count="28">
    <tableColumn id="1" name="Driver ID"/>
    <tableColumn id="2" name="Full Name"/>
    <tableColumn id="3" name="Driver"/>
    <tableColumn id="4" name="Base Earnings"/>
    <tableColumn id="5" name="Backhaul Pay"/>
    <tableColumn id="6" name="Gross Pay"/>
    <tableColumn id="7" name="FICA"/>
    <tableColumn id="8" name="OASDI"/>
    <tableColumn id="9" name="Federal Withholding"/>
    <tableColumn id="10" name="State Withholding"/>
    <tableColumn id="11" name="SDI"/>
    <tableColumn id="12" name="FM Leave"/>
    <tableColumn id="13" name="Family Support"/>
    <tableColumn id="14" name="Insurance Premiums"/>
    <tableColumn id="15" name="Credit Union Savings Club"/>
    <tableColumn id="16" name="401(k) Contribution"/>
    <tableColumn id="17" name="HSA/FSA Health Deduction"/>
    <tableColumn id="18" name="Health Insurance Premiums"/>
    <tableColumn id="19" name="Life Insurance Above 50k"/>
    <tableColumn id="20" name="Total Deductions"/>
    <tableColumn id="21" name="Fuel Reimb."/>
    <tableColumn id="22" name="Net Pay"/>
    <tableColumn id="23" name="Status"/>
    <tableColumn id="24" name="Pending Reason"/>
    <tableColumn id="25" name="401(k) Rate"/>
    <tableColumn id="26" name="Legacy Driver ID"/>
    <tableColumn id="27" name="Settlement ID"/>
    <tableColumn id="28" name="Export Status"/>
  </tableColumns>
  <tableStyleInfo name="TableStyleMedium2" showRowStripes="1"/>
</table>
</file>

<file path=xl/tables/table11.xml><?xml version="1.0" encoding="utf-8"?>
<table xmlns="http://schemas.openxmlformats.org/spreadsheetml/2006/main" id="11" name="SafetyEventsTable" displayName="SafetyEventsTable" ref="A1:J5" headerRowCount="1">
  <autoFilter ref="A1:J5"/>
  <tableColumns count="10">
    <tableColumn id="1" name="Event ID"/>
    <tableColumn id="2" name="Driver ID"/>
    <tableColumn id="3" name="Driver Name"/>
    <tableColumn id="4" name="Event Type"/>
    <tableColumn id="5" name="Severity"/>
    <tableColumn id="6" name="Status"/>
    <tableColumn id="7" name="Timestamp"/>
    <tableColumn id="8" name="Unit"/>
    <tableColumn id="9" name="Location"/>
    <tableColumn id="10" name="Details"/>
  </tableColumns>
  <tableStyleInfo name="TableStyleMedium2" showRowStripes="1"/>
</table>
</file>

<file path=xl/tables/table12.xml><?xml version="1.0" encoding="utf-8"?>
<table xmlns="http://schemas.openxmlformats.org/spreadsheetml/2006/main" id="12" name="tblSafetyEvents" displayName="tblSafetyEvents" ref="A1:L5" headerRowCount="1">
  <autoFilter ref="A1:L5"/>
  <tableColumns count="12">
    <tableColumn id="1" name="Event ID"/>
    <tableColumn id="2" name="Driver ID"/>
    <tableColumn id="3" name="Driver Name"/>
    <tableColumn id="4" name="Event Type"/>
    <tableColumn id="5" name="Severity"/>
    <tableColumn id="6" name="Status"/>
    <tableColumn id="7" name="Timestamp"/>
    <tableColumn id="8" name="Unit"/>
    <tableColumn id="9" name="Location"/>
    <tableColumn id="10" name="Details"/>
    <tableColumn id="11" name="Driver Photo URL"/>
    <tableColumn id="12" name="Export Status"/>
  </tableColumns>
  <tableStyleInfo name="TableStyleMedium2" showRowStripes="1"/>
</table>
</file>

<file path=xl/tables/table13.xml><?xml version="1.0" encoding="utf-8"?>
<table xmlns="http://schemas.openxmlformats.org/spreadsheetml/2006/main" id="13" name="ComplianceEventsTable" displayName="ComplianceEventsTable" ref="A1:H5" headerRowCount="1">
  <autoFilter ref="A1:H5"/>
  <tableColumns count="8">
    <tableColumn id="1" name="Event ID"/>
    <tableColumn id="2" name="Driver ID"/>
    <tableColumn id="3" name="Driver Name"/>
    <tableColumn id="4" name="Event Type"/>
    <tableColumn id="5" name="Severity"/>
    <tableColumn id="6" name="Status"/>
    <tableColumn id="7" name="Due Date"/>
    <tableColumn id="8" name="Details"/>
  </tableColumns>
  <tableStyleInfo name="TableStyleMedium2" showRowStripes="1"/>
</table>
</file>

<file path=xl/tables/table14.xml><?xml version="1.0" encoding="utf-8"?>
<table xmlns="http://schemas.openxmlformats.org/spreadsheetml/2006/main" id="14" name="tblComplianceEvents" displayName="tblComplianceEvents" ref="A1:J5" headerRowCount="1">
  <autoFilter ref="A1:J5"/>
  <tableColumns count="10">
    <tableColumn id="1" name="Event ID"/>
    <tableColumn id="2" name="Driver ID"/>
    <tableColumn id="3" name="Driver Name"/>
    <tableColumn id="4" name="Event Type"/>
    <tableColumn id="5" name="Severity"/>
    <tableColumn id="6" name="Status"/>
    <tableColumn id="7" name="Due Date"/>
    <tableColumn id="8" name="Details"/>
    <tableColumn id="9" name="Driver Photo URL"/>
    <tableColumn id="10" name="Export Status"/>
  </tableColumns>
  <tableStyleInfo name="TableStyleMedium2" showRowStripes="1"/>
</table>
</file>

<file path=xl/tables/table15.xml><?xml version="1.0" encoding="utf-8"?>
<table xmlns="http://schemas.openxmlformats.org/spreadsheetml/2006/main" id="15" name="tblLookups" displayName="tblLookups" ref="A1:C21" headerRowCount="1">
  <autoFilter ref="A1:C21"/>
  <tableColumns count="3">
    <tableColumn id="1" name="Category"/>
    <tableColumn id="2" name="Allowed Value"/>
    <tableColumn id="3" name="Notes"/>
  </tableColumns>
  <tableStyleInfo name="TableStyleMedium2" showRowStripes="1"/>
</table>
</file>

<file path=xl/tables/table16.xml><?xml version="1.0" encoding="utf-8"?>
<table xmlns="http://schemas.openxmlformats.org/spreadsheetml/2006/main" id="16" name="tblVercelDrivers" displayName="tblVercelDrivers" ref="A1:H12" headerRowCount="1">
  <autoFilter ref="A1:H12"/>
  <tableColumns count="8">
    <tableColumn id="1" name="Driver ID"/>
    <tableColumn id="2" name="Full Name"/>
    <tableColumn id="3" name="Photo URL"/>
    <tableColumn id="4" name="Primary Truck"/>
    <tableColumn id="5" name="Compliance Tier"/>
    <tableColumn id="6" name="CDL Expiration Date"/>
    <tableColumn id="7" name="Medical Card Expiration"/>
    <tableColumn id="8" name="MVR Expiration"/>
  </tableColumns>
  <tableStyleInfo name="TableStyleMedium2" showRowStripes="1"/>
</table>
</file>

<file path=xl/tables/table17.xml><?xml version="1.0" encoding="utf-8"?>
<table xmlns="http://schemas.openxmlformats.org/spreadsheetml/2006/main" id="17" name="tblVercelSettlements" displayName="tblVercelSettlements" ref="A1:J12" headerRowCount="1">
  <autoFilter ref="A1:J12"/>
  <tableColumns count="10">
    <tableColumn id="1" name="Settlement ID"/>
    <tableColumn id="2" name="Driver ID"/>
    <tableColumn id="3" name="Full Name"/>
    <tableColumn id="4" name="Gross Pay"/>
    <tableColumn id="5" name="Total Deductions"/>
    <tableColumn id="6" name="Fuel Reimb."/>
    <tableColumn id="7" name="Net Pay"/>
    <tableColumn id="8" name="Status"/>
    <tableColumn id="9" name="Pending Reason"/>
    <tableColumn id="10" name="Export Status"/>
  </tableColumns>
  <tableStyleInfo name="TableStyleMedium2" showRowStripes="1"/>
</table>
</file>

<file path=xl/tables/table18.xml><?xml version="1.0" encoding="utf-8"?>
<table xmlns="http://schemas.openxmlformats.org/spreadsheetml/2006/main" id="18" name="tblVercelLoads" displayName="tblVercelLoads" ref="A1:N13" headerRowCount="1">
  <autoFilter ref="A1:N13"/>
  <tableColumns count="14">
    <tableColumn id="1" name="Load ID"/>
    <tableColumn id="2" name="Driver ID"/>
    <tableColumn id="3" name="Driver Name"/>
    <tableColumn id="4" name="Asset ID"/>
    <tableColumn id="5" name="Revenue"/>
    <tableColumn id="6" name="Backhaul Pay"/>
    <tableColumn id="7" name="Load Status"/>
    <tableColumn id="8" name="Export Load Status"/>
    <tableColumn id="9" name="Seal Status"/>
    <tableColumn id="10" name="Seal Issue Type"/>
    <tableColumn id="11" name="Photo Required?"/>
    <tableColumn id="12" name="Review Status"/>
    <tableColumn id="13" name="Exception Flag"/>
    <tableColumn id="14" name="Revenue Status"/>
  </tableColumns>
  <tableStyleInfo name="TableStyleMedium2" showRowStripes="1"/>
</table>
</file>

<file path=xl/tables/table19.xml><?xml version="1.0" encoding="utf-8"?>
<table xmlns="http://schemas.openxmlformats.org/spreadsheetml/2006/main" id="19" name="tblVercelSafety" displayName="tblVercelSafety" ref="A1:L5" headerRowCount="1">
  <autoFilter ref="A1:L5"/>
  <tableColumns count="12">
    <tableColumn id="1" name="Event ID"/>
    <tableColumn id="2" name="Driver ID"/>
    <tableColumn id="3" name="Driver Name"/>
    <tableColumn id="4" name="Driver Photo URL"/>
    <tableColumn id="5" name="Event Type"/>
    <tableColumn id="6" name="Severity"/>
    <tableColumn id="7" name="Status"/>
    <tableColumn id="8" name="Timestamp"/>
    <tableColumn id="9" name="Unit"/>
    <tableColumn id="10" name="Location"/>
    <tableColumn id="11" name="Details"/>
    <tableColumn id="12" name="Export Status"/>
  </tableColumns>
  <tableStyleInfo name="TableStyleMedium2" showRowStripes="1"/>
</table>
</file>

<file path=xl/tables/table20.xml><?xml version="1.0" encoding="utf-8"?>
<table xmlns="http://schemas.openxmlformats.org/spreadsheetml/2006/main" id="20" name="tblVercelCompliance" displayName="tblVercelCompliance" ref="A1:J5" headerRowCount="1">
  <autoFilter ref="A1:J5"/>
  <tableColumns count="10">
    <tableColumn id="1" name="Event ID"/>
    <tableColumn id="2" name="Driver ID"/>
    <tableColumn id="3" name="Driver Name"/>
    <tableColumn id="4" name="Driver Photo URL"/>
    <tableColumn id="5" name="Event Type"/>
    <tableColumn id="6" name="Severity"/>
    <tableColumn id="7" name="Status"/>
    <tableColumn id="8" name="Due Date"/>
    <tableColumn id="9" name="Details"/>
    <tableColumn id="10" name="Export Status"/>
  </tableColumns>
  <tableStyleInfo name="TableStyleMedium2" showRowStripes="1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table" Target="/xl/tables/table6.xml" Id="rId2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7.xml" Id="rId1"/><Relationship Type="http://schemas.openxmlformats.org/officeDocument/2006/relationships/table" Target="/xl/tables/table8.xml" Id="rId2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9.xml" Id="rId1"/><Relationship Type="http://schemas.openxmlformats.org/officeDocument/2006/relationships/table" Target="/xl/tables/table10.xml" Id="rId2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1.xml" Id="rId1"/><Relationship Type="http://schemas.openxmlformats.org/officeDocument/2006/relationships/table" Target="/xl/tables/table12.xml" Id="rId2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3.xml" Id="rId1"/><Relationship Type="http://schemas.openxmlformats.org/officeDocument/2006/relationships/table" Target="/xl/tables/table14.xml" Id="rId2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20" customWidth="1" style="24" min="1" max="1"/>
    <col width="120" customWidth="1" style="24" min="2" max="2"/>
  </cols>
  <sheetData>
    <row r="1">
      <c r="A1" s="58" t="inlineStr">
        <is>
          <t>Workbook Cleanup Summary</t>
        </is>
      </c>
      <c r="B1" s="49" t="inlineStr">
        <is>
          <t>This workbook was cleaned and structured for migration planning and polished demo use.</t>
        </is>
      </c>
    </row>
    <row r="2">
      <c r="A2" s="59" t="inlineStr">
        <is>
          <t>Second pass completed for MVP use.</t>
        </is>
      </c>
      <c r="B2" s="51" t="inlineStr">
        <is>
          <t>Documents was converted from one CSV-packed column into proper fields. Normalized clean tabs were added for Drivers, Documents, Assets, Dispatch, and Payroll. Structured Safety_Events and Compliance_Events tabs were added for app planning.</t>
        </is>
      </c>
    </row>
    <row r="3">
      <c r="A3" s="59" t="inlineStr">
        <is>
          <t>- Statuses standardized across clean tabs (PAID/PENDING/ON_HOLD, DELIVERED/IN_TRANSIT/PENDING, VALID/EXPIRING_SOON/EXPIRED, OPEN/REVIEWED/CLOSED).</t>
        </is>
      </c>
      <c r="B3" s="51" t="inlineStr">
        <is>
          <t>Keep the original tabs for current formulas and dashboards. Use the *_Clean tabs when mapping data into Vercel or a future database.</t>
        </is>
      </c>
    </row>
    <row r="4">
      <c r="A4" s="59" t="inlineStr">
        <is>
          <t>Latest upgrade</t>
        </is>
      </c>
      <c r="B4" s="51" t="inlineStr">
        <is>
          <t>Link wiring added for photos and documents; Vercel export tabs now include direct URLs and a Vercel_Documents export was added.</t>
        </is>
      </c>
    </row>
    <row r="5">
      <c r="A5" s="59" t="inlineStr">
        <is>
          <t>JSON seed file</t>
        </is>
      </c>
      <c r="B5" s="51" t="inlineStr">
        <is>
          <t>See backofficefleet_vercel_seed.json generated alongside this workbook.</t>
        </is>
      </c>
    </row>
    <row r="7">
      <c r="A7" t="inlineStr">
        <is>
          <t>Photo Layer Added</t>
        </is>
      </c>
    </row>
    <row r="8">
      <c r="A8" t="inlineStr">
        <is>
          <t>Dispatch, document preview, safety, compliance, POD, pickup, delivery, lumper, and seal-related image URLs are now wired for Vercel.</t>
        </is>
      </c>
    </row>
    <row r="10">
      <c r="A10" t="inlineStr">
        <is>
          <t>Photo Layer Exports</t>
        </is>
      </c>
    </row>
    <row r="11">
      <c r="A11" t="inlineStr">
        <is>
          <t>Use Vercel_Loads, Vercel_Documents, Vercel_Safety, and Vercel_Compliance for image URLs including POD, pickup, delivery, lumper, document previews, safety event images, and compliance evidence.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4.25"/>
  <cols>
    <col width="16.625" customWidth="1" style="24" min="1" max="1"/>
    <col width="17.75" customWidth="1" style="24" min="2" max="2"/>
    <col width="16.375" customWidth="1" style="24" min="3" max="3"/>
    <col width="36" customWidth="1" style="24" min="4" max="4"/>
    <col width="32" customWidth="1" style="24" min="5" max="5"/>
    <col width="17.75" customWidth="1" style="24" min="6" max="6"/>
    <col width="21.375" customWidth="1" style="24" min="7" max="7"/>
    <col width="16.625" customWidth="1" style="36" min="8" max="8"/>
    <col width="23.125" customWidth="1" style="24" min="9" max="9"/>
    <col width="16.25" customWidth="1" style="24" min="10" max="10"/>
  </cols>
  <sheetData>
    <row r="1" ht="15" customHeight="1" s="24">
      <c r="A1" t="inlineStr">
        <is>
          <t>Total Drivers:</t>
        </is>
      </c>
      <c r="B1">
        <f>COUNTA(B6:B16)</f>
        <v/>
      </c>
    </row>
    <row r="2" ht="15" customHeight="1" s="24">
      <c r="A2" t="inlineStr">
        <is>
          <t>Compliant Drivers:</t>
        </is>
      </c>
      <c r="B2">
        <f>COUNTIF(E6:E17, "✅ COMPLIANT")</f>
        <v/>
      </c>
    </row>
    <row r="3" ht="15" customHeight="1" s="24">
      <c r="A3" t="inlineStr">
        <is>
          <t>Fleet Health %:</t>
        </is>
      </c>
      <c r="B3" s="31">
        <f>B2/B1</f>
        <v/>
      </c>
    </row>
    <row r="5" ht="15" customFormat="1" customHeight="1" s="2">
      <c r="A5" s="32" t="inlineStr">
        <is>
          <t>Driver ID</t>
        </is>
      </c>
      <c r="B5" s="32" t="inlineStr">
        <is>
          <t>Full Name</t>
        </is>
      </c>
      <c r="C5" s="32" t="inlineStr">
        <is>
          <t>Phone Number</t>
        </is>
      </c>
      <c r="D5" s="32" t="inlineStr">
        <is>
          <t>Address</t>
        </is>
      </c>
      <c r="E5" s="32" t="inlineStr">
        <is>
          <t>Compliance Status</t>
        </is>
      </c>
      <c r="F5" s="32" t="inlineStr">
        <is>
          <t>CDL Expiration Date</t>
        </is>
      </c>
      <c r="G5" s="32" t="inlineStr">
        <is>
          <t>Medical Card Expiration</t>
        </is>
      </c>
      <c r="H5" s="33" t="inlineStr">
        <is>
          <t>MVR Expiration</t>
        </is>
      </c>
      <c r="I5" t="inlineStr">
        <is>
          <t>Assigned Truck</t>
        </is>
      </c>
      <c r="J5" s="32" t="n"/>
      <c r="K5" s="32" t="n"/>
      <c r="L5" s="32" t="n"/>
      <c r="M5" s="32" t="n"/>
      <c r="N5" s="32" t="n"/>
      <c r="O5" s="32" t="n"/>
      <c r="P5" s="32" t="n"/>
      <c r="Q5" s="32" t="n"/>
      <c r="R5" s="32" t="n"/>
      <c r="S5" s="32" t="n"/>
      <c r="T5" s="32" t="n"/>
      <c r="U5" s="32" t="n"/>
      <c r="V5" s="32" t="n"/>
      <c r="W5" s="32" t="n"/>
    </row>
    <row r="6" ht="16.5" customFormat="1" customHeight="1" s="2">
      <c r="A6" s="32" t="inlineStr">
        <is>
          <t>Driver 1</t>
        </is>
      </c>
      <c r="B6" s="32" t="inlineStr">
        <is>
          <t>John Carter</t>
        </is>
      </c>
      <c r="C6" s="32" t="inlineStr">
        <is>
          <t>206-667-3424</t>
        </is>
      </c>
      <c r="D6" s="32" t="inlineStr">
        <is>
          <t>1240 W 6th St, Cleveland, OH 44113</t>
        </is>
      </c>
      <c r="E6" s="32">
        <f>_xlfn.TEXTJOIN(" | ",TRUE,
IF(F6&lt;TODAY(),"❌ CDL EXPIRED",""),
IF(G6&lt;TODAY(),"❌ MED CARD EXPIRED",""),
IF(H6&lt;TODAY(),"❌ MVR EXPIRED",""),
IF(COUNTIFS(Assets!$B$2:$B$26,B6,Assets!$E$2:$E$26,"🔴 EXPIRED")&gt;0,"❌ TRUCK NEEDS SERVICE",""),
IF(AND(F6&gt;=TODAY(),G6&gt;=TODAY(),H6&gt;=TODAY(),
COUNTIFS(Assets!$B$2:$B$26,B6,Assets!$E$2:$E$26,"🔴 EXPIRED")=0),
"✅ COMPLIANT",""))</f>
        <v/>
      </c>
      <c r="F6" s="33" t="n">
        <v>46621</v>
      </c>
      <c r="G6" s="33" t="n">
        <v>46094</v>
      </c>
      <c r="H6" s="33" t="n">
        <v>46080</v>
      </c>
      <c r="I6" s="32">
        <f t="array" ref="I6">_xlfn.TEXTJOIN(", ", TRUE, _xlfn._xlws.FILTER(Assets!$A$2:$A$26, Assets!$B$2:$B$26 = A6, "No Truck Assigned"))</f>
        <v/>
      </c>
      <c r="J6" s="35" t="n"/>
      <c r="K6" s="32" t="n"/>
      <c r="L6" s="32" t="n"/>
      <c r="M6" s="32" t="n"/>
      <c r="N6" s="32" t="n"/>
      <c r="O6" s="32" t="n"/>
      <c r="P6" s="32" t="n"/>
      <c r="Q6" s="32" t="n"/>
      <c r="R6" s="32" t="n"/>
      <c r="S6" s="32" t="n"/>
      <c r="T6" s="32" t="n"/>
      <c r="U6" s="32" t="n"/>
      <c r="V6" s="32" t="n"/>
      <c r="W6" s="32" t="n"/>
    </row>
    <row r="7" ht="15" customFormat="1" customHeight="1" s="2">
      <c r="A7" s="32" t="inlineStr">
        <is>
          <t>Driver 2</t>
        </is>
      </c>
      <c r="B7" s="32" t="inlineStr">
        <is>
          <t>Maria Lopez</t>
        </is>
      </c>
      <c r="C7" s="32" t="inlineStr">
        <is>
          <t>707-773-6386</t>
        </is>
      </c>
      <c r="D7" s="32" t="inlineStr">
        <is>
          <t>450 N Michigan Ave, Chicago, IL 60611</t>
        </is>
      </c>
      <c r="E7" s="32">
        <f>IF(F7 &lt; TODAY(), "❌ CDL EXPIRED", IF(G7 &lt; TODAY(), "❌ MED CARD EXPIRED", IF(COUNTIFS(Assets!$B$2:$B$26, B7, Assets!$E$2:$E$26, "🔴 EXPIRED")&gt;0, "❌ TRUCK NEEDS SERVICE", "✅ COMPLIANT")))</f>
        <v/>
      </c>
      <c r="F7" s="33" t="n">
        <v>46518</v>
      </c>
      <c r="G7" s="33" t="n">
        <v>46596</v>
      </c>
      <c r="H7" s="33">
        <f>RANDBETWEEN(DATE(2027,3,1),DATE(2027,4,7))</f>
        <v/>
      </c>
      <c r="I7" s="32">
        <f t="array" ref="I7">_xlfn.TEXTJOIN(", ", TRUE, _xlfn._xlws.FILTER(Assets!$A$2:$A$26, Assets!$B$2:$B$26 = A7, "No Truck Assigned"))</f>
        <v/>
      </c>
      <c r="J7" s="35" t="n"/>
      <c r="K7" s="32" t="n"/>
      <c r="L7" s="32" t="n"/>
      <c r="M7" s="32" t="n"/>
      <c r="N7" s="32" t="n"/>
      <c r="O7" s="32" t="n"/>
      <c r="P7" s="32" t="n"/>
      <c r="Q7" s="32" t="n"/>
      <c r="R7" s="32" t="n"/>
      <c r="S7" s="32" t="n"/>
      <c r="T7" s="32" t="n"/>
      <c r="U7" s="32" t="n"/>
      <c r="V7" s="32" t="n"/>
      <c r="W7" s="32" t="n"/>
    </row>
    <row r="8" ht="15" customFormat="1" customHeight="1" s="2">
      <c r="A8" s="32" t="inlineStr">
        <is>
          <t>Driver 3</t>
        </is>
      </c>
      <c r="B8" s="32" t="inlineStr">
        <is>
          <t>Alex Kim</t>
        </is>
      </c>
      <c r="C8" s="32" t="inlineStr">
        <is>
          <t>675-486-1335</t>
        </is>
      </c>
      <c r="D8" s="32" t="inlineStr">
        <is>
          <t>780 Peachtree St, Atlanta, GA 30308</t>
        </is>
      </c>
      <c r="E8" s="32">
        <f>IF(F8 &lt; TODAY(), "❌ CDL EXPIRED", IF(G8 &lt; TODAY(), "❌ MED CARD EXPIRED", IF(COUNTIFS(Assets!$B$2:$B$26, B8, Assets!$E$2:$E$26, "🔴 EXPIRED")&gt;0, "❌ TRUCK NEEDS SERVICE", "✅ COMPLIANT")))</f>
        <v/>
      </c>
      <c r="F8" s="33" t="n">
        <v>46420</v>
      </c>
      <c r="G8" s="33" t="n">
        <v>46659</v>
      </c>
      <c r="H8" s="33">
        <f>RANDBETWEEN(DATE(2027,3,1),DATE(2027,4,7))</f>
        <v/>
      </c>
      <c r="I8" s="32">
        <f t="array" ref="I8">_xlfn.TEXTJOIN(", ", TRUE, _xlfn._xlws.FILTER(Assets!$A$2:$A$26, Assets!$B$2:$B$26 = A8, "No Truck Assigned"))</f>
        <v/>
      </c>
      <c r="J8" s="35" t="n"/>
      <c r="K8" s="32" t="n"/>
      <c r="L8" s="32" t="n"/>
      <c r="M8" s="32" t="n"/>
      <c r="N8" s="32" t="n"/>
      <c r="O8" s="32" t="n"/>
      <c r="P8" s="32" t="n"/>
      <c r="Q8" s="32" t="n"/>
      <c r="R8" s="32" t="n"/>
      <c r="S8" s="32" t="n"/>
      <c r="T8" s="32" t="n"/>
      <c r="U8" s="32" t="n"/>
      <c r="V8" s="32" t="n"/>
      <c r="W8" s="32" t="n"/>
    </row>
    <row r="9" ht="15" customHeight="1" s="24">
      <c r="A9" s="32" t="inlineStr">
        <is>
          <t>Driver 4</t>
        </is>
      </c>
      <c r="B9" s="32" t="inlineStr">
        <is>
          <t>Priya Patel</t>
        </is>
      </c>
      <c r="C9" s="32" t="inlineStr">
        <is>
          <t>359-469-5960</t>
        </is>
      </c>
      <c r="D9" s="32" t="inlineStr">
        <is>
          <t>2200 Superior Ave, Cleveland, OH 44114</t>
        </is>
      </c>
      <c r="E9" s="32">
        <f>IF(F9 &lt; TODAY(), "❌ CDL EXPIRED", IF(G9 &lt; TODAY(), "❌ MED CARD EXPIRED", IF(COUNTIFS(Assets!$B$2:$B$26, B9, Assets!$E$2:$E$26, "🔴 EXPIRED")&gt;0, "❌ TRUCK NEEDS SERVICE", "✅ COMPLIANT")))</f>
        <v/>
      </c>
      <c r="F9" s="33" t="n">
        <v>46739</v>
      </c>
      <c r="G9" s="33" t="n">
        <v>46486</v>
      </c>
      <c r="H9" s="33">
        <f>RANDBETWEEN(DATE(2027,3,1),DATE(2027,4,7))</f>
        <v/>
      </c>
      <c r="I9" s="32">
        <f t="array" ref="I9">_xlfn.TEXTJOIN(", ", TRUE, _xlfn._xlws.FILTER(Assets!$A$2:$A$26, Assets!$B$2:$B$26 = A9, "No Truck Assigned"))</f>
        <v/>
      </c>
      <c r="J9" s="35" t="n"/>
      <c r="K9" s="32" t="n"/>
      <c r="L9" s="32" t="n"/>
      <c r="M9" s="32" t="n"/>
      <c r="N9" s="32" t="n"/>
      <c r="O9" s="32" t="n"/>
      <c r="P9" s="32" t="n"/>
      <c r="Q9" s="32" t="n"/>
      <c r="R9" s="32" t="n"/>
      <c r="S9" s="32" t="n"/>
      <c r="T9" s="32" t="n"/>
      <c r="U9" s="32" t="n"/>
      <c r="V9" s="32" t="n"/>
      <c r="W9" s="32" t="n"/>
    </row>
    <row r="10" ht="15" customHeight="1" s="24">
      <c r="A10" s="32" t="inlineStr">
        <is>
          <t>Driver 5</t>
        </is>
      </c>
      <c r="B10" s="32" t="inlineStr">
        <is>
          <t>Kenji Tanaka</t>
        </is>
      </c>
      <c r="C10" s="32" t="inlineStr">
        <is>
          <t>871-429-6220</t>
        </is>
      </c>
      <c r="D10" s="32" t="inlineStr">
        <is>
          <t>115 E Broad St, Columbus, OH 43215</t>
        </is>
      </c>
      <c r="E10" s="32">
        <f>IF(F10 &lt; TODAY(), "❌ CDL EXPIRED", IF(G10 &lt; TODAY(), "❌ MED CARD EXPIRED", IF(COUNTIFS(Assets!$B$2:$B$26, B10, Assets!$E$2:$E$26, "🔴 EXPIRED")&gt;0, "❌ TRUCK NEEDS SERVICE", "✅ COMPLIANT")))</f>
        <v/>
      </c>
      <c r="F10" s="33" t="n">
        <v>46577</v>
      </c>
      <c r="G10" s="33" t="n">
        <v>46496</v>
      </c>
      <c r="H10" s="33">
        <f>RANDBETWEEN(DATE(2027,3,1),DATE(2027,4,7))</f>
        <v/>
      </c>
      <c r="I10" s="32">
        <f t="array" ref="I10">_xlfn.TEXTJOIN(", ", TRUE, _xlfn._xlws.FILTER(Assets!$A$2:$A$26, Assets!$B$2:$B$26 = A10, "No Truck Assigned"))</f>
        <v/>
      </c>
      <c r="J10" s="35" t="n"/>
      <c r="K10" s="32" t="n"/>
      <c r="L10" s="32" t="n"/>
      <c r="M10" s="32" t="n"/>
      <c r="N10" s="32" t="n"/>
      <c r="O10" s="32" t="n"/>
      <c r="P10" s="32" t="n"/>
      <c r="Q10" s="32" t="n"/>
      <c r="R10" s="32" t="n"/>
      <c r="S10" s="32" t="n"/>
      <c r="T10" s="32" t="n"/>
      <c r="U10" s="32" t="n"/>
      <c r="V10" s="32" t="n"/>
      <c r="W10" s="32" t="n"/>
    </row>
    <row r="11" ht="15" customHeight="1" s="24">
      <c r="A11" s="32" t="inlineStr">
        <is>
          <t>Driver 6</t>
        </is>
      </c>
      <c r="B11" s="32" t="inlineStr">
        <is>
          <t>Marcus Chen</t>
        </is>
      </c>
      <c r="C11" s="32" t="inlineStr">
        <is>
          <t>283-876-4322</t>
        </is>
      </c>
      <c r="D11" s="32" t="inlineStr">
        <is>
          <t>500 Pacific Ave, Dallas, TX 75202</t>
        </is>
      </c>
      <c r="E11" s="32">
        <f>IF(F11 &lt; TODAY(), "❌ CDL EXPIRED", IF(G11 &lt; TODAY(), "❌ MED CARD EXPIRED", IF(COUNTIFS(Assets!$B$2:$B$26, B11, Assets!$E$2:$E$26, "🔴 EXPIRED")&gt;0, "❌ TRUCK NEEDS SERVICE", "✅ COMPLIANT")))</f>
        <v/>
      </c>
      <c r="F11" s="33" t="n">
        <v>45826</v>
      </c>
      <c r="G11" s="33" t="n">
        <v>46394</v>
      </c>
      <c r="H11" s="33">
        <f>RANDBETWEEN(DATE(2027,3,1),DATE(2027,4,7))</f>
        <v/>
      </c>
      <c r="I11" s="32">
        <f t="array" ref="I11">_xlfn.TEXTJOIN(", ", TRUE, _xlfn._xlws.FILTER(Assets!$A$2:$A$26, Assets!$B$2:$B$26 = A11, "No Truck Assigned"))</f>
        <v/>
      </c>
      <c r="J11" s="35" t="n"/>
      <c r="K11" s="32" t="n"/>
      <c r="L11" s="32" t="n"/>
      <c r="M11" s="32" t="n"/>
      <c r="N11" s="32" t="n"/>
      <c r="O11" s="32" t="n"/>
      <c r="P11" s="32" t="n"/>
      <c r="Q11" s="32" t="n"/>
      <c r="R11" s="32" t="n"/>
      <c r="S11" s="32" t="n"/>
      <c r="T11" s="32" t="n"/>
      <c r="U11" s="32" t="n"/>
      <c r="V11" s="32" t="n"/>
      <c r="W11" s="32" t="n"/>
    </row>
    <row r="12" ht="15" customHeight="1" s="24">
      <c r="A12" s="32" t="inlineStr">
        <is>
          <t>Driver 7</t>
        </is>
      </c>
      <c r="B12" s="32" t="inlineStr">
        <is>
          <t>Sofia Gomez</t>
        </is>
      </c>
      <c r="C12" s="32" t="inlineStr">
        <is>
          <t>896-828-7164</t>
        </is>
      </c>
      <c r="D12" s="32" t="inlineStr">
        <is>
          <t>815 Prospect Ave, Cleveland, OH 44115</t>
        </is>
      </c>
      <c r="E12" s="32">
        <f>IF(F12 &lt; TODAY(), "❌ CDL EXPIRED", IF(G12 &lt; TODAY(), "❌ MED CARD EXPIRED", IF(COUNTIFS(Assets!$B$2:$B$26, B12, Assets!$E$2:$E$26, "🔴 EXPIRED")&gt;0, "❌ TRUCK NEEDS SERVICE", "✅ COMPLIANT")))</f>
        <v/>
      </c>
      <c r="F12" s="33" t="n">
        <v>46530</v>
      </c>
      <c r="G12" s="33" t="n">
        <v>45739</v>
      </c>
      <c r="H12" s="33">
        <f>RANDBETWEEN(DATE(2027,3,1),DATE(2027,4,7))</f>
        <v/>
      </c>
      <c r="I12" s="32">
        <f t="array" ref="I12">_xlfn.TEXTJOIN(", ", TRUE, _xlfn._xlws.FILTER(Assets!$A$2:$A$26, Assets!$B$2:$B$26 = A12, "No Truck Assigned"))</f>
        <v/>
      </c>
      <c r="J12" s="35" t="n"/>
      <c r="K12" s="32" t="n"/>
      <c r="L12" s="32" t="n"/>
      <c r="M12" s="32" t="n"/>
      <c r="N12" s="32" t="n"/>
      <c r="O12" s="32" t="n"/>
      <c r="P12" s="32" t="n"/>
      <c r="Q12" s="32" t="n"/>
      <c r="R12" s="32" t="n"/>
      <c r="S12" s="32" t="n"/>
      <c r="T12" s="32" t="n"/>
      <c r="U12" s="32" t="n"/>
      <c r="V12" s="32" t="n"/>
      <c r="W12" s="32" t="n"/>
    </row>
    <row r="13" ht="15" customHeight="1" s="24">
      <c r="A13" s="32" t="inlineStr">
        <is>
          <t>Driver 8</t>
        </is>
      </c>
      <c r="B13" s="32" t="inlineStr">
        <is>
          <t>Liam Smith</t>
        </is>
      </c>
      <c r="C13" s="32" t="inlineStr">
        <is>
          <t>820-223-4829</t>
        </is>
      </c>
      <c r="D13" s="32" t="inlineStr">
        <is>
          <t>240 Madison Ave, Toledo, OH 43604</t>
        </is>
      </c>
      <c r="E13" s="32">
        <f>IF(F13 &lt; TODAY(), "❌ CDL EXPIRED", IF(G13 &lt; TODAY(), "❌ MED CARD EXPIRED", IF(COUNTIFS(Assets!$B$2:$B$26, B13, Assets!$E$2:$E$26, "🔴 EXPIRED")&gt;0, "❌ TRUCK NEEDS SERVICE", "✅ COMPLIANT")))</f>
        <v/>
      </c>
      <c r="F13" s="33" t="n">
        <v>46620</v>
      </c>
      <c r="G13" s="33" t="n">
        <v>46670</v>
      </c>
      <c r="H13" s="33">
        <f>RANDBETWEEN(DATE(2027,3,1),DATE(2027,4,7))</f>
        <v/>
      </c>
      <c r="I13" s="32">
        <f t="array" ref="I13">_xlfn.TEXTJOIN(", ", TRUE, _xlfn._xlws.FILTER(Assets!$A$2:$A$26, Assets!$B$2:$B$26 = A13, "No Truck Assigned"))</f>
        <v/>
      </c>
      <c r="J13" s="35" t="n"/>
      <c r="K13" s="32" t="n"/>
      <c r="L13" s="32" t="n"/>
      <c r="M13" s="32" t="n"/>
      <c r="N13" s="32" t="n"/>
      <c r="O13" s="32" t="n"/>
      <c r="P13" s="32" t="n"/>
      <c r="Q13" s="32" t="n"/>
      <c r="R13" s="32" t="n"/>
      <c r="S13" s="32" t="n"/>
      <c r="T13" s="32" t="n"/>
      <c r="U13" s="32" t="n"/>
      <c r="V13" s="32" t="n"/>
      <c r="W13" s="32" t="n"/>
    </row>
    <row r="14" ht="15" customHeight="1" s="24">
      <c r="A14" s="32" t="inlineStr">
        <is>
          <t>Driver 9</t>
        </is>
      </c>
      <c r="B14" s="32" t="inlineStr">
        <is>
          <t xml:space="preserve">Emma Brown </t>
        </is>
      </c>
      <c r="C14" s="32" t="inlineStr">
        <is>
          <t>206-700-7666</t>
        </is>
      </c>
      <c r="D14" s="32" t="inlineStr">
        <is>
          <t>330 Civic Center Dr, Columbus, OH 43215</t>
        </is>
      </c>
      <c r="E14" s="32">
        <f>IF(F14 &lt; TODAY(), "❌ CDL EXPIRED", IF(G14 &lt; TODAY(), "❌ MED CARD EXPIRED", IF(COUNTIFS(Assets!$B$2:$B$26, B14, Assets!$E$2:$E$26, "🔴 EXPIRED")&gt;0, "❌ TRUCK NEEDS SERVICE", "✅ COMPLIANT")))</f>
        <v/>
      </c>
      <c r="F14" s="33" t="n">
        <v>46424</v>
      </c>
      <c r="G14" s="33" t="n">
        <v>46645</v>
      </c>
      <c r="H14" s="33">
        <f>RANDBETWEEN(DATE(2027,3,1),DATE(2027,4,7))</f>
        <v/>
      </c>
      <c r="I14" s="32">
        <f t="array" ref="I14">_xlfn.TEXTJOIN(", ", TRUE, _xlfn._xlws.FILTER(Assets!$A$2:$A$26, Assets!$B$2:$B$26 = A14, "No Truck Assigned"))</f>
        <v/>
      </c>
      <c r="J14" s="35" t="n"/>
      <c r="K14" s="32" t="n"/>
      <c r="L14" s="32" t="n"/>
      <c r="M14" s="32" t="n"/>
      <c r="N14" s="32" t="n"/>
      <c r="O14" s="32" t="n"/>
      <c r="P14" s="32" t="n"/>
      <c r="Q14" s="32" t="n"/>
      <c r="R14" s="32" t="n"/>
      <c r="S14" s="32" t="n"/>
      <c r="T14" s="32" t="n"/>
      <c r="U14" s="32" t="n"/>
      <c r="V14" s="32" t="n"/>
      <c r="W14" s="32" t="n"/>
    </row>
    <row r="15" ht="15" customHeight="1" s="24">
      <c r="A15" s="32" t="inlineStr">
        <is>
          <t>Driver 10</t>
        </is>
      </c>
      <c r="B15" s="32" t="inlineStr">
        <is>
          <t xml:space="preserve">Noah Wilson </t>
        </is>
      </c>
      <c r="C15" s="32" t="inlineStr">
        <is>
          <t>582-987-2387</t>
        </is>
      </c>
      <c r="D15" s="32" t="inlineStr">
        <is>
          <t>110 W Adams St, Chicago, IL 60603</t>
        </is>
      </c>
      <c r="E15" s="32">
        <f>IF(F15 &lt; TODAY(), "❌ CDL EXPIRED", IF(G15 &lt; TODAY(), "❌ MED CARD EXPIRED", IF(COUNTIFS(Assets!$B$2:$B$26, B15, Assets!$E$2:$E$26, "🔴 EXPIRED")&gt;0, "❌ TRUCK NEEDS SERVICE", "✅ COMPLIANT")))</f>
        <v/>
      </c>
      <c r="F15" s="33" t="n">
        <v>46647</v>
      </c>
      <c r="G15" s="33" t="n">
        <v>46752</v>
      </c>
      <c r="H15" s="33">
        <f>RANDBETWEEN(DATE(2027,3,1),DATE(2027,4,7))</f>
        <v/>
      </c>
      <c r="I15" s="32">
        <f t="array" ref="I15">_xlfn.TEXTJOIN(", ", TRUE, _xlfn._xlws.FILTER(Assets!$A$2:$A$26, Assets!$B$2:$B$26 = A15, "No Truck Assigned"))</f>
        <v/>
      </c>
      <c r="J15" s="35" t="n"/>
      <c r="K15" s="32" t="n"/>
      <c r="L15" s="32" t="n"/>
      <c r="M15" s="32" t="n"/>
      <c r="N15" s="32" t="n"/>
      <c r="O15" s="32" t="n"/>
      <c r="P15" s="32" t="n"/>
      <c r="Q15" s="32" t="n"/>
      <c r="R15" s="32" t="n"/>
      <c r="S15" s="32" t="n"/>
      <c r="T15" s="32" t="n"/>
      <c r="U15" s="32" t="n"/>
      <c r="V15" s="32" t="n"/>
      <c r="W15" s="32" t="n"/>
    </row>
    <row r="16" ht="15" customHeight="1" s="24">
      <c r="A16" s="32" t="inlineStr">
        <is>
          <t>Driver 11</t>
        </is>
      </c>
      <c r="B16" s="32" t="inlineStr">
        <is>
          <t>Olivia Lee</t>
        </is>
      </c>
      <c r="C16" s="32" t="inlineStr">
        <is>
          <t>337-857-3607</t>
        </is>
      </c>
      <c r="D16" s="32" t="inlineStr">
        <is>
          <t>600 Peachtree St, Atlanta, GA 30308</t>
        </is>
      </c>
      <c r="E16" s="32">
        <f>IF(F16 &lt; TODAY(), "❌ CDL EXPIRED", IF(G16 &lt; TODAY(), "❌ MED CARD EXPIRED", IF(COUNTIFS(Assets!$B$2:$B$26, B16, Assets!$E$2:$E$26, "🔴 EXPIRED")&gt;0, "❌ TRUCK NEEDS SERVICE", "✅ COMPLIANT")))</f>
        <v/>
      </c>
      <c r="F16" s="33" t="n">
        <v>46566</v>
      </c>
      <c r="G16" s="33" t="n">
        <v>46499</v>
      </c>
      <c r="H16" s="33">
        <f>RANDBETWEEN(DATE(2027,3,1),DATE(2027,4,7))</f>
        <v/>
      </c>
      <c r="I16" s="32">
        <f t="array" ref="I16">_xlfn.TEXTJOIN(", ", TRUE, _xlfn._xlws.FILTER(Assets!$A$2:$A$26, Assets!$B$2:$B$26 = A16, "No Truck Assigned"))</f>
        <v/>
      </c>
      <c r="J16" s="35" t="n"/>
      <c r="K16" s="32" t="n"/>
      <c r="L16" s="32" t="n"/>
      <c r="M16" s="32" t="n"/>
      <c r="N16" s="32" t="n"/>
      <c r="O16" s="32" t="n"/>
      <c r="P16" s="32" t="n"/>
      <c r="Q16" s="32" t="n"/>
      <c r="R16" s="32" t="n"/>
      <c r="S16" s="32" t="n"/>
      <c r="T16" s="32" t="n"/>
      <c r="U16" s="32" t="n"/>
      <c r="V16" s="32" t="n"/>
      <c r="W16" s="32" t="n"/>
    </row>
    <row r="17" ht="15" customHeight="1" s="24">
      <c r="A17" s="32" t="n"/>
      <c r="B17" s="32" t="n"/>
      <c r="C17" s="32" t="n"/>
      <c r="D17" s="32" t="n"/>
      <c r="E17" s="32" t="n"/>
      <c r="F17" s="33" t="n"/>
      <c r="G17" s="33" t="n"/>
      <c r="H17" s="33" t="n"/>
      <c r="I17" s="32" t="n"/>
      <c r="J17" s="35" t="n"/>
      <c r="K17" s="32" t="n"/>
      <c r="L17" s="32" t="n"/>
      <c r="M17" s="32" t="n"/>
      <c r="N17" s="32" t="n"/>
      <c r="O17" s="32" t="n"/>
      <c r="P17" s="32" t="n"/>
      <c r="Q17" s="32" t="n"/>
      <c r="R17" s="32" t="n"/>
      <c r="S17" s="32" t="n"/>
      <c r="T17" s="32" t="n"/>
      <c r="U17" s="32" t="n"/>
      <c r="V17" s="32" t="n"/>
      <c r="W17" s="32" t="n"/>
    </row>
  </sheetData>
  <conditionalFormatting sqref="E6:E17">
    <cfRule type="containsText" priority="1" operator="containsText" dxfId="2">
      <formula>NOT(ISERROR(SEARCH("""Compliant"" (or ✅)",E6)))</formula>
    </cfRule>
    <cfRule type="containsText" priority="2" operator="containsText" dxfId="2">
      <formula>NOT(ISERROR(SEARCH("""Compliant"" (or✅)",E6)))</formula>
    </cfRule>
    <cfRule type="iconSet" priority="3"/>
    <cfRule type="containsText" priority="8" operator="containsText" dxfId="1">
      <formula>NOT(ISERROR(SEARCH("Expired",E6)))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cols>
    <col width="12" customWidth="1" style="24" min="1" max="1"/>
    <col width="16" customWidth="1" style="24" min="2" max="2"/>
    <col width="14" customWidth="1" style="24" min="3" max="3"/>
    <col width="32" customWidth="1" style="24" min="4" max="4"/>
    <col width="19" customWidth="1" style="24" min="5" max="5"/>
    <col width="32" customWidth="1" style="24" min="6" max="6"/>
    <col width="21" customWidth="1" style="24" min="7" max="7"/>
    <col width="12" customWidth="1" style="24" min="8" max="8"/>
  </cols>
  <sheetData>
    <row r="1">
      <c r="A1" s="49" t="inlineStr">
        <is>
          <t>Driver ID</t>
        </is>
      </c>
      <c r="B1" s="49" t="inlineStr">
        <is>
          <t>Full Name</t>
        </is>
      </c>
      <c r="C1" s="49" t="inlineStr">
        <is>
          <t>Phone</t>
        </is>
      </c>
      <c r="D1" s="49" t="inlineStr">
        <is>
          <t>Address</t>
        </is>
      </c>
      <c r="E1" s="49" t="inlineStr">
        <is>
          <t>Compliance Status</t>
        </is>
      </c>
      <c r="F1" s="49" t="inlineStr">
        <is>
          <t>Document Type</t>
        </is>
      </c>
      <c r="G1" s="49" t="inlineStr">
        <is>
          <t>Expiration Date</t>
        </is>
      </c>
      <c r="H1" s="49" t="inlineStr">
        <is>
          <t>File Link</t>
        </is>
      </c>
    </row>
    <row r="2">
      <c r="A2" t="inlineStr">
        <is>
          <t>DRV-001</t>
        </is>
      </c>
      <c r="B2" t="inlineStr">
        <is>
          <t>John Carter</t>
        </is>
      </c>
      <c r="C2" t="inlineStr">
        <is>
          <t>206-667-3424</t>
        </is>
      </c>
      <c r="D2" t="inlineStr">
        <is>
          <t>1240 W 6th St, Cleveland, OH</t>
        </is>
      </c>
      <c r="E2" t="inlineStr">
        <is>
          <t>NON-COMPLIANT</t>
        </is>
      </c>
      <c r="F2" t="inlineStr">
        <is>
          <t>CDL Summary</t>
        </is>
      </c>
      <c r="G2" s="55" t="n">
        <v>46259</v>
      </c>
      <c r="H2" t="inlineStr">
        <is>
          <t>Link</t>
        </is>
      </c>
    </row>
    <row r="3">
      <c r="A3" t="inlineStr">
        <is>
          <t>DRV-001</t>
        </is>
      </c>
      <c r="B3" t="inlineStr">
        <is>
          <t>John Carter</t>
        </is>
      </c>
      <c r="C3" t="inlineStr">
        <is>
          <t>206-667-3424</t>
        </is>
      </c>
      <c r="D3" t="inlineStr">
        <is>
          <t>1240 W 6th St, Cleveland, OH</t>
        </is>
      </c>
      <c r="E3" t="inlineStr">
        <is>
          <t>NON-COMPLIANT</t>
        </is>
      </c>
      <c r="F3" t="inlineStr">
        <is>
          <t>Medical Certification Summary</t>
        </is>
      </c>
      <c r="G3" s="55" t="n">
        <v>46029</v>
      </c>
      <c r="H3" t="inlineStr">
        <is>
          <t>Link</t>
        </is>
      </c>
    </row>
    <row r="4">
      <c r="A4" t="inlineStr">
        <is>
          <t>DRV-001</t>
        </is>
      </c>
      <c r="B4" t="inlineStr">
        <is>
          <t>John Carter</t>
        </is>
      </c>
      <c r="C4" t="inlineStr">
        <is>
          <t>206-667-3424</t>
        </is>
      </c>
      <c r="D4" t="inlineStr">
        <is>
          <t>1240 W 6th St, Cleveland, OH</t>
        </is>
      </c>
      <c r="E4" t="inlineStr">
        <is>
          <t>NON-COMPLIANT</t>
        </is>
      </c>
      <c r="F4" t="inlineStr">
        <is>
          <t>MVR Summary</t>
        </is>
      </c>
      <c r="G4" s="55" t="n">
        <v>46037</v>
      </c>
      <c r="H4" t="inlineStr">
        <is>
          <t>Link</t>
        </is>
      </c>
    </row>
    <row r="5">
      <c r="A5" t="inlineStr">
        <is>
          <t>DRV-001</t>
        </is>
      </c>
      <c r="B5" t="inlineStr">
        <is>
          <t>John Carter</t>
        </is>
      </c>
      <c r="C5" t="inlineStr">
        <is>
          <t>206-667-3424</t>
        </is>
      </c>
      <c r="D5" t="inlineStr">
        <is>
          <t>1240 W 6th St, Cleveland, OH</t>
        </is>
      </c>
      <c r="E5" t="inlineStr">
        <is>
          <t>NON-COMPLIANT</t>
        </is>
      </c>
      <c r="F5" t="inlineStr">
        <is>
          <t>Employment Eligibility Summary</t>
        </is>
      </c>
      <c r="G5" s="55" t="n">
        <v>46104</v>
      </c>
      <c r="H5" t="inlineStr">
        <is>
          <t>Link</t>
        </is>
      </c>
    </row>
    <row r="6">
      <c r="A6" t="inlineStr">
        <is>
          <t>DRV-001</t>
        </is>
      </c>
      <c r="B6" t="inlineStr">
        <is>
          <t>John Carter</t>
        </is>
      </c>
      <c r="C6" t="inlineStr">
        <is>
          <t>206-667-3424</t>
        </is>
      </c>
      <c r="D6" t="inlineStr">
        <is>
          <t>1240 W 6th St, Cleveland, OH</t>
        </is>
      </c>
      <c r="E6" t="inlineStr">
        <is>
          <t>NON-COMPLIANT</t>
        </is>
      </c>
      <c r="F6" t="inlineStr">
        <is>
          <t>FMCSA Compliance Summary</t>
        </is>
      </c>
      <c r="G6" s="55" t="n">
        <v>45978</v>
      </c>
      <c r="H6" t="inlineStr">
        <is>
          <t>Link</t>
        </is>
      </c>
    </row>
    <row r="7">
      <c r="A7" t="inlineStr">
        <is>
          <t>DRV-001</t>
        </is>
      </c>
      <c r="B7" t="inlineStr">
        <is>
          <t>John Carter</t>
        </is>
      </c>
      <c r="C7" t="inlineStr">
        <is>
          <t>206-667-3424</t>
        </is>
      </c>
      <c r="D7" t="inlineStr">
        <is>
          <t>1240 W 6th St, Cleveland, OH</t>
        </is>
      </c>
      <c r="E7" t="inlineStr">
        <is>
          <t>NON-COMPLIANT</t>
        </is>
      </c>
      <c r="F7" t="inlineStr">
        <is>
          <t>W-9 Summary</t>
        </is>
      </c>
      <c r="G7" s="55" t="n">
        <v>46190</v>
      </c>
      <c r="H7" t="inlineStr">
        <is>
          <t>Link</t>
        </is>
      </c>
    </row>
    <row r="8">
      <c r="A8" t="inlineStr">
        <is>
          <t>DRV-001</t>
        </is>
      </c>
      <c r="B8" t="inlineStr">
        <is>
          <t>John Carter</t>
        </is>
      </c>
      <c r="C8" t="inlineStr">
        <is>
          <t>206-667-3424</t>
        </is>
      </c>
      <c r="D8" t="inlineStr">
        <is>
          <t>1240 W 6th St, Cleveland, OH</t>
        </is>
      </c>
      <c r="E8" t="inlineStr">
        <is>
          <t>NON-COMPLIANT</t>
        </is>
      </c>
      <c r="F8" t="inlineStr">
        <is>
          <t>Bank Information Sheet</t>
        </is>
      </c>
      <c r="G8" s="55" t="n">
        <v>46074</v>
      </c>
      <c r="H8" t="inlineStr">
        <is>
          <t>Link</t>
        </is>
      </c>
    </row>
    <row r="9">
      <c r="A9" t="inlineStr">
        <is>
          <t>DRV-002</t>
        </is>
      </c>
      <c r="B9" t="inlineStr">
        <is>
          <t>Maria Lopez</t>
        </is>
      </c>
      <c r="C9" t="inlineStr">
        <is>
          <t>707-773-6386</t>
        </is>
      </c>
      <c r="D9" t="inlineStr">
        <is>
          <t>450 N Michigan Ave, Chicago, IL</t>
        </is>
      </c>
      <c r="E9" t="inlineStr">
        <is>
          <t>NON-COMPLIANT</t>
        </is>
      </c>
      <c r="F9" t="inlineStr">
        <is>
          <t>Medical Certification Summary</t>
        </is>
      </c>
      <c r="G9" s="55" t="n">
        <v>46264</v>
      </c>
      <c r="H9" t="inlineStr">
        <is>
          <t>Link</t>
        </is>
      </c>
    </row>
    <row r="10">
      <c r="A10" t="inlineStr">
        <is>
          <t>DRV-002</t>
        </is>
      </c>
      <c r="B10" t="inlineStr">
        <is>
          <t>Maria Lopez</t>
        </is>
      </c>
      <c r="C10" t="inlineStr">
        <is>
          <t>707-773-6386</t>
        </is>
      </c>
      <c r="D10" t="inlineStr">
        <is>
          <t>450 N Michigan Ave, Chicago, IL</t>
        </is>
      </c>
      <c r="E10" t="inlineStr">
        <is>
          <t>NON-COMPLIANT</t>
        </is>
      </c>
      <c r="F10" t="inlineStr">
        <is>
          <t>Medical Certification Summary</t>
        </is>
      </c>
      <c r="G10" s="55" t="n">
        <v>46264</v>
      </c>
      <c r="H10" t="inlineStr">
        <is>
          <t>Link</t>
        </is>
      </c>
    </row>
    <row r="11">
      <c r="A11" t="inlineStr">
        <is>
          <t>DRV-002</t>
        </is>
      </c>
      <c r="B11" t="inlineStr">
        <is>
          <t>Maria Lopez</t>
        </is>
      </c>
      <c r="C11" t="inlineStr">
        <is>
          <t>707-773-6386</t>
        </is>
      </c>
      <c r="D11" t="inlineStr">
        <is>
          <t>450 N Michigan Ave, Chicago, IL</t>
        </is>
      </c>
      <c r="E11" t="inlineStr">
        <is>
          <t>NON-COMPLIANT</t>
        </is>
      </c>
      <c r="F11" t="inlineStr">
        <is>
          <t>MVR Summary</t>
        </is>
      </c>
      <c r="G11" s="55" t="n">
        <v>46037</v>
      </c>
      <c r="H11" t="inlineStr">
        <is>
          <t>Link</t>
        </is>
      </c>
    </row>
    <row r="12">
      <c r="A12" t="inlineStr">
        <is>
          <t>DRV-002</t>
        </is>
      </c>
      <c r="B12" t="inlineStr">
        <is>
          <t>Maria Lopez</t>
        </is>
      </c>
      <c r="C12" t="inlineStr">
        <is>
          <t>707-773-6386</t>
        </is>
      </c>
      <c r="D12" t="inlineStr">
        <is>
          <t>450 N Michigan Ave, Chicago, IL</t>
        </is>
      </c>
      <c r="E12" t="inlineStr">
        <is>
          <t>NON-COMPLIANT</t>
        </is>
      </c>
      <c r="F12" t="inlineStr">
        <is>
          <t>Employment Eligibility Summary</t>
        </is>
      </c>
      <c r="G12" s="55" t="n">
        <v>46049</v>
      </c>
      <c r="H12" t="inlineStr">
        <is>
          <t>Link</t>
        </is>
      </c>
    </row>
    <row r="13">
      <c r="A13" t="inlineStr">
        <is>
          <t>DRV-002</t>
        </is>
      </c>
      <c r="B13" t="inlineStr">
        <is>
          <t>Maria Lopez</t>
        </is>
      </c>
      <c r="C13" t="inlineStr">
        <is>
          <t>707-773-6386</t>
        </is>
      </c>
      <c r="D13" t="inlineStr">
        <is>
          <t>450 N Michigan Ave, Chicago, IL</t>
        </is>
      </c>
      <c r="E13" t="inlineStr">
        <is>
          <t>NON-COMPLIANT</t>
        </is>
      </c>
      <c r="F13" t="inlineStr">
        <is>
          <t>FMCSA Compliance Summary</t>
        </is>
      </c>
      <c r="G13" s="55" t="n">
        <v>46182</v>
      </c>
      <c r="H13" t="inlineStr">
        <is>
          <t>Link</t>
        </is>
      </c>
    </row>
    <row r="14">
      <c r="A14" t="inlineStr">
        <is>
          <t>DRV-002</t>
        </is>
      </c>
      <c r="B14" t="inlineStr">
        <is>
          <t>Maria Lopez</t>
        </is>
      </c>
      <c r="C14" t="inlineStr">
        <is>
          <t>707-773-6386</t>
        </is>
      </c>
      <c r="D14" t="inlineStr">
        <is>
          <t>450 N Michigan Ave, Chicago, IL</t>
        </is>
      </c>
      <c r="E14" t="inlineStr">
        <is>
          <t>NON-COMPLIANT</t>
        </is>
      </c>
      <c r="F14" t="inlineStr">
        <is>
          <t>W-9 Summary</t>
        </is>
      </c>
      <c r="G14" s="55" t="n">
        <v>46043</v>
      </c>
      <c r="H14" t="inlineStr">
        <is>
          <t>Link</t>
        </is>
      </c>
    </row>
    <row r="15">
      <c r="A15" t="inlineStr">
        <is>
          <t>DRV-002</t>
        </is>
      </c>
      <c r="B15" t="inlineStr">
        <is>
          <t>Maria Lopez</t>
        </is>
      </c>
      <c r="C15" t="inlineStr">
        <is>
          <t>707-773-6386</t>
        </is>
      </c>
      <c r="D15" t="inlineStr">
        <is>
          <t>450 N Michigan Ave, Chicago, IL</t>
        </is>
      </c>
      <c r="E15" t="inlineStr">
        <is>
          <t>NON-COMPLIANT</t>
        </is>
      </c>
      <c r="F15" t="inlineStr">
        <is>
          <t>Bank Information Sheet</t>
        </is>
      </c>
      <c r="G15" s="55" t="n">
        <v>45997</v>
      </c>
      <c r="H15" t="inlineStr">
        <is>
          <t>Link</t>
        </is>
      </c>
    </row>
    <row r="16">
      <c r="A16" t="inlineStr">
        <is>
          <t>DRV-003</t>
        </is>
      </c>
      <c r="B16" t="inlineStr">
        <is>
          <t>Alex Kim</t>
        </is>
      </c>
      <c r="C16" t="inlineStr">
        <is>
          <t>675-486-1335</t>
        </is>
      </c>
      <c r="D16" t="inlineStr">
        <is>
          <t>780 Peachtree St, Atlanta, GA</t>
        </is>
      </c>
      <c r="E16" t="inlineStr">
        <is>
          <t>EXPIRING SOON</t>
        </is>
      </c>
      <c r="F16" t="inlineStr">
        <is>
          <t>CDL Summary</t>
        </is>
      </c>
      <c r="G16" s="55" t="n">
        <v>46121</v>
      </c>
      <c r="H16" t="inlineStr">
        <is>
          <t>Link</t>
        </is>
      </c>
    </row>
    <row r="17">
      <c r="A17" t="inlineStr">
        <is>
          <t>DRV-003</t>
        </is>
      </c>
      <c r="B17" t="inlineStr">
        <is>
          <t>Alex Kim</t>
        </is>
      </c>
      <c r="C17" t="inlineStr">
        <is>
          <t>675-486-1335</t>
        </is>
      </c>
      <c r="D17" t="inlineStr">
        <is>
          <t>780 Peachtree St, Atlanta, GA</t>
        </is>
      </c>
      <c r="E17" t="inlineStr">
        <is>
          <t>EXPIRING SOON</t>
        </is>
      </c>
      <c r="F17" t="inlineStr">
        <is>
          <t>Medical Certification Summary</t>
        </is>
      </c>
      <c r="G17" s="55" t="n">
        <v>46239</v>
      </c>
      <c r="H17" t="inlineStr">
        <is>
          <t>Link</t>
        </is>
      </c>
    </row>
    <row r="18">
      <c r="A18" t="inlineStr">
        <is>
          <t>DRV-003</t>
        </is>
      </c>
      <c r="B18" t="inlineStr">
        <is>
          <t>Alex Kim</t>
        </is>
      </c>
      <c r="C18" t="inlineStr">
        <is>
          <t>675-486-1335</t>
        </is>
      </c>
      <c r="D18" t="inlineStr">
        <is>
          <t>780 Peachtree St, Atlanta, GA</t>
        </is>
      </c>
      <c r="E18" t="inlineStr">
        <is>
          <t>EXPIRING SOON</t>
        </is>
      </c>
      <c r="F18" t="inlineStr">
        <is>
          <t>MVR Summary</t>
        </is>
      </c>
      <c r="G18" s="55" t="n">
        <v>46107</v>
      </c>
      <c r="H18" t="inlineStr">
        <is>
          <t>Link</t>
        </is>
      </c>
    </row>
    <row r="19">
      <c r="A19" t="inlineStr">
        <is>
          <t>DRV-003</t>
        </is>
      </c>
      <c r="B19" t="inlineStr">
        <is>
          <t>Alex Kim</t>
        </is>
      </c>
      <c r="C19" t="inlineStr">
        <is>
          <t>675-486-1335</t>
        </is>
      </c>
      <c r="D19" t="inlineStr">
        <is>
          <t>780 Peachtree St, Atlanta, GA</t>
        </is>
      </c>
      <c r="E19" t="inlineStr">
        <is>
          <t>EXPIRING SOON</t>
        </is>
      </c>
      <c r="F19" t="inlineStr">
        <is>
          <t>Employment Eligibility Summary</t>
        </is>
      </c>
      <c r="G19" s="55" t="n">
        <v>46038</v>
      </c>
      <c r="H19" t="inlineStr">
        <is>
          <t>Link</t>
        </is>
      </c>
    </row>
    <row r="20">
      <c r="A20" t="inlineStr">
        <is>
          <t>DRV-003</t>
        </is>
      </c>
      <c r="B20" t="inlineStr">
        <is>
          <t>Alex Kim</t>
        </is>
      </c>
      <c r="C20" t="inlineStr">
        <is>
          <t>675-486-1335</t>
        </is>
      </c>
      <c r="D20" t="inlineStr">
        <is>
          <t>780 Peachtree St, Atlanta, GA</t>
        </is>
      </c>
      <c r="E20" t="inlineStr">
        <is>
          <t>EXPIRING SOON</t>
        </is>
      </c>
      <c r="F20" t="inlineStr">
        <is>
          <t>FMCSA Compliance Summary</t>
        </is>
      </c>
      <c r="G20" s="55" t="n">
        <v>46031</v>
      </c>
      <c r="H20" t="inlineStr">
        <is>
          <t>Link</t>
        </is>
      </c>
    </row>
    <row r="21">
      <c r="A21" t="inlineStr">
        <is>
          <t>DRV-003</t>
        </is>
      </c>
      <c r="B21" t="inlineStr">
        <is>
          <t>Alex Kim</t>
        </is>
      </c>
      <c r="C21" t="inlineStr">
        <is>
          <t>675-486-1335</t>
        </is>
      </c>
      <c r="D21" t="inlineStr">
        <is>
          <t>780 Peachtree St, Atlanta, GA</t>
        </is>
      </c>
      <c r="E21" t="inlineStr">
        <is>
          <t>EXPIRING SOON</t>
        </is>
      </c>
      <c r="F21" t="inlineStr">
        <is>
          <t>W-9 Summary</t>
        </is>
      </c>
      <c r="G21" s="55" t="n">
        <v>46203</v>
      </c>
      <c r="H21" t="inlineStr">
        <is>
          <t>Link</t>
        </is>
      </c>
    </row>
    <row r="22">
      <c r="A22" t="inlineStr">
        <is>
          <t>DRV-003</t>
        </is>
      </c>
      <c r="B22" t="inlineStr">
        <is>
          <t>Alex Kim</t>
        </is>
      </c>
      <c r="C22" t="inlineStr">
        <is>
          <t>675-486-1335</t>
        </is>
      </c>
      <c r="D22" t="inlineStr">
        <is>
          <t>780 Peachtree St, Atlanta, GA</t>
        </is>
      </c>
      <c r="E22" t="inlineStr">
        <is>
          <t>EXPIRING SOON</t>
        </is>
      </c>
      <c r="F22" t="inlineStr">
        <is>
          <t>Bank Information Sheet</t>
        </is>
      </c>
      <c r="G22" s="55" t="n">
        <v>46015</v>
      </c>
      <c r="H22" t="inlineStr">
        <is>
          <t>Link</t>
        </is>
      </c>
    </row>
    <row r="23">
      <c r="A23" t="inlineStr">
        <is>
          <t>DRV-004</t>
        </is>
      </c>
      <c r="B23" t="inlineStr">
        <is>
          <t>Priya Patel</t>
        </is>
      </c>
      <c r="C23" t="inlineStr">
        <is>
          <t>359-469-5960</t>
        </is>
      </c>
      <c r="D23" t="inlineStr">
        <is>
          <t>2200 Superior Ave, Cleveland, OH</t>
        </is>
      </c>
      <c r="E23" t="inlineStr">
        <is>
          <t>EXPIRING SOON</t>
        </is>
      </c>
      <c r="F23" t="inlineStr">
        <is>
          <t>CDL Summary</t>
        </is>
      </c>
      <c r="G23" s="55" t="n">
        <v>46097</v>
      </c>
      <c r="H23" t="inlineStr">
        <is>
          <t>Link</t>
        </is>
      </c>
    </row>
    <row r="24">
      <c r="A24" t="inlineStr">
        <is>
          <t>DRV-004</t>
        </is>
      </c>
      <c r="B24" t="inlineStr">
        <is>
          <t>Priya Patel</t>
        </is>
      </c>
      <c r="C24" t="inlineStr">
        <is>
          <t>359-469-5960</t>
        </is>
      </c>
      <c r="D24" t="inlineStr">
        <is>
          <t>2200 Superior Ave, Cleveland, OH</t>
        </is>
      </c>
      <c r="E24" t="inlineStr">
        <is>
          <t>EXPIRING SOON</t>
        </is>
      </c>
      <c r="F24" t="inlineStr">
        <is>
          <t>Medical Certification Summary</t>
        </is>
      </c>
      <c r="G24" s="55" t="n">
        <v>46249</v>
      </c>
      <c r="H24" t="inlineStr">
        <is>
          <t>Link</t>
        </is>
      </c>
    </row>
    <row r="25">
      <c r="A25" t="inlineStr">
        <is>
          <t>DRV-004</t>
        </is>
      </c>
      <c r="B25" t="inlineStr">
        <is>
          <t>Priya Patel</t>
        </is>
      </c>
      <c r="C25" t="inlineStr">
        <is>
          <t>359-469-5960</t>
        </is>
      </c>
      <c r="D25" t="inlineStr">
        <is>
          <t>2200 Superior Ave, Cleveland, OH</t>
        </is>
      </c>
      <c r="E25" t="inlineStr">
        <is>
          <t>EXPIRING SOON</t>
        </is>
      </c>
      <c r="F25" t="inlineStr">
        <is>
          <t>MVR Summary</t>
        </is>
      </c>
      <c r="G25" s="55" t="n">
        <v>46254</v>
      </c>
      <c r="H25" t="inlineStr">
        <is>
          <t>Link</t>
        </is>
      </c>
    </row>
    <row r="26">
      <c r="A26" t="inlineStr">
        <is>
          <t>DRV-004</t>
        </is>
      </c>
      <c r="B26" t="inlineStr">
        <is>
          <t>Priya Patel</t>
        </is>
      </c>
      <c r="C26" t="inlineStr">
        <is>
          <t>359-469-5960</t>
        </is>
      </c>
      <c r="D26" t="inlineStr">
        <is>
          <t>2200 Superior Ave, Cleveland, OH</t>
        </is>
      </c>
      <c r="E26" t="inlineStr">
        <is>
          <t>EXPIRING SOON</t>
        </is>
      </c>
      <c r="F26" t="inlineStr">
        <is>
          <t>Employment Eligibility Summary</t>
        </is>
      </c>
      <c r="G26" s="55" t="n">
        <v>45976</v>
      </c>
      <c r="H26" t="inlineStr">
        <is>
          <t>Link</t>
        </is>
      </c>
    </row>
    <row r="27">
      <c r="A27" t="inlineStr">
        <is>
          <t>DRV-004</t>
        </is>
      </c>
      <c r="B27" t="inlineStr">
        <is>
          <t>Priya Patel</t>
        </is>
      </c>
      <c r="C27" t="inlineStr">
        <is>
          <t>359-469-5960</t>
        </is>
      </c>
      <c r="D27" t="inlineStr">
        <is>
          <t>2200 Superior Ave, Cleveland, OH</t>
        </is>
      </c>
      <c r="E27" t="inlineStr">
        <is>
          <t>EXPIRING SOON</t>
        </is>
      </c>
      <c r="F27" t="inlineStr">
        <is>
          <t>FMCSA Compliance Summary</t>
        </is>
      </c>
      <c r="G27" s="55" t="n">
        <v>46076</v>
      </c>
      <c r="H27" t="inlineStr">
        <is>
          <t>Link</t>
        </is>
      </c>
    </row>
    <row r="28">
      <c r="A28" t="inlineStr">
        <is>
          <t>DRV-004</t>
        </is>
      </c>
      <c r="B28" t="inlineStr">
        <is>
          <t>Priya Patel</t>
        </is>
      </c>
      <c r="C28" t="inlineStr">
        <is>
          <t>359-469-5960</t>
        </is>
      </c>
      <c r="D28" t="inlineStr">
        <is>
          <t>2200 Superior Ave, Cleveland, OH</t>
        </is>
      </c>
      <c r="E28" t="inlineStr">
        <is>
          <t>EXPIRING SOON</t>
        </is>
      </c>
      <c r="F28" t="inlineStr">
        <is>
          <t>W-9 Summary</t>
        </is>
      </c>
      <c r="G28" s="55" t="n">
        <v>46165</v>
      </c>
      <c r="H28" t="inlineStr">
        <is>
          <t>Link</t>
        </is>
      </c>
    </row>
    <row r="29">
      <c r="A29" t="inlineStr">
        <is>
          <t>DRV-004</t>
        </is>
      </c>
      <c r="B29" t="inlineStr">
        <is>
          <t>Priya Patel</t>
        </is>
      </c>
      <c r="C29" t="inlineStr">
        <is>
          <t>359-469-5960</t>
        </is>
      </c>
      <c r="D29" t="inlineStr">
        <is>
          <t>2200 Superior Ave, Cleveland, OH</t>
        </is>
      </c>
      <c r="E29" t="inlineStr">
        <is>
          <t>EXPIRING SOON</t>
        </is>
      </c>
      <c r="F29" t="inlineStr">
        <is>
          <t>Bank Information Sheet</t>
        </is>
      </c>
      <c r="G29" s="55" t="n">
        <v>46021</v>
      </c>
      <c r="H29" t="inlineStr">
        <is>
          <t>Link</t>
        </is>
      </c>
    </row>
    <row r="30">
      <c r="A30" t="inlineStr">
        <is>
          <t>DRV-005</t>
        </is>
      </c>
      <c r="B30" t="inlineStr">
        <is>
          <t>Kenji Tanaka</t>
        </is>
      </c>
      <c r="C30" t="inlineStr">
        <is>
          <t>871-429-6220</t>
        </is>
      </c>
      <c r="D30" t="inlineStr">
        <is>
          <t>115 E Broad St, Columbus, OH</t>
        </is>
      </c>
      <c r="E30" t="inlineStr">
        <is>
          <t>VALID</t>
        </is>
      </c>
      <c r="F30" t="inlineStr">
        <is>
          <t>CDL Summary</t>
        </is>
      </c>
      <c r="G30" s="55" t="n">
        <v>46021</v>
      </c>
      <c r="H30" t="inlineStr">
        <is>
          <t>Link</t>
        </is>
      </c>
    </row>
    <row r="31">
      <c r="A31" t="inlineStr">
        <is>
          <t>DRV-005</t>
        </is>
      </c>
      <c r="B31" t="inlineStr">
        <is>
          <t>Kenji Tanaka</t>
        </is>
      </c>
      <c r="C31" t="inlineStr">
        <is>
          <t>871-429-6220</t>
        </is>
      </c>
      <c r="D31" t="inlineStr">
        <is>
          <t>115 E Broad St, Columbus, OH</t>
        </is>
      </c>
      <c r="E31" t="inlineStr">
        <is>
          <t>VALID</t>
        </is>
      </c>
      <c r="F31" t="inlineStr">
        <is>
          <t>Medical Certification Summary</t>
        </is>
      </c>
      <c r="G31" s="55" t="n">
        <v>45977</v>
      </c>
      <c r="H31" t="inlineStr">
        <is>
          <t>Link</t>
        </is>
      </c>
    </row>
    <row r="32">
      <c r="A32" t="inlineStr">
        <is>
          <t>DRV-005</t>
        </is>
      </c>
      <c r="B32" t="inlineStr">
        <is>
          <t>Kenji Tanaka</t>
        </is>
      </c>
      <c r="C32" t="inlineStr">
        <is>
          <t>871-429-6220</t>
        </is>
      </c>
      <c r="D32" t="inlineStr">
        <is>
          <t>115 E Broad St, Columbus, OH</t>
        </is>
      </c>
      <c r="E32" t="inlineStr">
        <is>
          <t>VALID</t>
        </is>
      </c>
      <c r="F32" t="inlineStr">
        <is>
          <t>MVR Summary</t>
        </is>
      </c>
      <c r="G32" s="55" t="n">
        <v>46052</v>
      </c>
      <c r="H32" t="inlineStr">
        <is>
          <t>Link</t>
        </is>
      </c>
    </row>
    <row r="33">
      <c r="A33" t="inlineStr">
        <is>
          <t>DRV-005</t>
        </is>
      </c>
      <c r="B33" t="inlineStr">
        <is>
          <t>Kenji Tanaka</t>
        </is>
      </c>
      <c r="C33" t="inlineStr">
        <is>
          <t>871-429-6220</t>
        </is>
      </c>
      <c r="D33" t="inlineStr">
        <is>
          <t>115 E Broad St, Columbus, OH</t>
        </is>
      </c>
      <c r="E33" t="inlineStr">
        <is>
          <t>VALID</t>
        </is>
      </c>
      <c r="F33" t="inlineStr">
        <is>
          <t>Employment Eligibility Summary</t>
        </is>
      </c>
      <c r="G33" s="55" t="n">
        <v>46246</v>
      </c>
      <c r="H33" t="inlineStr">
        <is>
          <t>Link</t>
        </is>
      </c>
    </row>
    <row r="34">
      <c r="A34" t="inlineStr">
        <is>
          <t>DRV-005</t>
        </is>
      </c>
      <c r="B34" t="inlineStr">
        <is>
          <t>Kenji Tanaka</t>
        </is>
      </c>
      <c r="C34" t="inlineStr">
        <is>
          <t>871-429-6220</t>
        </is>
      </c>
      <c r="D34" t="inlineStr">
        <is>
          <t>115 E Broad St, Columbus, OH</t>
        </is>
      </c>
      <c r="E34" t="inlineStr">
        <is>
          <t>VALID</t>
        </is>
      </c>
      <c r="F34" t="inlineStr">
        <is>
          <t>FMCSA Compliance Summary</t>
        </is>
      </c>
      <c r="G34" s="55" t="n">
        <v>46193</v>
      </c>
      <c r="H34" t="inlineStr">
        <is>
          <t>Link</t>
        </is>
      </c>
    </row>
    <row r="35">
      <c r="A35" t="inlineStr">
        <is>
          <t>DRV-005</t>
        </is>
      </c>
      <c r="B35" t="inlineStr">
        <is>
          <t>Kenji Tanaka</t>
        </is>
      </c>
      <c r="C35" t="inlineStr">
        <is>
          <t>871-429-6220</t>
        </is>
      </c>
      <c r="D35" t="inlineStr">
        <is>
          <t>115 E Broad St, Columbus, OH</t>
        </is>
      </c>
      <c r="E35" t="inlineStr">
        <is>
          <t>VALID</t>
        </is>
      </c>
      <c r="F35" t="inlineStr">
        <is>
          <t>W-9 Summary</t>
        </is>
      </c>
      <c r="G35" s="55" t="n">
        <v>46091</v>
      </c>
      <c r="H35" t="inlineStr">
        <is>
          <t>Link</t>
        </is>
      </c>
    </row>
    <row r="36">
      <c r="A36" t="inlineStr">
        <is>
          <t>DRV-005</t>
        </is>
      </c>
      <c r="B36" t="inlineStr">
        <is>
          <t>Kenji Tanaka</t>
        </is>
      </c>
      <c r="C36" t="inlineStr">
        <is>
          <t>871-429-6220</t>
        </is>
      </c>
      <c r="D36" t="inlineStr">
        <is>
          <t>115 E Broad St, Columbus, OH</t>
        </is>
      </c>
      <c r="E36" t="inlineStr">
        <is>
          <t>VALID</t>
        </is>
      </c>
      <c r="F36" t="inlineStr">
        <is>
          <t>Bank Information Sheet</t>
        </is>
      </c>
      <c r="G36" s="55" t="n">
        <v>46227</v>
      </c>
      <c r="H36" t="inlineStr">
        <is>
          <t>Link</t>
        </is>
      </c>
    </row>
    <row r="37">
      <c r="A37" t="inlineStr">
        <is>
          <t>DRV-006</t>
        </is>
      </c>
      <c r="B37" t="inlineStr">
        <is>
          <t>Marcus Chen</t>
        </is>
      </c>
      <c r="C37" t="inlineStr">
        <is>
          <t>283-876-4322</t>
        </is>
      </c>
      <c r="D37" t="inlineStr">
        <is>
          <t>500 Pacific Ave, Dallas, TX</t>
        </is>
      </c>
      <c r="E37" t="inlineStr">
        <is>
          <t>VALID</t>
        </is>
      </c>
      <c r="F37" t="inlineStr">
        <is>
          <t>CDL Summary</t>
        </is>
      </c>
      <c r="G37" s="55" t="n">
        <v>46062</v>
      </c>
      <c r="H37" t="inlineStr">
        <is>
          <t>Link</t>
        </is>
      </c>
    </row>
    <row r="38">
      <c r="A38" t="inlineStr">
        <is>
          <t>DRV-006</t>
        </is>
      </c>
      <c r="B38" t="inlineStr">
        <is>
          <t>Marcus Chen</t>
        </is>
      </c>
      <c r="C38" t="inlineStr">
        <is>
          <t>283-876-4322</t>
        </is>
      </c>
      <c r="D38" t="inlineStr">
        <is>
          <t>500 Pacific Ave, Dallas, TX</t>
        </is>
      </c>
      <c r="E38" t="inlineStr">
        <is>
          <t>VALID</t>
        </is>
      </c>
      <c r="F38" t="inlineStr">
        <is>
          <t>Medical Certification Summary</t>
        </is>
      </c>
      <c r="G38" s="55" t="n">
        <v>46085</v>
      </c>
      <c r="H38" t="inlineStr">
        <is>
          <t>Link</t>
        </is>
      </c>
    </row>
    <row r="39">
      <c r="A39" t="inlineStr">
        <is>
          <t>DRV-006</t>
        </is>
      </c>
      <c r="B39" t="inlineStr">
        <is>
          <t>Marcus Chen</t>
        </is>
      </c>
      <c r="C39" t="inlineStr">
        <is>
          <t>283-876-4322</t>
        </is>
      </c>
      <c r="D39" t="inlineStr">
        <is>
          <t>500 Pacific Ave, Dallas, TX</t>
        </is>
      </c>
      <c r="E39" t="inlineStr">
        <is>
          <t>VALID</t>
        </is>
      </c>
      <c r="F39" t="inlineStr">
        <is>
          <t>MVR Summary</t>
        </is>
      </c>
      <c r="G39" s="55" t="n">
        <v>46169</v>
      </c>
      <c r="H39" t="inlineStr">
        <is>
          <t>Link</t>
        </is>
      </c>
    </row>
    <row r="40">
      <c r="A40" t="inlineStr">
        <is>
          <t>DRV-006</t>
        </is>
      </c>
      <c r="B40" t="inlineStr">
        <is>
          <t>Marcus Chen</t>
        </is>
      </c>
      <c r="C40" t="inlineStr">
        <is>
          <t>283-876-4322</t>
        </is>
      </c>
      <c r="D40" t="inlineStr">
        <is>
          <t>500 Pacific Ave, Dallas, TX</t>
        </is>
      </c>
      <c r="E40" t="inlineStr">
        <is>
          <t>VALID</t>
        </is>
      </c>
      <c r="F40" t="inlineStr">
        <is>
          <t>Employment Eligibility Summary</t>
        </is>
      </c>
      <c r="G40" s="55" t="n">
        <v>46011</v>
      </c>
      <c r="H40" t="inlineStr">
        <is>
          <t>Link</t>
        </is>
      </c>
    </row>
    <row r="41">
      <c r="A41" t="inlineStr">
        <is>
          <t>DRV-006</t>
        </is>
      </c>
      <c r="B41" t="inlineStr">
        <is>
          <t>Marcus Chen</t>
        </is>
      </c>
      <c r="C41" t="inlineStr">
        <is>
          <t>283-876-4322</t>
        </is>
      </c>
      <c r="D41" t="inlineStr">
        <is>
          <t>500 Pacific Ave, Dallas, TX</t>
        </is>
      </c>
      <c r="E41" t="inlineStr">
        <is>
          <t>VALID</t>
        </is>
      </c>
      <c r="F41" t="inlineStr">
        <is>
          <t>FMCSA Compliance Summary</t>
        </is>
      </c>
      <c r="G41" s="55" t="n">
        <v>46027</v>
      </c>
      <c r="H41" t="inlineStr">
        <is>
          <t>Link</t>
        </is>
      </c>
    </row>
    <row r="42">
      <c r="A42" t="inlineStr">
        <is>
          <t>DRV-006</t>
        </is>
      </c>
      <c r="B42" t="inlineStr">
        <is>
          <t>Marcus Chen</t>
        </is>
      </c>
      <c r="C42" t="inlineStr">
        <is>
          <t>283-876-4322</t>
        </is>
      </c>
      <c r="D42" t="inlineStr">
        <is>
          <t>500 Pacific Ave, Dallas, TX</t>
        </is>
      </c>
      <c r="E42" t="inlineStr">
        <is>
          <t>VALID</t>
        </is>
      </c>
      <c r="F42" t="inlineStr">
        <is>
          <t>W-9 Summary</t>
        </is>
      </c>
      <c r="G42" s="55" t="n">
        <v>46092</v>
      </c>
      <c r="H42" t="inlineStr">
        <is>
          <t>Link</t>
        </is>
      </c>
    </row>
    <row r="43">
      <c r="A43" t="inlineStr">
        <is>
          <t>DRV-006</t>
        </is>
      </c>
      <c r="B43" t="inlineStr">
        <is>
          <t>Marcus Chen</t>
        </is>
      </c>
      <c r="C43" t="inlineStr">
        <is>
          <t>283-876-4322</t>
        </is>
      </c>
      <c r="D43" t="inlineStr">
        <is>
          <t>500 Pacific Ave, Dallas, TX</t>
        </is>
      </c>
      <c r="E43" t="inlineStr">
        <is>
          <t>VALID</t>
        </is>
      </c>
      <c r="F43" t="inlineStr">
        <is>
          <t>Bank Information Sheet</t>
        </is>
      </c>
      <c r="G43" s="55" t="n">
        <v>46073</v>
      </c>
      <c r="H43" t="inlineStr">
        <is>
          <t>Link</t>
        </is>
      </c>
    </row>
    <row r="44">
      <c r="A44" t="inlineStr">
        <is>
          <t>DRV-007</t>
        </is>
      </c>
      <c r="B44" t="inlineStr">
        <is>
          <t>Sofia Gomez</t>
        </is>
      </c>
      <c r="C44" t="inlineStr">
        <is>
          <t>896-828-7164</t>
        </is>
      </c>
      <c r="D44" t="inlineStr">
        <is>
          <t>815 Prospect Ave, Cleveland, OH</t>
        </is>
      </c>
      <c r="E44" t="inlineStr">
        <is>
          <t>VALID</t>
        </is>
      </c>
      <c r="F44" t="inlineStr">
        <is>
          <t>CDL Summary</t>
        </is>
      </c>
      <c r="G44" s="55" t="n">
        <v>46204</v>
      </c>
      <c r="H44" t="inlineStr">
        <is>
          <t>Link</t>
        </is>
      </c>
    </row>
    <row r="45">
      <c r="A45" t="inlineStr">
        <is>
          <t>DRV-007</t>
        </is>
      </c>
      <c r="B45" t="inlineStr">
        <is>
          <t>Sofia Gomez</t>
        </is>
      </c>
      <c r="C45" t="inlineStr">
        <is>
          <t>896-828-7164</t>
        </is>
      </c>
      <c r="D45" t="inlineStr">
        <is>
          <t>815 Prospect Ave, Cleveland, OH</t>
        </is>
      </c>
      <c r="E45" t="inlineStr">
        <is>
          <t>VALID</t>
        </is>
      </c>
      <c r="F45" t="inlineStr">
        <is>
          <t>Medical Certification Summary</t>
        </is>
      </c>
      <c r="G45" s="55" t="n">
        <v>46155</v>
      </c>
      <c r="H45" t="inlineStr">
        <is>
          <t>Link</t>
        </is>
      </c>
    </row>
    <row r="46">
      <c r="A46" t="inlineStr">
        <is>
          <t>DRV-007</t>
        </is>
      </c>
      <c r="B46" t="inlineStr">
        <is>
          <t>Sofia Gomez</t>
        </is>
      </c>
      <c r="C46" t="inlineStr">
        <is>
          <t>896-828-7164</t>
        </is>
      </c>
      <c r="D46" t="inlineStr">
        <is>
          <t>815 Prospect Ave, Cleveland, OH</t>
        </is>
      </c>
      <c r="E46" t="inlineStr">
        <is>
          <t>VALID</t>
        </is>
      </c>
      <c r="F46" t="inlineStr">
        <is>
          <t>MVR Summary</t>
        </is>
      </c>
      <c r="G46" s="55" t="n">
        <v>46152</v>
      </c>
      <c r="H46" t="inlineStr">
        <is>
          <t>Link</t>
        </is>
      </c>
    </row>
    <row r="47">
      <c r="A47" t="inlineStr">
        <is>
          <t>DRV-007</t>
        </is>
      </c>
      <c r="B47" t="inlineStr">
        <is>
          <t>Sofia Gomez</t>
        </is>
      </c>
      <c r="C47" t="inlineStr">
        <is>
          <t>896-828-7164</t>
        </is>
      </c>
      <c r="D47" t="inlineStr">
        <is>
          <t>815 Prospect Ave, Cleveland, OH</t>
        </is>
      </c>
      <c r="E47" t="inlineStr">
        <is>
          <t>VALID</t>
        </is>
      </c>
      <c r="F47" t="inlineStr">
        <is>
          <t>Employment Eligibility Summary</t>
        </is>
      </c>
      <c r="G47" s="55" t="n">
        <v>46204</v>
      </c>
      <c r="H47" t="inlineStr">
        <is>
          <t>Link</t>
        </is>
      </c>
    </row>
    <row r="48">
      <c r="A48" t="inlineStr">
        <is>
          <t>DRV-007</t>
        </is>
      </c>
      <c r="B48" t="inlineStr">
        <is>
          <t>Sofia Gomez</t>
        </is>
      </c>
      <c r="C48" t="inlineStr">
        <is>
          <t>896-828-7164</t>
        </is>
      </c>
      <c r="D48" t="inlineStr">
        <is>
          <t>815 Prospect Ave, Cleveland, OH</t>
        </is>
      </c>
      <c r="E48" t="inlineStr">
        <is>
          <t>VALID</t>
        </is>
      </c>
      <c r="F48" t="inlineStr">
        <is>
          <t>FMCSA Compliance Summary</t>
        </is>
      </c>
      <c r="G48" s="55" t="n">
        <v>46036</v>
      </c>
      <c r="H48" t="inlineStr">
        <is>
          <t>Link</t>
        </is>
      </c>
    </row>
    <row r="49">
      <c r="A49" t="inlineStr">
        <is>
          <t>DRV-007</t>
        </is>
      </c>
      <c r="B49" t="inlineStr">
        <is>
          <t>Sofia Gomez</t>
        </is>
      </c>
      <c r="C49" t="inlineStr">
        <is>
          <t>896-828-7164</t>
        </is>
      </c>
      <c r="D49" t="inlineStr">
        <is>
          <t>815 Prospect Ave, Cleveland, OH</t>
        </is>
      </c>
      <c r="E49" t="inlineStr">
        <is>
          <t>VALID</t>
        </is>
      </c>
      <c r="F49" t="inlineStr">
        <is>
          <t>W-9 Summary</t>
        </is>
      </c>
      <c r="G49" s="55" t="n">
        <v>46021</v>
      </c>
      <c r="H49" t="inlineStr">
        <is>
          <t>Link</t>
        </is>
      </c>
    </row>
    <row r="50">
      <c r="A50" t="inlineStr">
        <is>
          <t>DRV-007</t>
        </is>
      </c>
      <c r="B50" t="inlineStr">
        <is>
          <t>Sofia Gomez</t>
        </is>
      </c>
      <c r="C50" t="inlineStr">
        <is>
          <t>896-828-7164</t>
        </is>
      </c>
      <c r="D50" t="inlineStr">
        <is>
          <t>815 Prospect Ave, Cleveland, OH</t>
        </is>
      </c>
      <c r="E50" t="inlineStr">
        <is>
          <t>VALID</t>
        </is>
      </c>
      <c r="F50" t="inlineStr">
        <is>
          <t>Bank Information Sheet</t>
        </is>
      </c>
      <c r="G50" s="55" t="n">
        <v>46210</v>
      </c>
      <c r="H50" t="inlineStr">
        <is>
          <t>Link</t>
        </is>
      </c>
    </row>
    <row r="51">
      <c r="A51" t="inlineStr">
        <is>
          <t>DRV-008</t>
        </is>
      </c>
      <c r="B51" t="inlineStr">
        <is>
          <t>Liam Smith</t>
        </is>
      </c>
      <c r="C51" t="inlineStr">
        <is>
          <t>820-223-4829</t>
        </is>
      </c>
      <c r="D51" t="inlineStr">
        <is>
          <t>240 Madison Ave, Toledo, OH</t>
        </is>
      </c>
      <c r="E51" t="inlineStr">
        <is>
          <t>VALID</t>
        </is>
      </c>
      <c r="F51" t="inlineStr">
        <is>
          <t>CDL Summary</t>
        </is>
      </c>
      <c r="G51" s="55" t="n">
        <v>46218</v>
      </c>
      <c r="H51" t="inlineStr">
        <is>
          <t>Link</t>
        </is>
      </c>
    </row>
    <row r="52">
      <c r="A52" t="inlineStr">
        <is>
          <t>DRV-008</t>
        </is>
      </c>
      <c r="B52" t="inlineStr">
        <is>
          <t>Liam Smith</t>
        </is>
      </c>
      <c r="C52" t="inlineStr">
        <is>
          <t>820-223-4829</t>
        </is>
      </c>
      <c r="D52" t="inlineStr">
        <is>
          <t>240 Madison Ave, Toledo, OH</t>
        </is>
      </c>
      <c r="E52" t="inlineStr">
        <is>
          <t>VALID</t>
        </is>
      </c>
      <c r="F52" t="inlineStr">
        <is>
          <t>Medical Certification Summary</t>
        </is>
      </c>
      <c r="G52" s="55" t="n">
        <v>46131</v>
      </c>
      <c r="H52" t="inlineStr">
        <is>
          <t>Link</t>
        </is>
      </c>
    </row>
    <row r="53">
      <c r="A53" t="inlineStr">
        <is>
          <t>DRV-008</t>
        </is>
      </c>
      <c r="B53" t="inlineStr">
        <is>
          <t>Liam Smith</t>
        </is>
      </c>
      <c r="C53" t="inlineStr">
        <is>
          <t>820-223-4829</t>
        </is>
      </c>
      <c r="D53" t="inlineStr">
        <is>
          <t>240 Madison Ave, Toledo, OH</t>
        </is>
      </c>
      <c r="E53" t="inlineStr">
        <is>
          <t>VALID</t>
        </is>
      </c>
      <c r="F53" t="inlineStr">
        <is>
          <t>MVR Summary</t>
        </is>
      </c>
      <c r="G53" s="55" t="n">
        <v>46127</v>
      </c>
      <c r="H53" t="inlineStr">
        <is>
          <t>Link</t>
        </is>
      </c>
    </row>
    <row r="54">
      <c r="A54" t="inlineStr">
        <is>
          <t>DRV-008</t>
        </is>
      </c>
      <c r="B54" t="inlineStr">
        <is>
          <t>Liam Smith</t>
        </is>
      </c>
      <c r="C54" t="inlineStr">
        <is>
          <t>820-223-4829</t>
        </is>
      </c>
      <c r="D54" t="inlineStr">
        <is>
          <t>240 Madison Ave, Toledo, OH</t>
        </is>
      </c>
      <c r="E54" t="inlineStr">
        <is>
          <t>VALID</t>
        </is>
      </c>
      <c r="F54" t="inlineStr">
        <is>
          <t>Employment Eligibility Summary</t>
        </is>
      </c>
      <c r="G54" s="55" t="n">
        <v>46033</v>
      </c>
      <c r="H54" t="inlineStr">
        <is>
          <t>Link</t>
        </is>
      </c>
    </row>
    <row r="55">
      <c r="A55" t="inlineStr">
        <is>
          <t>DRV-008</t>
        </is>
      </c>
      <c r="B55" t="inlineStr">
        <is>
          <t>Liam Smith</t>
        </is>
      </c>
      <c r="C55" t="inlineStr">
        <is>
          <t>820-223-4829</t>
        </is>
      </c>
      <c r="D55" t="inlineStr">
        <is>
          <t>240 Madison Ave, Toledo, OH</t>
        </is>
      </c>
      <c r="E55" t="inlineStr">
        <is>
          <t>VALID</t>
        </is>
      </c>
      <c r="F55" t="inlineStr">
        <is>
          <t>FMCSA Compliance Summary</t>
        </is>
      </c>
      <c r="G55" s="55" t="n">
        <v>46065</v>
      </c>
      <c r="H55" t="inlineStr">
        <is>
          <t>Link</t>
        </is>
      </c>
    </row>
    <row r="56">
      <c r="A56" t="inlineStr">
        <is>
          <t>DRV-008</t>
        </is>
      </c>
      <c r="B56" t="inlineStr">
        <is>
          <t>Liam Smith</t>
        </is>
      </c>
      <c r="C56" t="inlineStr">
        <is>
          <t>820-223-4829</t>
        </is>
      </c>
      <c r="D56" t="inlineStr">
        <is>
          <t>240 Madison Ave, Toledo, OH</t>
        </is>
      </c>
      <c r="E56" t="inlineStr">
        <is>
          <t>VALID</t>
        </is>
      </c>
      <c r="F56" t="inlineStr">
        <is>
          <t>W-9 Summary</t>
        </is>
      </c>
      <c r="G56" s="55" t="n">
        <v>46072</v>
      </c>
      <c r="H56" t="inlineStr">
        <is>
          <t>Link</t>
        </is>
      </c>
    </row>
    <row r="57">
      <c r="A57" t="inlineStr">
        <is>
          <t>DRV-008</t>
        </is>
      </c>
      <c r="B57" t="inlineStr">
        <is>
          <t>Liam Smith</t>
        </is>
      </c>
      <c r="C57" t="inlineStr">
        <is>
          <t>820-223-4829</t>
        </is>
      </c>
      <c r="D57" t="inlineStr">
        <is>
          <t>240 Madison Ave, Toledo, OH</t>
        </is>
      </c>
      <c r="E57" t="inlineStr">
        <is>
          <t>VALID</t>
        </is>
      </c>
      <c r="F57" t="inlineStr">
        <is>
          <t>Bank Information Sheet</t>
        </is>
      </c>
      <c r="G57" s="55" t="n">
        <v>46169</v>
      </c>
      <c r="H57" t="inlineStr">
        <is>
          <t>Link</t>
        </is>
      </c>
    </row>
    <row r="58">
      <c r="A58" t="inlineStr">
        <is>
          <t>DRV-009</t>
        </is>
      </c>
      <c r="B58" t="inlineStr">
        <is>
          <t>Emma Brown</t>
        </is>
      </c>
      <c r="C58" t="inlineStr">
        <is>
          <t>206-700-7666</t>
        </is>
      </c>
      <c r="D58" t="inlineStr">
        <is>
          <t>330 Civic Center Dr, Columbus, OH</t>
        </is>
      </c>
      <c r="E58" t="inlineStr">
        <is>
          <t>VALID</t>
        </is>
      </c>
      <c r="F58" t="inlineStr">
        <is>
          <t>CDL Summary</t>
        </is>
      </c>
      <c r="G58" s="55" t="n">
        <v>46112</v>
      </c>
      <c r="H58" t="inlineStr">
        <is>
          <t>Link</t>
        </is>
      </c>
    </row>
    <row r="59">
      <c r="A59" t="inlineStr">
        <is>
          <t>DRV-009</t>
        </is>
      </c>
      <c r="B59" t="inlineStr">
        <is>
          <t>Emma Brown</t>
        </is>
      </c>
      <c r="C59" t="inlineStr">
        <is>
          <t>206-700-7666</t>
        </is>
      </c>
      <c r="D59" t="inlineStr">
        <is>
          <t>330 Civic Center Dr, Columbus, OH</t>
        </is>
      </c>
      <c r="E59" t="inlineStr">
        <is>
          <t>VALID</t>
        </is>
      </c>
      <c r="F59" t="inlineStr">
        <is>
          <t>Medical Certification Summary</t>
        </is>
      </c>
      <c r="G59" s="55" t="n">
        <v>46144</v>
      </c>
      <c r="H59" t="inlineStr">
        <is>
          <t>Link</t>
        </is>
      </c>
    </row>
    <row r="60">
      <c r="A60" t="inlineStr">
        <is>
          <t>DRV-009</t>
        </is>
      </c>
      <c r="B60" t="inlineStr">
        <is>
          <t>Emma Brown</t>
        </is>
      </c>
      <c r="C60" t="inlineStr">
        <is>
          <t>206-700-7666</t>
        </is>
      </c>
      <c r="D60" t="inlineStr">
        <is>
          <t>330 Civic Center Dr, Columbus, OH</t>
        </is>
      </c>
      <c r="E60" t="inlineStr">
        <is>
          <t>VALID</t>
        </is>
      </c>
      <c r="F60" t="inlineStr">
        <is>
          <t>MVR Summary</t>
        </is>
      </c>
      <c r="G60" s="55" t="n">
        <v>46090</v>
      </c>
      <c r="H60" t="inlineStr">
        <is>
          <t>Link</t>
        </is>
      </c>
    </row>
    <row r="61">
      <c r="A61" t="inlineStr">
        <is>
          <t>DRV-009</t>
        </is>
      </c>
      <c r="B61" t="inlineStr">
        <is>
          <t>Emma Brown</t>
        </is>
      </c>
      <c r="C61" t="inlineStr">
        <is>
          <t>206-700-7666</t>
        </is>
      </c>
      <c r="D61" t="inlineStr">
        <is>
          <t>330 Civic Center Dr, Columbus, OH</t>
        </is>
      </c>
      <c r="E61" t="inlineStr">
        <is>
          <t>VALID</t>
        </is>
      </c>
      <c r="F61" t="inlineStr">
        <is>
          <t>Employment Eligibility Summary</t>
        </is>
      </c>
      <c r="G61" s="55" t="n">
        <v>46165</v>
      </c>
      <c r="H61" t="inlineStr">
        <is>
          <t>Link</t>
        </is>
      </c>
    </row>
    <row r="62">
      <c r="A62" t="inlineStr">
        <is>
          <t>DRV-009</t>
        </is>
      </c>
      <c r="B62" t="inlineStr">
        <is>
          <t>Emma Brown</t>
        </is>
      </c>
      <c r="C62" t="inlineStr">
        <is>
          <t>206-700-7666</t>
        </is>
      </c>
      <c r="D62" t="inlineStr">
        <is>
          <t>330 Civic Center Dr, Columbus, OH</t>
        </is>
      </c>
      <c r="E62" t="inlineStr">
        <is>
          <t>VALID</t>
        </is>
      </c>
      <c r="F62" t="inlineStr">
        <is>
          <t>FMCSA Compliance Summary</t>
        </is>
      </c>
      <c r="G62" s="55" t="n">
        <v>46244</v>
      </c>
      <c r="H62" t="inlineStr">
        <is>
          <t>Link</t>
        </is>
      </c>
    </row>
    <row r="63">
      <c r="A63" t="inlineStr">
        <is>
          <t>DRV-009</t>
        </is>
      </c>
      <c r="B63" t="inlineStr">
        <is>
          <t>Emma Brown</t>
        </is>
      </c>
      <c r="C63" t="inlineStr">
        <is>
          <t>206-700-7666</t>
        </is>
      </c>
      <c r="D63" t="inlineStr">
        <is>
          <t>330 Civic Center Dr, Columbus, OH</t>
        </is>
      </c>
      <c r="E63" t="inlineStr">
        <is>
          <t>VALID</t>
        </is>
      </c>
      <c r="F63" t="inlineStr">
        <is>
          <t>W-9 Summary</t>
        </is>
      </c>
      <c r="G63" s="55" t="n">
        <v>46060</v>
      </c>
      <c r="H63" t="inlineStr">
        <is>
          <t>Link</t>
        </is>
      </c>
    </row>
    <row r="64">
      <c r="A64" t="inlineStr">
        <is>
          <t>DRV-009</t>
        </is>
      </c>
      <c r="B64" t="inlineStr">
        <is>
          <t>Emma Brown</t>
        </is>
      </c>
      <c r="C64" t="inlineStr">
        <is>
          <t>206-700-7666</t>
        </is>
      </c>
      <c r="D64" t="inlineStr">
        <is>
          <t>330 Civic Center Dr, Columbus, OH</t>
        </is>
      </c>
      <c r="E64" t="inlineStr">
        <is>
          <t>VALID</t>
        </is>
      </c>
      <c r="F64" t="inlineStr">
        <is>
          <t>Bank Information Sheet</t>
        </is>
      </c>
      <c r="G64" s="55" t="n">
        <v>46144</v>
      </c>
      <c r="H64" t="inlineStr">
        <is>
          <t>Link</t>
        </is>
      </c>
    </row>
    <row r="65">
      <c r="A65" t="inlineStr">
        <is>
          <t>DRV-010</t>
        </is>
      </c>
      <c r="B65" t="inlineStr">
        <is>
          <t>Noah Wilson</t>
        </is>
      </c>
      <c r="C65" t="inlineStr">
        <is>
          <t>582-987-2387</t>
        </is>
      </c>
      <c r="D65" t="inlineStr">
        <is>
          <t>110 W Adams St, Chicago, IL</t>
        </is>
      </c>
      <c r="E65" t="inlineStr">
        <is>
          <t>VALID</t>
        </is>
      </c>
      <c r="F65" t="inlineStr">
        <is>
          <t>CDL Summary</t>
        </is>
      </c>
      <c r="G65" s="55" t="n">
        <v>45983</v>
      </c>
      <c r="H65" t="inlineStr">
        <is>
          <t>Link</t>
        </is>
      </c>
    </row>
    <row r="66">
      <c r="A66" t="inlineStr">
        <is>
          <t>DRV-010</t>
        </is>
      </c>
      <c r="B66" t="inlineStr">
        <is>
          <t>Noah Wilson</t>
        </is>
      </c>
      <c r="C66" t="inlineStr">
        <is>
          <t>582-987-2387</t>
        </is>
      </c>
      <c r="D66" t="inlineStr">
        <is>
          <t>110 W Adams St, Chicago, IL</t>
        </is>
      </c>
      <c r="E66" t="inlineStr">
        <is>
          <t>VALID</t>
        </is>
      </c>
      <c r="F66" t="inlineStr">
        <is>
          <t>Medical Certification Summary</t>
        </is>
      </c>
      <c r="G66" s="55" t="n">
        <v>46012</v>
      </c>
      <c r="H66" t="inlineStr">
        <is>
          <t>Link</t>
        </is>
      </c>
    </row>
    <row r="67">
      <c r="A67" t="inlineStr">
        <is>
          <t>DRV-010</t>
        </is>
      </c>
      <c r="B67" t="inlineStr">
        <is>
          <t>Noah Wilson</t>
        </is>
      </c>
      <c r="C67" t="inlineStr">
        <is>
          <t>582-987-2387</t>
        </is>
      </c>
      <c r="D67" t="inlineStr">
        <is>
          <t>110 W Adams St, Chicago, IL</t>
        </is>
      </c>
      <c r="E67" t="inlineStr">
        <is>
          <t>VALID</t>
        </is>
      </c>
      <c r="F67" t="inlineStr">
        <is>
          <t>MVR Summary</t>
        </is>
      </c>
      <c r="G67" s="55" t="n">
        <v>46056</v>
      </c>
      <c r="H67" t="inlineStr">
        <is>
          <t>Link</t>
        </is>
      </c>
    </row>
    <row r="68">
      <c r="A68" t="inlineStr">
        <is>
          <t>DRV-010</t>
        </is>
      </c>
      <c r="B68" t="inlineStr">
        <is>
          <t>Noah Wilson</t>
        </is>
      </c>
      <c r="C68" t="inlineStr">
        <is>
          <t>582-987-2387</t>
        </is>
      </c>
      <c r="D68" t="inlineStr">
        <is>
          <t>110 W Adams St, Chicago, IL</t>
        </is>
      </c>
      <c r="E68" t="inlineStr">
        <is>
          <t>VALID</t>
        </is>
      </c>
      <c r="F68" t="inlineStr">
        <is>
          <t>Employment Eligibility Summary</t>
        </is>
      </c>
      <c r="G68" s="55" t="n">
        <v>46024</v>
      </c>
      <c r="H68" t="inlineStr">
        <is>
          <t>Link</t>
        </is>
      </c>
    </row>
    <row r="69">
      <c r="A69" t="inlineStr">
        <is>
          <t>DRV-010</t>
        </is>
      </c>
      <c r="B69" t="inlineStr">
        <is>
          <t>Noah Wilson</t>
        </is>
      </c>
      <c r="C69" t="inlineStr">
        <is>
          <t>582-987-2387</t>
        </is>
      </c>
      <c r="D69" t="inlineStr">
        <is>
          <t>110 W Adams St, Chicago, IL</t>
        </is>
      </c>
      <c r="E69" t="inlineStr">
        <is>
          <t>VALID</t>
        </is>
      </c>
      <c r="F69" t="inlineStr">
        <is>
          <t>FMCSA Compliance Summary</t>
        </is>
      </c>
      <c r="G69" s="55" t="n">
        <v>45985</v>
      </c>
      <c r="H69" t="inlineStr">
        <is>
          <t>Link</t>
        </is>
      </c>
    </row>
    <row r="70">
      <c r="A70" t="inlineStr">
        <is>
          <t>DRV-010</t>
        </is>
      </c>
      <c r="B70" t="inlineStr">
        <is>
          <t>Noah Wilson</t>
        </is>
      </c>
      <c r="C70" t="inlineStr">
        <is>
          <t>582-987-2387</t>
        </is>
      </c>
      <c r="D70" t="inlineStr">
        <is>
          <t>110 W Adams St, Chicago, IL</t>
        </is>
      </c>
      <c r="E70" t="inlineStr">
        <is>
          <t>VALID</t>
        </is>
      </c>
      <c r="F70" t="inlineStr">
        <is>
          <t>W-9 Summary</t>
        </is>
      </c>
      <c r="G70" s="55" t="n">
        <v>46208</v>
      </c>
      <c r="H70" t="inlineStr">
        <is>
          <t>Link</t>
        </is>
      </c>
    </row>
    <row r="71">
      <c r="A71" t="inlineStr">
        <is>
          <t>DRV-010</t>
        </is>
      </c>
      <c r="B71" t="inlineStr">
        <is>
          <t>Noah Wilson</t>
        </is>
      </c>
      <c r="C71" t="inlineStr">
        <is>
          <t>582-987-2387</t>
        </is>
      </c>
      <c r="D71" t="inlineStr">
        <is>
          <t>110 W Adams St, Chicago, IL</t>
        </is>
      </c>
      <c r="E71" t="inlineStr">
        <is>
          <t>VALID</t>
        </is>
      </c>
      <c r="F71" t="inlineStr">
        <is>
          <t>Bank Information Sheet</t>
        </is>
      </c>
      <c r="G71" s="55" t="n">
        <v>46061</v>
      </c>
      <c r="H71" t="inlineStr">
        <is>
          <t>Link</t>
        </is>
      </c>
    </row>
    <row r="72">
      <c r="A72" t="inlineStr">
        <is>
          <t>DRV-011</t>
        </is>
      </c>
      <c r="B72" t="inlineStr">
        <is>
          <t>Olivia Lee</t>
        </is>
      </c>
      <c r="C72" t="inlineStr">
        <is>
          <t>337-857-3607</t>
        </is>
      </c>
      <c r="D72" t="inlineStr">
        <is>
          <t>600 Peachtree St, Atlanta, GA</t>
        </is>
      </c>
      <c r="E72" t="inlineStr">
        <is>
          <t>VALID</t>
        </is>
      </c>
      <c r="F72" t="inlineStr">
        <is>
          <t>CDL Summary</t>
        </is>
      </c>
      <c r="G72" s="55" t="n">
        <v>46003</v>
      </c>
      <c r="H72" t="inlineStr">
        <is>
          <t>Link</t>
        </is>
      </c>
    </row>
    <row r="73">
      <c r="A73" t="inlineStr">
        <is>
          <t>DRV-011</t>
        </is>
      </c>
      <c r="B73" t="inlineStr">
        <is>
          <t>Olivia Lee</t>
        </is>
      </c>
      <c r="C73" t="inlineStr">
        <is>
          <t>337-857-3607</t>
        </is>
      </c>
      <c r="D73" t="inlineStr">
        <is>
          <t>600 Peachtree St, Atlanta, GA</t>
        </is>
      </c>
      <c r="E73" t="inlineStr">
        <is>
          <t>VALID</t>
        </is>
      </c>
      <c r="F73" t="inlineStr">
        <is>
          <t>Medical Certification Summary</t>
        </is>
      </c>
      <c r="G73" s="55" t="n">
        <v>45981</v>
      </c>
      <c r="H73" t="inlineStr">
        <is>
          <t>Link</t>
        </is>
      </c>
    </row>
    <row r="74">
      <c r="A74" t="inlineStr">
        <is>
          <t>DRV-011</t>
        </is>
      </c>
      <c r="B74" t="inlineStr">
        <is>
          <t>Olivia Lee</t>
        </is>
      </c>
      <c r="C74" t="inlineStr">
        <is>
          <t>337-857-3607</t>
        </is>
      </c>
      <c r="D74" t="inlineStr">
        <is>
          <t>600 Peachtree St, Atlanta, GA</t>
        </is>
      </c>
      <c r="E74" t="inlineStr">
        <is>
          <t>VALID</t>
        </is>
      </c>
      <c r="F74" t="inlineStr">
        <is>
          <t>MVR Summary</t>
        </is>
      </c>
      <c r="G74" s="55" t="n">
        <v>46109</v>
      </c>
      <c r="H74" t="inlineStr">
        <is>
          <t>Link</t>
        </is>
      </c>
    </row>
    <row r="75">
      <c r="A75" t="inlineStr">
        <is>
          <t>DRV-011</t>
        </is>
      </c>
      <c r="B75" t="inlineStr">
        <is>
          <t>Olivia Lee</t>
        </is>
      </c>
      <c r="C75" t="inlineStr">
        <is>
          <t>337-857-3607</t>
        </is>
      </c>
      <c r="D75" t="inlineStr">
        <is>
          <t>600 Peachtree St, Atlanta, GA</t>
        </is>
      </c>
      <c r="E75" t="inlineStr">
        <is>
          <t>VALID</t>
        </is>
      </c>
      <c r="F75" t="inlineStr">
        <is>
          <t>Employment Eligibility Summary</t>
        </is>
      </c>
      <c r="G75" s="55" t="n">
        <v>46185</v>
      </c>
      <c r="H75" t="inlineStr">
        <is>
          <t>Link</t>
        </is>
      </c>
    </row>
    <row r="76">
      <c r="A76" t="inlineStr">
        <is>
          <t>DRV-011</t>
        </is>
      </c>
      <c r="B76" t="inlineStr">
        <is>
          <t>Olivia Lee</t>
        </is>
      </c>
      <c r="C76" t="inlineStr">
        <is>
          <t>337-857-3607</t>
        </is>
      </c>
      <c r="D76" t="inlineStr">
        <is>
          <t>600 Peachtree St, Atlanta, GA</t>
        </is>
      </c>
      <c r="E76" t="inlineStr">
        <is>
          <t>VALID</t>
        </is>
      </c>
      <c r="F76" t="inlineStr">
        <is>
          <t>FMCSA Compliance Summary</t>
        </is>
      </c>
      <c r="G76" s="55" t="n">
        <v>46033</v>
      </c>
      <c r="H76" t="inlineStr">
        <is>
          <t>Link</t>
        </is>
      </c>
    </row>
    <row r="77">
      <c r="A77" t="inlineStr">
        <is>
          <t>DRV-011</t>
        </is>
      </c>
      <c r="B77" t="inlineStr">
        <is>
          <t>Olivia Lee</t>
        </is>
      </c>
      <c r="C77" t="inlineStr">
        <is>
          <t>337-857-3607</t>
        </is>
      </c>
      <c r="D77" t="inlineStr">
        <is>
          <t>600 Peachtree St, Atlanta, GA</t>
        </is>
      </c>
      <c r="E77" t="inlineStr">
        <is>
          <t>VALID</t>
        </is>
      </c>
      <c r="F77" t="inlineStr">
        <is>
          <t>W-9 Summary</t>
        </is>
      </c>
      <c r="G77" s="55" t="n">
        <v>46249</v>
      </c>
      <c r="H77" t="inlineStr">
        <is>
          <t>Link</t>
        </is>
      </c>
    </row>
    <row r="78">
      <c r="A78" t="inlineStr">
        <is>
          <t>DRV-011</t>
        </is>
      </c>
      <c r="B78" t="inlineStr">
        <is>
          <t>Olivia Lee</t>
        </is>
      </c>
      <c r="C78" t="inlineStr">
        <is>
          <t>337-857-3607</t>
        </is>
      </c>
      <c r="D78" t="inlineStr">
        <is>
          <t>600 Peachtree St, Atlanta, GA</t>
        </is>
      </c>
      <c r="E78" t="inlineStr">
        <is>
          <t>VALID</t>
        </is>
      </c>
      <c r="F78" t="inlineStr">
        <is>
          <t>Bank Information Sheet</t>
        </is>
      </c>
      <c r="G78" s="55" t="n">
        <v>46025</v>
      </c>
      <c r="H78" t="inlineStr">
        <is>
          <t>Link</t>
        </is>
      </c>
    </row>
    <row r="79">
      <c r="A79" t="inlineStr">
        <is>
          <t>DRV-012</t>
        </is>
      </c>
      <c r="B79" t="inlineStr">
        <is>
          <t>Robert Johnson</t>
        </is>
      </c>
      <c r="C79" t="inlineStr">
        <is>
          <t>618-623-9317</t>
        </is>
      </c>
      <c r="D79" t="inlineStr">
        <is>
          <t>88 S Main St, Akron, OH</t>
        </is>
      </c>
      <c r="E79" t="inlineStr">
        <is>
          <t>VALID</t>
        </is>
      </c>
      <c r="F79" t="inlineStr">
        <is>
          <t>CDL Summary</t>
        </is>
      </c>
      <c r="G79" s="55" t="n">
        <v>46135</v>
      </c>
      <c r="H79" t="inlineStr">
        <is>
          <t>Link</t>
        </is>
      </c>
    </row>
    <row r="80">
      <c r="A80" t="inlineStr">
        <is>
          <t>DRV-012</t>
        </is>
      </c>
      <c r="B80" t="inlineStr">
        <is>
          <t>Robert Johnson</t>
        </is>
      </c>
      <c r="C80" t="inlineStr">
        <is>
          <t>618-623-9317</t>
        </is>
      </c>
      <c r="D80" t="inlineStr">
        <is>
          <t>88 S Main St, Akron, OH</t>
        </is>
      </c>
      <c r="E80" t="inlineStr">
        <is>
          <t>VALID</t>
        </is>
      </c>
      <c r="F80" t="inlineStr">
        <is>
          <t>Medical Certification Summary</t>
        </is>
      </c>
      <c r="G80" s="55" t="n">
        <v>46042</v>
      </c>
      <c r="H80" t="inlineStr">
        <is>
          <t>Link</t>
        </is>
      </c>
    </row>
    <row r="81">
      <c r="A81" t="inlineStr">
        <is>
          <t>DRV-012</t>
        </is>
      </c>
      <c r="B81" t="inlineStr">
        <is>
          <t>Robert Johnson</t>
        </is>
      </c>
      <c r="C81" t="inlineStr">
        <is>
          <t>618-623-9317</t>
        </is>
      </c>
      <c r="D81" t="inlineStr">
        <is>
          <t>88 S Main St, Akron, OH</t>
        </is>
      </c>
      <c r="E81" t="inlineStr">
        <is>
          <t>VALID</t>
        </is>
      </c>
      <c r="F81" t="inlineStr">
        <is>
          <t>MVR Summary</t>
        </is>
      </c>
      <c r="G81" s="55" t="n">
        <v>45997</v>
      </c>
      <c r="H81" t="inlineStr">
        <is>
          <t>Link</t>
        </is>
      </c>
    </row>
    <row r="82">
      <c r="A82" t="inlineStr">
        <is>
          <t>DRV-012</t>
        </is>
      </c>
      <c r="B82" t="inlineStr">
        <is>
          <t>Robert Johnson</t>
        </is>
      </c>
      <c r="C82" t="inlineStr">
        <is>
          <t>618-623-9317</t>
        </is>
      </c>
      <c r="D82" t="inlineStr">
        <is>
          <t>88 S Main St, Akron, OH</t>
        </is>
      </c>
      <c r="E82" t="inlineStr">
        <is>
          <t>VALID</t>
        </is>
      </c>
      <c r="F82" t="inlineStr">
        <is>
          <t>Employment Eligibility Summary</t>
        </is>
      </c>
      <c r="G82" s="55" t="n">
        <v>46000</v>
      </c>
      <c r="H82" t="inlineStr">
        <is>
          <t>Link</t>
        </is>
      </c>
    </row>
    <row r="83">
      <c r="A83" t="inlineStr">
        <is>
          <t>DRV-012</t>
        </is>
      </c>
      <c r="B83" t="inlineStr">
        <is>
          <t>Robert Johnson</t>
        </is>
      </c>
      <c r="C83" t="inlineStr">
        <is>
          <t>618-623-9317</t>
        </is>
      </c>
      <c r="D83" t="inlineStr">
        <is>
          <t>88 S Main St, Akron, OH</t>
        </is>
      </c>
      <c r="E83" t="inlineStr">
        <is>
          <t>VALID</t>
        </is>
      </c>
      <c r="F83" t="inlineStr">
        <is>
          <t>FMCSA Compliance Summary</t>
        </is>
      </c>
      <c r="G83" s="55" t="n">
        <v>46147</v>
      </c>
      <c r="H83" t="inlineStr">
        <is>
          <t>Link</t>
        </is>
      </c>
    </row>
    <row r="84">
      <c r="A84" t="inlineStr">
        <is>
          <t>DRV-012</t>
        </is>
      </c>
      <c r="B84" t="inlineStr">
        <is>
          <t>Robert Johnson</t>
        </is>
      </c>
      <c r="C84" t="inlineStr">
        <is>
          <t>618-623-9317</t>
        </is>
      </c>
      <c r="D84" t="inlineStr">
        <is>
          <t>88 S Main St, Akron, OH</t>
        </is>
      </c>
      <c r="E84" t="inlineStr">
        <is>
          <t>VALID</t>
        </is>
      </c>
      <c r="F84" t="inlineStr">
        <is>
          <t>W-9 Summary</t>
        </is>
      </c>
      <c r="G84" s="55" t="n">
        <v>46018</v>
      </c>
      <c r="H84" t="inlineStr">
        <is>
          <t>Link</t>
        </is>
      </c>
    </row>
    <row r="85">
      <c r="A85" t="inlineStr">
        <is>
          <t>DRV-012</t>
        </is>
      </c>
      <c r="B85" t="inlineStr">
        <is>
          <t>Robert Johnson</t>
        </is>
      </c>
      <c r="C85" t="inlineStr">
        <is>
          <t>618-623-9317</t>
        </is>
      </c>
      <c r="D85" t="inlineStr">
        <is>
          <t>88 S Main St, Akron, OH</t>
        </is>
      </c>
      <c r="E85" t="inlineStr">
        <is>
          <t>VALID</t>
        </is>
      </c>
      <c r="F85" t="inlineStr">
        <is>
          <t>Bank Information Sheet</t>
        </is>
      </c>
      <c r="G85" s="55" t="n">
        <v>46069</v>
      </c>
      <c r="H85" t="inlineStr">
        <is>
          <t>Link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4.25"/>
  <cols>
    <col width="13.625" customWidth="1" style="24" min="2" max="2"/>
    <col width="14.125" customWidth="1" style="24" min="3" max="3"/>
    <col width="15.75" customWidth="1" style="24" min="4" max="4"/>
    <col width="14.75" customWidth="1" style="24" min="5" max="5"/>
  </cols>
  <sheetData>
    <row r="1">
      <c r="A1" t="inlineStr">
        <is>
          <t>Asset ID</t>
        </is>
      </c>
      <c r="B1" t="inlineStr">
        <is>
          <t>Assigned Driver</t>
        </is>
      </c>
      <c r="C1" t="inlineStr">
        <is>
          <t>Last Service Date</t>
        </is>
      </c>
      <c r="D1" t="inlineStr">
        <is>
          <t>Next Service Date</t>
        </is>
      </c>
      <c r="E1" t="inlineStr">
        <is>
          <t>Status Indicator</t>
        </is>
      </c>
    </row>
    <row r="2">
      <c r="A2" t="inlineStr">
        <is>
          <t>T-101</t>
        </is>
      </c>
      <c r="B2" t="inlineStr">
        <is>
          <t>Driver 12</t>
        </is>
      </c>
      <c r="C2" s="36" t="n">
        <v>45777</v>
      </c>
      <c r="D2" s="36" t="n">
        <v>46119</v>
      </c>
      <c r="E2">
        <f>IF(D2 &lt; TODAY(), "🔴 EXPIRED", IF(D2 &lt;= TODAY()+30, "🟡 DUE SOON", "🟢 OK"))</f>
        <v/>
      </c>
    </row>
    <row r="3">
      <c r="A3" t="inlineStr">
        <is>
          <t>T-102</t>
        </is>
      </c>
      <c r="B3" t="inlineStr">
        <is>
          <t>Driver 1</t>
        </is>
      </c>
      <c r="C3" s="36" t="n">
        <v>46011</v>
      </c>
      <c r="D3" s="36" t="n">
        <v>46067</v>
      </c>
      <c r="E3">
        <f>IF(D3 &lt; TODAY(), "🔴 EXPIRED", IF(D3 &lt;= TODAY()+30, "🟡 DUE SOON", "🟢 OK"))</f>
        <v/>
      </c>
    </row>
    <row r="4">
      <c r="A4" t="inlineStr">
        <is>
          <t>T-103</t>
        </is>
      </c>
      <c r="B4" t="inlineStr">
        <is>
          <t>Driver 6</t>
        </is>
      </c>
      <c r="C4" s="36" t="n">
        <v>45781</v>
      </c>
      <c r="D4" s="36" t="n">
        <v>46095</v>
      </c>
      <c r="E4">
        <f>IF(D4 &lt; TODAY(), "🔴 EXPIRED", IF(D4 &lt;= TODAY()+30, "🟡 DUE SOON", "🟢 OK"))</f>
        <v/>
      </c>
    </row>
    <row r="5">
      <c r="A5" t="inlineStr">
        <is>
          <t>T-104</t>
        </is>
      </c>
      <c r="B5" t="inlineStr">
        <is>
          <t>Driver 5</t>
        </is>
      </c>
      <c r="C5" s="36" t="n">
        <v>45726</v>
      </c>
      <c r="D5" s="36" t="n">
        <v>46077</v>
      </c>
      <c r="E5">
        <f>IF(D5 &lt; TODAY(), "🔴 EXPIRED", IF(D5 &lt;= TODAY()+30, "🟡 DUE SOON", "🟢 OK"))</f>
        <v/>
      </c>
    </row>
    <row r="6">
      <c r="A6" t="inlineStr">
        <is>
          <t>T-105</t>
        </is>
      </c>
      <c r="B6" t="inlineStr">
        <is>
          <t>Driver 10</t>
        </is>
      </c>
      <c r="C6" s="36" t="n">
        <v>45747</v>
      </c>
      <c r="D6" s="36" t="n">
        <v>46165</v>
      </c>
      <c r="E6">
        <f>IF(D6 &lt; TODAY(), "🔴 EXPIRED", IF(D6 &lt;= TODAY()+30, "🟡 DUE SOON", "🟢 OK"))</f>
        <v/>
      </c>
    </row>
    <row r="7">
      <c r="A7" t="inlineStr">
        <is>
          <t>T-106</t>
        </is>
      </c>
      <c r="B7" t="inlineStr">
        <is>
          <t>Driver 8</t>
        </is>
      </c>
      <c r="C7" s="36" t="n">
        <v>45662</v>
      </c>
      <c r="D7" s="36" t="n">
        <v>46105</v>
      </c>
      <c r="E7">
        <f>IF(D7 &lt; TODAY(), "🔴 EXPIRED", IF(D7 &lt;= TODAY()+30, "🟡 DUE SOON", "🟢 OK"))</f>
        <v/>
      </c>
    </row>
    <row r="8">
      <c r="A8" t="inlineStr">
        <is>
          <t>T-107</t>
        </is>
      </c>
      <c r="B8" t="inlineStr">
        <is>
          <t>Driver 3</t>
        </is>
      </c>
      <c r="C8" s="36" t="n">
        <v>45821</v>
      </c>
      <c r="D8" s="36" t="n">
        <v>46067</v>
      </c>
      <c r="E8">
        <f>IF(D8 &lt; TODAY(), "🔴 EXPIRED", IF(D8 &lt;= TODAY()+30, "🟡 DUE SOON", "🟢 OK"))</f>
        <v/>
      </c>
    </row>
    <row r="9">
      <c r="A9" t="inlineStr">
        <is>
          <t>T-108</t>
        </is>
      </c>
      <c r="B9" t="inlineStr">
        <is>
          <t>Driver 4</t>
        </is>
      </c>
      <c r="C9" s="36" t="n">
        <v>45764</v>
      </c>
      <c r="D9" s="36" t="n">
        <v>46127</v>
      </c>
      <c r="E9">
        <f>IF(D9 &lt; TODAY(), "🔴 EXPIRED", IF(D9 &lt;= TODAY()+30, "🟡 DUE SOON", "🟢 OK"))</f>
        <v/>
      </c>
    </row>
    <row r="10">
      <c r="A10" t="inlineStr">
        <is>
          <t>T-109</t>
        </is>
      </c>
      <c r="B10" t="inlineStr">
        <is>
          <t>Driver 9</t>
        </is>
      </c>
      <c r="C10" s="36" t="n">
        <v>45879</v>
      </c>
      <c r="D10" s="36" t="n">
        <v>46062</v>
      </c>
      <c r="E10">
        <f>IF(D10 &lt; TODAY(), "🔴 EXPIRED", IF(D10 &lt;= TODAY()+30, "🟡 DUE SOON", "🟢 OK"))</f>
        <v/>
      </c>
    </row>
    <row r="11">
      <c r="A11" t="inlineStr">
        <is>
          <t>T-110</t>
        </is>
      </c>
      <c r="B11" t="inlineStr">
        <is>
          <t>Driver 4</t>
        </is>
      </c>
      <c r="C11" s="36" t="n">
        <v>45997</v>
      </c>
      <c r="D11" s="36" t="n">
        <v>46096</v>
      </c>
      <c r="E11">
        <f>IF(D11 &lt; TODAY(), "🔴 EXPIRED", IF(D11 &lt;= TODAY()+30, "🟡 DUE SOON", "🟢 OK"))</f>
        <v/>
      </c>
    </row>
    <row r="12">
      <c r="A12" t="inlineStr">
        <is>
          <t>T-111</t>
        </is>
      </c>
      <c r="B12" t="inlineStr">
        <is>
          <t>Driver 7</t>
        </is>
      </c>
      <c r="C12" s="36" t="n">
        <v>46012</v>
      </c>
      <c r="D12" s="36" t="n">
        <v>46158</v>
      </c>
      <c r="E12">
        <f>IF(D12 &lt; TODAY(), "🔴 EXPIRED", IF(D12 &lt;= TODAY()+30, "🟡 DUE SOON", "🟢 OK"))</f>
        <v/>
      </c>
    </row>
    <row r="13">
      <c r="A13" t="inlineStr">
        <is>
          <t>T-112</t>
        </is>
      </c>
      <c r="B13" t="inlineStr">
        <is>
          <t>Driver 5</t>
        </is>
      </c>
      <c r="C13" s="36" t="n">
        <v>46021</v>
      </c>
      <c r="D13" s="36" t="n">
        <v>46171</v>
      </c>
      <c r="E13">
        <f>IF(D13 &lt; TODAY(), "🔴 EXPIRED", IF(D13 &lt;= TODAY()+30, "🟡 DUE SOON", "🟢 OK"))</f>
        <v/>
      </c>
    </row>
    <row r="14">
      <c r="A14" t="inlineStr">
        <is>
          <t>T-113</t>
        </is>
      </c>
      <c r="B14" t="inlineStr">
        <is>
          <t>Driver 4</t>
        </is>
      </c>
      <c r="C14" s="36" t="n">
        <v>45907</v>
      </c>
      <c r="D14" s="36" t="n">
        <v>46090</v>
      </c>
      <c r="E14">
        <f>IF(D14 &lt; TODAY(), "🔴 EXPIRED", IF(D14 &lt;= TODAY()+30, "🟡 DUE SOON", "🟢 OK"))</f>
        <v/>
      </c>
    </row>
    <row r="15">
      <c r="A15" t="inlineStr">
        <is>
          <t>T-114</t>
        </is>
      </c>
      <c r="B15" t="inlineStr">
        <is>
          <t>Driver 11</t>
        </is>
      </c>
      <c r="C15" s="36" t="n">
        <v>45916</v>
      </c>
      <c r="D15" s="36" t="n">
        <v>46171</v>
      </c>
      <c r="E15">
        <f>IF(D15 &lt; TODAY(), "🔴 EXPIRED", IF(D15 &lt;= TODAY()+30, "🟡 DUE SOON", "🟢 OK"))</f>
        <v/>
      </c>
    </row>
    <row r="16">
      <c r="A16" t="inlineStr">
        <is>
          <t>T-115</t>
        </is>
      </c>
      <c r="B16" t="inlineStr">
        <is>
          <t>Driver 12</t>
        </is>
      </c>
      <c r="C16" s="36" t="n">
        <v>45848</v>
      </c>
      <c r="D16" s="36" t="n">
        <v>46100</v>
      </c>
      <c r="E16">
        <f>IF(D16 &lt; TODAY(), "🔴 EXPIRED", IF(D16 &lt;= TODAY()+30, "🟡 DUE SOON", "🟢 OK"))</f>
        <v/>
      </c>
    </row>
    <row r="17">
      <c r="A17" t="inlineStr">
        <is>
          <t>T-116</t>
        </is>
      </c>
      <c r="B17" t="inlineStr">
        <is>
          <t>Driver 4</t>
        </is>
      </c>
      <c r="C17" s="36" t="n">
        <v>45681</v>
      </c>
      <c r="D17" s="36" t="n">
        <v>46166</v>
      </c>
      <c r="E17">
        <f>IF(D17 &lt; TODAY(), "🔴 EXPIRED", IF(D17 &lt;= TODAY()+30, "🟡 DUE SOON", "🟢 OK"))</f>
        <v/>
      </c>
    </row>
    <row r="18">
      <c r="A18" t="inlineStr">
        <is>
          <t>T-117</t>
        </is>
      </c>
      <c r="B18" t="inlineStr">
        <is>
          <t>Driver 6</t>
        </is>
      </c>
      <c r="C18" s="36" t="n">
        <v>45785</v>
      </c>
      <c r="D18" s="36" t="n">
        <v>46069</v>
      </c>
      <c r="E18">
        <f>IF(D18 &lt; TODAY(), "🔴 EXPIRED", IF(D18 &lt;= TODAY()+30, "🟡 DUE SOON", "🟢 OK"))</f>
        <v/>
      </c>
    </row>
    <row r="19">
      <c r="A19" t="inlineStr">
        <is>
          <t>T-118</t>
        </is>
      </c>
      <c r="B19" t="inlineStr">
        <is>
          <t>Driver 11</t>
        </is>
      </c>
      <c r="C19" s="36" t="n">
        <v>45916</v>
      </c>
      <c r="D19" s="36" t="n">
        <v>46134</v>
      </c>
      <c r="E19">
        <f>IF(D19 &lt; TODAY(), "🔴 EXPIRED", IF(D19 &lt;= TODAY()+30, "🟡 DUE SOON", "🟢 OK"))</f>
        <v/>
      </c>
    </row>
    <row r="20">
      <c r="A20" t="inlineStr">
        <is>
          <t>T-119</t>
        </is>
      </c>
      <c r="B20" t="inlineStr">
        <is>
          <t>Driver 6</t>
        </is>
      </c>
      <c r="C20" s="36" t="n">
        <v>45959</v>
      </c>
      <c r="D20" s="36" t="n">
        <v>46129</v>
      </c>
      <c r="E20">
        <f>IF(D20 &lt; TODAY(), "🔴 EXPIRED", IF(D20 &lt;= TODAY()+30, "🟡 DUE SOON", "🟢 OK"))</f>
        <v/>
      </c>
    </row>
    <row r="21">
      <c r="A21" t="inlineStr">
        <is>
          <t>T-120</t>
        </is>
      </c>
      <c r="B21" t="inlineStr">
        <is>
          <t>Driver 8</t>
        </is>
      </c>
      <c r="C21" s="36" t="n">
        <v>45986</v>
      </c>
      <c r="D21" s="36" t="n">
        <v>46098</v>
      </c>
      <c r="E21">
        <f>IF(D21 &lt; TODAY(), "🔴 EXPIRED", IF(D21 &lt;= TODAY()+30, "🟡 DUE SOON", "🟢 OK"))</f>
        <v/>
      </c>
    </row>
    <row r="22">
      <c r="A22" t="inlineStr">
        <is>
          <t>T-121</t>
        </is>
      </c>
      <c r="B22" t="inlineStr">
        <is>
          <t>Driver 1</t>
        </is>
      </c>
      <c r="C22" s="36" t="n">
        <v>45743</v>
      </c>
      <c r="D22" s="36" t="n">
        <v>46064</v>
      </c>
      <c r="E22">
        <f>IF(D22 &lt; TODAY(), "🔴 EXPIRED", IF(D22 &lt;= TODAY()+30, "🟡 DUE SOON", "🟢 OK"))</f>
        <v/>
      </c>
    </row>
    <row r="23">
      <c r="A23" t="inlineStr">
        <is>
          <t>T-122</t>
        </is>
      </c>
      <c r="B23" t="inlineStr">
        <is>
          <t>Driver 2</t>
        </is>
      </c>
      <c r="C23" s="36" t="n">
        <v>45843</v>
      </c>
      <c r="D23" s="36" t="n">
        <v>46106</v>
      </c>
      <c r="E23">
        <f>IF(D23 &lt; TODAY(), "🔴 EXPIRED", IF(D23 &lt;= TODAY()+30, "🟡 DUE SOON", "🟢 OK"))</f>
        <v/>
      </c>
    </row>
    <row r="24">
      <c r="A24" t="inlineStr">
        <is>
          <t>T-123</t>
        </is>
      </c>
      <c r="B24" t="inlineStr">
        <is>
          <t>Driver 3</t>
        </is>
      </c>
      <c r="C24" s="36" t="n">
        <v>45951</v>
      </c>
      <c r="D24" s="36" t="n">
        <v>46100</v>
      </c>
      <c r="E24">
        <f>IF(D24 &lt; TODAY(), "🔴 EXPIRED", IF(D24 &lt;= TODAY()+30, "🟡 DUE SOON", "🟢 OK"))</f>
        <v/>
      </c>
    </row>
    <row r="25">
      <c r="A25" t="inlineStr">
        <is>
          <t>T-124</t>
        </is>
      </c>
      <c r="B25" t="inlineStr">
        <is>
          <t>Driver 2</t>
        </is>
      </c>
      <c r="C25" s="36" t="n">
        <v>45873</v>
      </c>
      <c r="D25" s="36" t="n">
        <v>46102</v>
      </c>
      <c r="E25">
        <f>IF(D25 &lt; TODAY(), "🔴 EXPIRED", IF(D25 &lt;= TODAY()+30, "🟡 DUE SOON", "🟢 OK"))</f>
        <v/>
      </c>
    </row>
    <row r="26">
      <c r="A26" t="inlineStr">
        <is>
          <t>T-125</t>
        </is>
      </c>
      <c r="B26" t="inlineStr">
        <is>
          <t>Driver 2</t>
        </is>
      </c>
      <c r="C26" s="36" t="n">
        <v>45773</v>
      </c>
      <c r="D26" s="36" t="n">
        <v>46084</v>
      </c>
      <c r="E26">
        <f>IF(D26 &lt; TODAY(), "🔴 EXPIRED", IF(D26 &lt;= TODAY()+30, "🟡 DUE SOON", "🟢 OK"))</f>
        <v/>
      </c>
    </row>
  </sheetData>
  <conditionalFormatting sqref="E1:E1048576">
    <cfRule type="containsText" priority="3" operator="containsText" dxfId="0">
      <formula>NOT(ISERROR(SEARCH("Due Soon",E1)))</formula>
    </cfRule>
    <cfRule type="containsText" priority="2" operator="containsText" dxfId="1">
      <formula>NOT(ISERROR(SEARCH("expired",E1)))</formula>
    </cfRule>
    <cfRule type="containsText" priority="1" operator="containsText" dxfId="2">
      <formula>NOT(ISERROR(SEARCH("OK",E1)))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4.25"/>
  <cols>
    <col width="36.625" customWidth="1" style="24" min="1" max="1"/>
    <col width="19.375" customWidth="1" style="24" min="2" max="2"/>
    <col width="17.875" customWidth="1" style="24" min="3" max="3"/>
    <col width="15.25" customWidth="1" style="24" min="4" max="4"/>
    <col width="14.875" customWidth="1" style="24" min="5" max="5"/>
    <col width="18.625" customWidth="1" style="24" min="6" max="6"/>
    <col width="24" customWidth="1" style="24" min="7" max="7"/>
    <col width="17.75" customWidth="1" style="24" min="8" max="8"/>
    <col width="20" customWidth="1" style="24" min="9" max="12"/>
    <col width="16" customWidth="1" style="24" min="13" max="13"/>
    <col width="18" customWidth="1" style="24" min="14" max="14"/>
    <col width="22" customWidth="1" style="24" min="15" max="15"/>
    <col width="55" customWidth="1" style="24" min="16" max="16"/>
    <col width="18" customWidth="1" style="24" min="17" max="17"/>
  </cols>
  <sheetData>
    <row r="1" ht="27.75" customFormat="1" customHeight="1" s="10">
      <c r="A1" s="37" t="inlineStr">
        <is>
          <t>Load ID</t>
        </is>
      </c>
      <c r="B1" s="37" t="inlineStr">
        <is>
          <t>Driver ID</t>
        </is>
      </c>
      <c r="C1" s="37" t="inlineStr">
        <is>
          <t>Asset ID</t>
        </is>
      </c>
      <c r="D1" s="37" t="inlineStr">
        <is>
          <t>Revenue</t>
        </is>
      </c>
      <c r="E1" s="37" t="inlineStr">
        <is>
          <t>Backhaul Pay</t>
        </is>
      </c>
      <c r="F1" s="37" t="inlineStr">
        <is>
          <t>Driver Signature?</t>
        </is>
      </c>
      <c r="G1" s="37" t="inlineStr">
        <is>
          <t>Load Status</t>
        </is>
      </c>
      <c r="H1" s="38" t="inlineStr">
        <is>
          <t>Reason for Pending Status</t>
        </is>
      </c>
      <c r="I1" t="inlineStr">
        <is>
          <t>Seal Number (Pickup)</t>
        </is>
      </c>
      <c r="J1" t="inlineStr">
        <is>
          <t>Seal Photo (Pickup)</t>
        </is>
      </c>
      <c r="K1" t="inlineStr">
        <is>
          <t>Seal Number (Delivery)</t>
        </is>
      </c>
      <c r="L1" t="inlineStr">
        <is>
          <t>Seal Photo (Delivery)</t>
        </is>
      </c>
      <c r="M1" t="inlineStr">
        <is>
          <t>Seal Status</t>
        </is>
      </c>
      <c r="N1" t="inlineStr">
        <is>
          <t>Exception Flag</t>
        </is>
      </c>
      <c r="O1" t="inlineStr">
        <is>
          <t>Override Reason</t>
        </is>
      </c>
      <c r="P1" t="inlineStr">
        <is>
          <t>Audit Log</t>
        </is>
      </c>
      <c r="Q1" s="37" t="inlineStr">
        <is>
          <t>Compliance Lock</t>
        </is>
      </c>
    </row>
    <row r="2" ht="15" customHeight="1" s="24">
      <c r="A2" s="11" t="inlineStr">
        <is>
          <t>L-501</t>
        </is>
      </c>
      <c r="B2" s="11" t="inlineStr">
        <is>
          <t>Driver 1</t>
        </is>
      </c>
      <c r="C2" s="11" t="inlineStr">
        <is>
          <t>T-102</t>
        </is>
      </c>
      <c r="D2" s="26" t="n">
        <v>2000</v>
      </c>
      <c r="E2" s="26" t="n">
        <v>65</v>
      </c>
      <c r="F2" s="26" t="inlineStr">
        <is>
          <t>No</t>
        </is>
      </c>
      <c r="G2" s="11" t="inlineStr">
        <is>
          <t>Delivered</t>
        </is>
      </c>
      <c r="H2" s="13" t="n"/>
      <c r="I2" t="inlineStr">
        <is>
          <t>SEAL-83921</t>
        </is>
      </c>
      <c r="J2" t="inlineStr">
        <is>
          <t>pickup_photo_01.jpg</t>
        </is>
      </c>
      <c r="K2" t="inlineStr">
        <is>
          <t>SEAL-83920</t>
        </is>
      </c>
      <c r="L2" t="inlineStr">
        <is>
          <t>delivery_photo_01.jpg</t>
        </is>
      </c>
      <c r="M2">
        <f>IF(K2="","Pending",IF(K2&lt;&gt;I2,"Mismatch","Verified"))</f>
        <v/>
      </c>
      <c r="N2">
        <f>IF(M2="Mismatch","SEAL MISMATCH","")</f>
        <v/>
      </c>
      <c r="P2">
        <f>IF(M2="Mismatch","Seal mismatch detected. Pickup: "&amp;I2&amp;" Delivery: "&amp;K2&amp;" | Override: "&amp;IF(O2="","None",O2),"")</f>
        <v/>
      </c>
      <c r="Q2">
        <f>IF(N2="SEAL MISMATCH",IF(O2="","LOCKED","OVERRIDDEN"),"CLEAR")</f>
        <v/>
      </c>
    </row>
    <row r="3" ht="15" customHeight="1" s="24">
      <c r="A3" s="11" t="inlineStr">
        <is>
          <t>L-502</t>
        </is>
      </c>
      <c r="B3" s="11" t="inlineStr">
        <is>
          <t>Driver 2</t>
        </is>
      </c>
      <c r="C3" s="11" t="inlineStr">
        <is>
          <t>T-101</t>
        </is>
      </c>
      <c r="D3" s="26" t="n">
        <v>1800</v>
      </c>
      <c r="E3" s="26" t="n">
        <v>95</v>
      </c>
      <c r="F3" s="26" t="inlineStr">
        <is>
          <t>No</t>
        </is>
      </c>
      <c r="G3" s="11" t="inlineStr">
        <is>
          <t>In-Transit</t>
        </is>
      </c>
      <c r="H3" s="13" t="n"/>
      <c r="I3" t="inlineStr">
        <is>
          <t>SEAL-55219</t>
        </is>
      </c>
      <c r="J3" t="inlineStr">
        <is>
          <t>pickup_photo_02.jpg</t>
        </is>
      </c>
      <c r="K3" t="inlineStr">
        <is>
          <t>SEAL-55219</t>
        </is>
      </c>
      <c r="L3" t="inlineStr">
        <is>
          <t>delivery_photo_02.jpg</t>
        </is>
      </c>
      <c r="M3">
        <f>IF(K3="","Pending",IF(K3&lt;&gt;I3,"Mismatch","Verified"))</f>
        <v/>
      </c>
      <c r="N3">
        <f>IF(M3="Mismatch","SEAL MISMATCH","")</f>
        <v/>
      </c>
      <c r="P3">
        <f>IF(M3="Mismatch","Seal mismatch detected. Pickup: "&amp;I3&amp;" Delivery: "&amp;K3&amp;" | Override: "&amp;IF(O3="","None",O3),"")</f>
        <v/>
      </c>
      <c r="Q3">
        <f>IF(N3="SEAL MISMATCH",IF(O3="","LOCKED","OVERRIDDEN"),"CLEAR")</f>
        <v/>
      </c>
    </row>
    <row r="4" ht="15" customHeight="1" s="24">
      <c r="A4" s="11" t="inlineStr">
        <is>
          <t>L-503</t>
        </is>
      </c>
      <c r="B4" s="11" t="inlineStr">
        <is>
          <t>Driver 3</t>
        </is>
      </c>
      <c r="C4" s="11" t="inlineStr">
        <is>
          <t>T-107</t>
        </is>
      </c>
      <c r="D4" s="26" t="n">
        <v>2100</v>
      </c>
      <c r="E4" s="26" t="n">
        <v>45</v>
      </c>
      <c r="F4" s="26" t="inlineStr">
        <is>
          <t>No</t>
        </is>
      </c>
      <c r="G4" s="11" t="inlineStr">
        <is>
          <t>Delivered</t>
        </is>
      </c>
      <c r="H4" s="13" t="n"/>
      <c r="I4" t="inlineStr">
        <is>
          <t>SEAL-77102</t>
        </is>
      </c>
      <c r="J4" t="inlineStr">
        <is>
          <t>pickup_photo_03.jpg</t>
        </is>
      </c>
      <c r="M4">
        <f>IF(K4="","Pending",IF(K4&lt;&gt;I4,"Mismatch","Verified"))</f>
        <v/>
      </c>
      <c r="N4">
        <f>IF(M4="Mismatch","SEAL MISMATCH","")</f>
        <v/>
      </c>
      <c r="P4">
        <f>IF(M4="Mismatch","Seal mismatch detected. Pickup: "&amp;I4&amp;" Delivery: "&amp;K4&amp;" | Override: "&amp;IF(O4="","None",O4),"")</f>
        <v/>
      </c>
      <c r="Q4">
        <f>IF(N4="SEAL MISMATCH",IF(O4="","LOCKED","OVERRIDDEN"),"CLEAR")</f>
        <v/>
      </c>
    </row>
    <row r="5" ht="15" customHeight="1" s="24">
      <c r="A5" s="11" t="inlineStr">
        <is>
          <t>L-504</t>
        </is>
      </c>
      <c r="B5" s="11" t="inlineStr">
        <is>
          <t>Driver 4</t>
        </is>
      </c>
      <c r="C5" s="11" t="inlineStr">
        <is>
          <t>T-108</t>
        </is>
      </c>
      <c r="D5" s="26" t="n">
        <v>1950</v>
      </c>
      <c r="E5" s="26" t="n">
        <v>88</v>
      </c>
      <c r="F5" s="26" t="inlineStr">
        <is>
          <t>Yes</t>
        </is>
      </c>
      <c r="G5" s="11" t="inlineStr">
        <is>
          <t>Pending</t>
        </is>
      </c>
      <c r="H5" s="13" t="inlineStr">
        <is>
          <t>Awaiting POD</t>
        </is>
      </c>
      <c r="I5" t="inlineStr">
        <is>
          <t>SEAL-61044</t>
        </is>
      </c>
      <c r="J5" t="inlineStr">
        <is>
          <t>pickup_photo_04.jpg</t>
        </is>
      </c>
      <c r="K5" t="inlineStr">
        <is>
          <t>SEAL-61043</t>
        </is>
      </c>
      <c r="L5" t="inlineStr">
        <is>
          <t>delivery_photo_04.jpg</t>
        </is>
      </c>
      <c r="M5">
        <f>IF(K5="","Pending",IF(K5&lt;&gt;I5,"Mismatch","Verified"))</f>
        <v/>
      </c>
      <c r="N5">
        <f>IF(M5="Mismatch","SEAL MISMATCH","")</f>
        <v/>
      </c>
      <c r="O5" t="inlineStr">
        <is>
          <t>Dock supervisor approved</t>
        </is>
      </c>
      <c r="P5">
        <f>IF(M5="Mismatch","Seal mismatch detected. Pickup: "&amp;I5&amp;" Delivery: "&amp;K5&amp;" | Override: "&amp;IF(O5="","None",O5),"")</f>
        <v/>
      </c>
      <c r="Q5">
        <f>IF(N5="SEAL MISMATCH",IF(O5="","LOCKED","OVERRIDDEN"),"CLEAR")</f>
        <v/>
      </c>
    </row>
    <row r="6" ht="15" customHeight="1" s="24">
      <c r="A6" s="11" t="inlineStr">
        <is>
          <t>L-505</t>
        </is>
      </c>
      <c r="B6" s="11" t="inlineStr">
        <is>
          <t>Driver 5</t>
        </is>
      </c>
      <c r="C6" s="11" t="inlineStr">
        <is>
          <t>T-104</t>
        </is>
      </c>
      <c r="D6" s="26" t="n">
        <v>2200</v>
      </c>
      <c r="E6" s="26" t="n">
        <v>45</v>
      </c>
      <c r="F6" s="26" t="inlineStr">
        <is>
          <t>No</t>
        </is>
      </c>
      <c r="G6" s="11" t="inlineStr">
        <is>
          <t>Delivered</t>
        </is>
      </c>
      <c r="H6" s="13" t="n"/>
      <c r="I6" t="inlineStr">
        <is>
          <t>SEAL-44018</t>
        </is>
      </c>
      <c r="J6" t="inlineStr">
        <is>
          <t>pickup_photo_05.jpg</t>
        </is>
      </c>
      <c r="K6" t="inlineStr">
        <is>
          <t>SEAL-44018</t>
        </is>
      </c>
      <c r="L6" t="inlineStr">
        <is>
          <t>delivery_photo_05.jpg</t>
        </is>
      </c>
      <c r="M6">
        <f>IF(K6="","Pending",IF(K6&lt;&gt;I6,"Mismatch","Verified"))</f>
        <v/>
      </c>
      <c r="N6">
        <f>IF(M6="Mismatch","SEAL MISMATCH","")</f>
        <v/>
      </c>
      <c r="P6">
        <f>IF(M6="Mismatch","Seal mismatch detected. Pickup: "&amp;I6&amp;" Delivery: "&amp;K6&amp;" | Override: "&amp;IF(O6="","None",O6),"")</f>
        <v/>
      </c>
      <c r="Q6">
        <f>IF(N6="SEAL MISMATCH",IF(O6="","LOCKED","OVERRIDDEN"),"CLEAR")</f>
        <v/>
      </c>
    </row>
    <row r="7" ht="16.5" customHeight="1" s="24">
      <c r="A7" s="11" t="inlineStr">
        <is>
          <t>L-506</t>
        </is>
      </c>
      <c r="B7" s="11" t="inlineStr">
        <is>
          <t>Driver 6</t>
        </is>
      </c>
      <c r="C7" s="11" t="inlineStr">
        <is>
          <t>T-103</t>
        </is>
      </c>
      <c r="D7" s="26" t="n">
        <v>2050</v>
      </c>
      <c r="E7" s="26" t="n">
        <v>72</v>
      </c>
      <c r="F7" s="26" t="inlineStr">
        <is>
          <t>Yes</t>
        </is>
      </c>
      <c r="G7" s="11" t="inlineStr">
        <is>
          <t>Delivered</t>
        </is>
      </c>
      <c r="H7" s="15" t="n"/>
      <c r="I7" t="inlineStr">
        <is>
          <t>SEAL-99871</t>
        </is>
      </c>
      <c r="J7" t="inlineStr">
        <is>
          <t>pickup_photo_06.jpg</t>
        </is>
      </c>
      <c r="M7">
        <f>IF(K7="","Pending",IF(K7&lt;&gt;I7,"Mismatch","Verified"))</f>
        <v/>
      </c>
      <c r="N7">
        <f>IF(M7="Mismatch","SEAL MISMATCH","")</f>
        <v/>
      </c>
      <c r="P7">
        <f>IF(M7="Mismatch","Seal mismatch detected. Pickup: "&amp;I7&amp;" Delivery: "&amp;K7&amp;" | Override: "&amp;IF(O7="","None",O7),"")</f>
        <v/>
      </c>
      <c r="Q7">
        <f>IF(N7="SEAL MISMATCH",IF(O7="","LOCKED","OVERRIDDEN"),"CLEAR")</f>
        <v/>
      </c>
    </row>
    <row r="8" ht="15" customHeight="1" s="24">
      <c r="A8" s="11" t="inlineStr">
        <is>
          <t>L-507</t>
        </is>
      </c>
      <c r="B8" s="11" t="inlineStr">
        <is>
          <t>Driver 7</t>
        </is>
      </c>
      <c r="C8" s="11" t="inlineStr">
        <is>
          <t>T-109</t>
        </is>
      </c>
      <c r="D8" s="26" t="n">
        <v>2300</v>
      </c>
      <c r="E8" s="26" t="n">
        <v>58</v>
      </c>
      <c r="F8" s="26" t="inlineStr">
        <is>
          <t>No</t>
        </is>
      </c>
      <c r="G8" s="11" t="inlineStr">
        <is>
          <t>In-Transit</t>
        </is>
      </c>
      <c r="H8" s="13" t="n"/>
      <c r="I8" t="inlineStr">
        <is>
          <t>SEAL-73005</t>
        </is>
      </c>
      <c r="J8" t="inlineStr">
        <is>
          <t>pickup_photo_07.jpg</t>
        </is>
      </c>
      <c r="K8" t="inlineStr">
        <is>
          <t>SEAL-73099</t>
        </is>
      </c>
      <c r="L8" t="inlineStr">
        <is>
          <t>delivery_photo_07.jpg</t>
        </is>
      </c>
      <c r="M8">
        <f>IF(K8="","Pending",IF(K8&lt;&gt;I8,"Mismatch","Verified"))</f>
        <v/>
      </c>
      <c r="N8">
        <f>IF(M8="Mismatch","SEAL MISMATCH","")</f>
        <v/>
      </c>
      <c r="P8">
        <f>IF(M8="Mismatch","Seal mismatch detected. Pickup: "&amp;I8&amp;" Delivery: "&amp;K8&amp;" | Override: "&amp;IF(O8="","None",O8),"")</f>
        <v/>
      </c>
      <c r="Q8">
        <f>IF(N8="SEAL MISMATCH",IF(O8="","LOCKED","OVERRIDDEN"),"CLEAR")</f>
        <v/>
      </c>
    </row>
    <row r="9" ht="15" customHeight="1" s="24">
      <c r="A9" s="11" t="inlineStr">
        <is>
          <t>L-508</t>
        </is>
      </c>
      <c r="B9" s="11" t="inlineStr">
        <is>
          <t>Driver 8</t>
        </is>
      </c>
      <c r="C9" s="11" t="inlineStr">
        <is>
          <t>T-110</t>
        </is>
      </c>
      <c r="D9" s="26" t="n">
        <v>1750</v>
      </c>
      <c r="E9" s="26" t="n">
        <v>81</v>
      </c>
      <c r="F9" s="26" t="inlineStr">
        <is>
          <t>Yes</t>
        </is>
      </c>
      <c r="G9" s="11" t="inlineStr">
        <is>
          <t>Delivered</t>
        </is>
      </c>
      <c r="H9" s="13" t="n"/>
      <c r="I9" t="inlineStr">
        <is>
          <t>SEAL-18542</t>
        </is>
      </c>
      <c r="J9" t="inlineStr">
        <is>
          <t>pickup_photo_08.jpg</t>
        </is>
      </c>
      <c r="K9" t="inlineStr">
        <is>
          <t>SEAL-18542</t>
        </is>
      </c>
      <c r="L9" t="inlineStr">
        <is>
          <t>delivery_photo_08.jpg</t>
        </is>
      </c>
      <c r="M9">
        <f>IF(K9="","Pending",IF(K9&lt;&gt;I9,"Mismatch","Verified"))</f>
        <v/>
      </c>
      <c r="N9">
        <f>IF(M9="Mismatch","SEAL MISMATCH","")</f>
        <v/>
      </c>
      <c r="P9">
        <f>IF(M9="Mismatch","Seal mismatch detected. Pickup: "&amp;I9&amp;" Delivery: "&amp;K9&amp;" | Override: "&amp;IF(O9="","None",O9),"")</f>
        <v/>
      </c>
      <c r="Q9">
        <f>IF(N9="SEAL MISMATCH",IF(O9="","LOCKED","OVERRIDDEN"),"CLEAR")</f>
        <v/>
      </c>
    </row>
    <row r="10" ht="15" customHeight="1" s="24">
      <c r="A10" s="11" t="inlineStr">
        <is>
          <t>L-509</t>
        </is>
      </c>
      <c r="B10" s="11" t="inlineStr">
        <is>
          <t>Driver 9</t>
        </is>
      </c>
      <c r="C10" s="11" t="inlineStr">
        <is>
          <t>T-111</t>
        </is>
      </c>
      <c r="D10" s="26" t="n">
        <v>2400</v>
      </c>
      <c r="E10" s="26" t="n">
        <v>49</v>
      </c>
      <c r="F10" s="26" t="inlineStr">
        <is>
          <t>No</t>
        </is>
      </c>
      <c r="G10" s="11" t="inlineStr">
        <is>
          <t>Pending</t>
        </is>
      </c>
      <c r="H10" s="13" t="inlineStr">
        <is>
          <t>Customer hold</t>
        </is>
      </c>
      <c r="I10" t="inlineStr">
        <is>
          <t>SEAL-26790</t>
        </is>
      </c>
      <c r="J10" t="inlineStr">
        <is>
          <t>pickup_photo_09.jpg</t>
        </is>
      </c>
      <c r="K10" t="inlineStr">
        <is>
          <t>SEAL-26791</t>
        </is>
      </c>
      <c r="L10" t="inlineStr">
        <is>
          <t>delivery_photo_09.jpg</t>
        </is>
      </c>
      <c r="M10">
        <f>IF(K10="","Pending",IF(K10&lt;&gt;I10,"Mismatch","Verified"))</f>
        <v/>
      </c>
      <c r="N10">
        <f>IF(M10="Mismatch","SEAL MISMATCH","")</f>
        <v/>
      </c>
      <c r="O10" t="inlineStr">
        <is>
          <t>Carrier note logged</t>
        </is>
      </c>
      <c r="P10">
        <f>IF(M10="Mismatch","Seal mismatch detected. Pickup: "&amp;I10&amp;" Delivery: "&amp;K10&amp;" | Override: "&amp;IF(O10="","None",O10),"")</f>
        <v/>
      </c>
      <c r="Q10">
        <f>IF(N10="SEAL MISMATCH",IF(O10="","LOCKED","OVERRIDDEN"),"CLEAR")</f>
        <v/>
      </c>
    </row>
    <row r="11" ht="15" customHeight="1" s="24">
      <c r="A11" s="11" t="inlineStr">
        <is>
          <t>L-510</t>
        </is>
      </c>
      <c r="B11" s="11" t="inlineStr">
        <is>
          <t>Driver 10</t>
        </is>
      </c>
      <c r="C11" s="11" t="inlineStr">
        <is>
          <t>T-105</t>
        </is>
      </c>
      <c r="D11" s="26" t="n">
        <v>1900</v>
      </c>
      <c r="E11" s="26" t="n">
        <v>77</v>
      </c>
      <c r="F11" s="26" t="inlineStr">
        <is>
          <t>Yes</t>
        </is>
      </c>
      <c r="G11" s="11" t="inlineStr">
        <is>
          <t>Delivered</t>
        </is>
      </c>
      <c r="H11" s="13" t="n"/>
      <c r="I11" t="inlineStr">
        <is>
          <t>SEAL-48113</t>
        </is>
      </c>
      <c r="J11" t="inlineStr">
        <is>
          <t>pickup_photo_10.jpg</t>
        </is>
      </c>
      <c r="M11">
        <f>IF(K11="","Pending",IF(K11&lt;&gt;I11,"Mismatch","Verified"))</f>
        <v/>
      </c>
      <c r="N11">
        <f>IF(M11="Mismatch","SEAL MISMATCH","")</f>
        <v/>
      </c>
      <c r="P11">
        <f>IF(M11="Mismatch","Seal mismatch detected. Pickup: "&amp;I11&amp;" Delivery: "&amp;K11&amp;" | Override: "&amp;IF(O11="","None",O11),"")</f>
        <v/>
      </c>
      <c r="Q11">
        <f>IF(N11="SEAL MISMATCH",IF(O11="","LOCKED","OVERRIDDEN"),"CLEAR")</f>
        <v/>
      </c>
    </row>
    <row r="12" ht="15" customHeight="1" s="24">
      <c r="A12" s="11" t="inlineStr">
        <is>
          <t>L-511</t>
        </is>
      </c>
      <c r="B12" s="11" t="inlineStr">
        <is>
          <t>Driver 11</t>
        </is>
      </c>
      <c r="C12" s="11" t="inlineStr">
        <is>
          <t>T-112</t>
        </is>
      </c>
      <c r="D12" s="26" t="n">
        <v>2250</v>
      </c>
      <c r="E12" s="26" t="n">
        <v>63</v>
      </c>
      <c r="F12" s="26" t="inlineStr">
        <is>
          <t>No</t>
        </is>
      </c>
      <c r="G12" s="11" t="inlineStr">
        <is>
          <t>In-Transit</t>
        </is>
      </c>
      <c r="H12" s="13" t="n"/>
      <c r="I12" t="inlineStr">
        <is>
          <t>SEAL-91420</t>
        </is>
      </c>
      <c r="J12" t="inlineStr">
        <is>
          <t>pickup_photo_11.jpg</t>
        </is>
      </c>
      <c r="K12" t="inlineStr">
        <is>
          <t>SEAL-91420</t>
        </is>
      </c>
      <c r="L12" t="inlineStr">
        <is>
          <t>delivery_photo_11.jpg</t>
        </is>
      </c>
      <c r="M12">
        <f>IF(K12="","Pending",IF(K12&lt;&gt;I12,"Mismatch","Verified"))</f>
        <v/>
      </c>
      <c r="N12">
        <f>IF(M12="Mismatch","SEAL MISMATCH","")</f>
        <v/>
      </c>
      <c r="P12">
        <f>IF(M12="Mismatch","Seal mismatch detected. Pickup: "&amp;I12&amp;" Delivery: "&amp;K12&amp;" | Override: "&amp;IF(O12="","None",O12),"")</f>
        <v/>
      </c>
      <c r="Q12">
        <f>IF(N12="SEAL MISMATCH",IF(O12="","LOCKED","OVERRIDDEN"),"CLEAR")</f>
        <v/>
      </c>
    </row>
    <row r="13" ht="15" customHeight="1" s="24">
      <c r="A13" s="11" t="inlineStr">
        <is>
          <t>L-512</t>
        </is>
      </c>
      <c r="B13" s="11" t="inlineStr">
        <is>
          <t>Driver 12</t>
        </is>
      </c>
      <c r="C13" s="13" t="inlineStr">
        <is>
          <t>T-106</t>
        </is>
      </c>
      <c r="D13" s="26" t="n">
        <v>2150</v>
      </c>
      <c r="E13" s="26" t="n">
        <v>69</v>
      </c>
      <c r="F13" s="26" t="inlineStr">
        <is>
          <t>Yes</t>
        </is>
      </c>
      <c r="G13" s="11" t="inlineStr">
        <is>
          <t>Delivered</t>
        </is>
      </c>
      <c r="H13" s="13" t="n"/>
      <c r="I13" t="inlineStr">
        <is>
          <t>SEAL-35864</t>
        </is>
      </c>
      <c r="J13" t="inlineStr">
        <is>
          <t>pickup_photo_12.jpg</t>
        </is>
      </c>
      <c r="K13" t="inlineStr">
        <is>
          <t>SEAL-35860</t>
        </is>
      </c>
      <c r="L13" t="inlineStr">
        <is>
          <t>delivery_photo_12.jpg</t>
        </is>
      </c>
      <c r="M13">
        <f>IF(K13="","Pending",IF(K13&lt;&gt;I13,"Mismatch","Verified"))</f>
        <v/>
      </c>
      <c r="N13">
        <f>IF(M13="Mismatch","SEAL MISMATCH","")</f>
        <v/>
      </c>
      <c r="P13">
        <f>IF(M13="Mismatch","Seal mismatch detected. Pickup: "&amp;I13&amp;" Delivery: "&amp;K13&amp;" | Override: "&amp;IF(O13="","None",O13),"")</f>
        <v/>
      </c>
      <c r="Q13">
        <f>IF(N13="SEAL MISMATCH",IF(O13="","LOCKED","OVERRIDDEN"),"CLEAR")</f>
        <v/>
      </c>
    </row>
  </sheetData>
  <conditionalFormatting sqref="G2:G13">
    <cfRule type="containsText" priority="4" operator="containsText" dxfId="1">
      <formula>NOT(ISERROR(SEARCH("Pending",G2)))</formula>
    </cfRule>
    <cfRule type="containsText" priority="5" operator="containsText" dxfId="0">
      <formula>NOT(ISERROR(SEARCH("Transit",G2)))</formula>
    </cfRule>
    <cfRule type="containsText" priority="6" operator="containsText" dxfId="2">
      <formula>NOT(ISERROR(SEARCH("Delivered",G2)))</formula>
    </cfRule>
  </conditionalFormatting>
  <conditionalFormatting sqref="G2:G100">
    <cfRule type="expression" priority="14" dxfId="8">
      <formula>$Q2="LOCKED"</formula>
    </cfRule>
  </conditionalFormatting>
  <conditionalFormatting sqref="H2:H13">
    <cfRule type="containsText" priority="1" operator="containsText" dxfId="1">
      <formula>NOT(ISERROR(SEARCH("Problem (or Issue)",H2)))</formula>
    </cfRule>
    <cfRule type="containsText" priority="2" operator="containsText" dxfId="0">
      <formula>NOT(ISERROR(SEARCH("In Process",H2)))</formula>
    </cfRule>
  </conditionalFormatting>
  <conditionalFormatting sqref="M2:M13">
    <cfRule type="expression" priority="7" dxfId="13">
      <formula>M2="Verified"</formula>
    </cfRule>
    <cfRule type="expression" priority="7" dxfId="10">
      <formula>M2="Mismatch"</formula>
    </cfRule>
    <cfRule type="expression" priority="8" dxfId="11">
      <formula>M2="Pending"</formula>
    </cfRule>
  </conditionalFormatting>
  <conditionalFormatting sqref="N2:N13">
    <cfRule type="expression" priority="9" dxfId="10">
      <formula>N2="SEAL MISMATCH"</formula>
    </cfRule>
  </conditionalFormatting>
  <conditionalFormatting sqref="O2:O13">
    <cfRule type="expression" priority="10" dxfId="9">
      <formula>AND(N2="SEAL MISMATCH",O2="")</formula>
    </cfRule>
  </conditionalFormatting>
  <conditionalFormatting sqref="Q2:Q100">
    <cfRule type="expression" priority="11" dxfId="8">
      <formula>Q2="LOCKED"</formula>
    </cfRule>
    <cfRule type="expression" priority="12" dxfId="7">
      <formula>Q2="OVERRIDDEN"</formula>
    </cfRule>
    <cfRule type="expression" priority="13" dxfId="6">
      <formula>Q2="CLEAR"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4.25"/>
  <cols>
    <col width="24" customWidth="1" style="24" min="1" max="1"/>
    <col width="12" customWidth="1" style="24" min="2" max="2"/>
    <col width="14" customWidth="1" style="24" min="3" max="4"/>
    <col width="14" customWidth="1" style="24" min="4" max="4"/>
    <col width="10" customWidth="1" style="24" min="5" max="5"/>
    <col width="2" customWidth="1" style="24" min="7" max="7"/>
    <col width="12" customWidth="1" style="24" min="8" max="9"/>
  </cols>
  <sheetData>
    <row r="1" ht="18" customHeight="1" s="24">
      <c r="A1" s="39" t="inlineStr">
        <is>
          <t>Compliance Monitoring Dashboard</t>
        </is>
      </c>
    </row>
    <row r="2">
      <c r="A2" s="40" t="inlineStr">
        <is>
          <t>Updated to reference Dispatch and all cells are editable</t>
        </is>
      </c>
    </row>
    <row r="4" ht="15" customHeight="1" s="24">
      <c r="A4" s="41" t="inlineStr">
        <is>
          <t>Total Loads</t>
        </is>
      </c>
      <c r="B4" s="42">
        <f>COUNTA(Dispatch!$A$2:$A$1000)</f>
        <v/>
      </c>
    </row>
    <row r="5" ht="15" customHeight="1" s="24">
      <c r="A5" s="41" t="inlineStr">
        <is>
          <t>Verified</t>
        </is>
      </c>
      <c r="B5" s="42">
        <f>COUNTIF(Dispatch!$M$2:$M$1000,"Verified")</f>
        <v/>
      </c>
    </row>
    <row r="6" ht="15" customHeight="1" s="24">
      <c r="A6" s="41" t="inlineStr">
        <is>
          <t>Mismatch</t>
        </is>
      </c>
      <c r="B6" s="42">
        <f>COUNTIF(Dispatch!$M$2:$M$1000,"Mismatch")</f>
        <v/>
      </c>
    </row>
    <row r="7" ht="15" customHeight="1" s="24">
      <c r="A7" s="41" t="inlineStr">
        <is>
          <t>Pending</t>
        </is>
      </c>
      <c r="B7" s="42">
        <f>COUNTIF(Dispatch!$M$2:$M$1000,"Pending")</f>
        <v/>
      </c>
    </row>
    <row r="8" ht="15" customHeight="1" s="24">
      <c r="A8" s="41" t="inlineStr">
        <is>
          <t>Locked</t>
        </is>
      </c>
      <c r="B8" s="42">
        <f>COUNTIF(Dispatch!$Q$2:$Q$1000,"LOCKED")</f>
        <v/>
      </c>
    </row>
    <row r="9" ht="15" customHeight="1" s="24">
      <c r="A9" s="41" t="inlineStr">
        <is>
          <t>Overrides</t>
        </is>
      </c>
      <c r="B9" s="42">
        <f>COUNTIF(Dispatch!$Q$2:$Q$1000,"OVERRIDDEN")</f>
        <v/>
      </c>
    </row>
    <row r="10" ht="15" customHeight="1" s="24">
      <c r="A10" s="41" t="inlineStr">
        <is>
          <t>Compliance %</t>
        </is>
      </c>
      <c r="B10" s="43">
        <f>IF(B4=0,0,B5/B4)</f>
        <v/>
      </c>
    </row>
    <row r="13" ht="15" customHeight="1" s="24">
      <c r="A13" s="44" t="inlineStr">
        <is>
          <t>Driver ID</t>
        </is>
      </c>
      <c r="B13" s="44" t="inlineStr">
        <is>
          <t>Deal Count</t>
        </is>
      </c>
      <c r="C13" s="44" t="inlineStr">
        <is>
          <t>Revenue</t>
        </is>
      </c>
      <c r="D13" s="44" t="inlineStr">
        <is>
          <t>Compliance %</t>
        </is>
      </c>
      <c r="E13" s="44" t="inlineStr">
        <is>
          <t>Locked</t>
        </is>
      </c>
    </row>
    <row r="14">
      <c r="A14" s="45" t="inlineStr">
        <is>
          <t>Driver 1</t>
        </is>
      </c>
      <c r="B14" s="45">
        <f>COUNTIF(Dispatch!$B$2:$B$1000,A14)</f>
        <v/>
      </c>
      <c r="C14" s="46">
        <f>SUMIF(Dispatch!$B$2:$B$1000,A14,Dispatch!$D$2:$D$1000)</f>
        <v/>
      </c>
      <c r="D14" s="47">
        <f>IF(B14=0,0,COUNTIFS(Dispatch!$B$2:$B$1000,A14,Dispatch!$M$2:$M$1000,"Verified")/B14)</f>
        <v/>
      </c>
      <c r="E14" s="45">
        <f>COUNTIFS(Dispatch!$B$2:$B$1000,A14,Dispatch!$Q$2:$Q$1000,"LOCKED")</f>
        <v/>
      </c>
    </row>
    <row r="15">
      <c r="A15" s="45" t="inlineStr">
        <is>
          <t>Driver 2</t>
        </is>
      </c>
      <c r="B15" s="45">
        <f>COUNTIF(Dispatch!$B$2:$B$1000,A15)</f>
        <v/>
      </c>
      <c r="C15" s="46">
        <f>SUMIF(Dispatch!$B$2:$B$1000,A15,Dispatch!$D$2:$D$1000)</f>
        <v/>
      </c>
      <c r="D15" s="47">
        <f>IF(B15=0,0,COUNTIFS(Dispatch!$B$2:$B$1000,A15,Dispatch!$M$2:$M$1000,"Verified")/B15)</f>
        <v/>
      </c>
      <c r="E15" s="45">
        <f>COUNTIFS(Dispatch!$B$2:$B$1000,A15,Dispatch!$Q$2:$Q$1000,"LOCKED")</f>
        <v/>
      </c>
    </row>
    <row r="16">
      <c r="A16" s="45" t="inlineStr">
        <is>
          <t>Driver 3</t>
        </is>
      </c>
      <c r="B16" s="45">
        <f>COUNTIF(Dispatch!$B$2:$B$1000,A16)</f>
        <v/>
      </c>
      <c r="C16" s="46">
        <f>SUMIF(Dispatch!$B$2:$B$1000,A16,Dispatch!$D$2:$D$1000)</f>
        <v/>
      </c>
      <c r="D16" s="47">
        <f>IF(B16=0,0,COUNTIFS(Dispatch!$B$2:$B$1000,A16,Dispatch!$M$2:$M$1000,"Verified")/B16)</f>
        <v/>
      </c>
      <c r="E16" s="45">
        <f>COUNTIFS(Dispatch!$B$2:$B$1000,A16,Dispatch!$Q$2:$Q$1000,"LOCKED")</f>
        <v/>
      </c>
    </row>
    <row r="17">
      <c r="A17" s="45" t="inlineStr">
        <is>
          <t>Driver 4</t>
        </is>
      </c>
      <c r="B17" s="45">
        <f>COUNTIF(Dispatch!$B$2:$B$1000,A17)</f>
        <v/>
      </c>
      <c r="C17" s="46">
        <f>SUMIF(Dispatch!$B$2:$B$1000,A17,Dispatch!$D$2:$D$1000)</f>
        <v/>
      </c>
      <c r="D17" s="47">
        <f>IF(B17=0,0,COUNTIFS(Dispatch!$B$2:$B$1000,A17,Dispatch!$M$2:$M$1000,"Verified")/B17)</f>
        <v/>
      </c>
      <c r="E17" s="45">
        <f>COUNTIFS(Dispatch!$B$2:$B$1000,A17,Dispatch!$Q$2:$Q$1000,"LOCKED")</f>
        <v/>
      </c>
    </row>
    <row r="18">
      <c r="A18" s="45" t="inlineStr">
        <is>
          <t>Driver 5</t>
        </is>
      </c>
      <c r="B18" s="45">
        <f>COUNTIF(Dispatch!$B$2:$B$1000,A18)</f>
        <v/>
      </c>
      <c r="C18" s="46">
        <f>SUMIF(Dispatch!$B$2:$B$1000,A18,Dispatch!$D$2:$D$1000)</f>
        <v/>
      </c>
      <c r="D18" s="47">
        <f>IF(B18=0,0,COUNTIFS(Dispatch!$B$2:$B$1000,A18,Dispatch!$M$2:$M$1000,"Verified")/B18)</f>
        <v/>
      </c>
      <c r="E18" s="45">
        <f>COUNTIFS(Dispatch!$B$2:$B$1000,A18,Dispatch!$Q$2:$Q$1000,"LOCKED")</f>
        <v/>
      </c>
    </row>
    <row r="19">
      <c r="A19" s="45" t="inlineStr">
        <is>
          <t>Driver 6</t>
        </is>
      </c>
      <c r="B19" s="45">
        <f>COUNTIF(Dispatch!$B$2:$B$1000,A19)</f>
        <v/>
      </c>
      <c r="C19" s="46">
        <f>SUMIF(Dispatch!$B$2:$B$1000,A19,Dispatch!$D$2:$D$1000)</f>
        <v/>
      </c>
      <c r="D19" s="47">
        <f>IF(B19=0,0,COUNTIFS(Dispatch!$B$2:$B$1000,A19,Dispatch!$M$2:$M$1000,"Verified")/B19)</f>
        <v/>
      </c>
      <c r="E19" s="45">
        <f>COUNTIFS(Dispatch!$B$2:$B$1000,A19,Dispatch!$Q$2:$Q$1000,"LOCKED")</f>
        <v/>
      </c>
    </row>
    <row r="20">
      <c r="A20" s="45" t="inlineStr">
        <is>
          <t>Driver 7</t>
        </is>
      </c>
      <c r="B20" s="45">
        <f>COUNTIF(Dispatch!$B$2:$B$1000,A20)</f>
        <v/>
      </c>
      <c r="C20" s="46">
        <f>SUMIF(Dispatch!$B$2:$B$1000,A20,Dispatch!$D$2:$D$1000)</f>
        <v/>
      </c>
      <c r="D20" s="47">
        <f>IF(B20=0,0,COUNTIFS(Dispatch!$B$2:$B$1000,A20,Dispatch!$M$2:$M$1000,"Verified")/B20)</f>
        <v/>
      </c>
      <c r="E20" s="45">
        <f>COUNTIFS(Dispatch!$B$2:$B$1000,A20,Dispatch!$Q$2:$Q$1000,"LOCKED")</f>
        <v/>
      </c>
    </row>
    <row r="21">
      <c r="A21" s="45" t="inlineStr">
        <is>
          <t>Driver 8</t>
        </is>
      </c>
      <c r="B21" s="45">
        <f>COUNTIF(Dispatch!$B$2:$B$1000,A21)</f>
        <v/>
      </c>
      <c r="C21" s="46">
        <f>SUMIF(Dispatch!$B$2:$B$1000,A21,Dispatch!$D$2:$D$1000)</f>
        <v/>
      </c>
      <c r="D21" s="47">
        <f>IF(B21=0,0,COUNTIFS(Dispatch!$B$2:$B$1000,A21,Dispatch!$M$2:$M$1000,"Verified")/B21)</f>
        <v/>
      </c>
      <c r="E21" s="45">
        <f>COUNTIFS(Dispatch!$B$2:$B$1000,A21,Dispatch!$Q$2:$Q$1000,"LOCKED")</f>
        <v/>
      </c>
    </row>
    <row r="22">
      <c r="A22" s="45" t="inlineStr">
        <is>
          <t>Driver 9</t>
        </is>
      </c>
      <c r="B22" s="45">
        <f>COUNTIF(Dispatch!$B$2:$B$1000,A22)</f>
        <v/>
      </c>
      <c r="C22" s="46">
        <f>SUMIF(Dispatch!$B$2:$B$1000,A22,Dispatch!$D$2:$D$1000)</f>
        <v/>
      </c>
      <c r="D22" s="47">
        <f>IF(B22=0,0,COUNTIFS(Dispatch!$B$2:$B$1000,A22,Dispatch!$M$2:$M$1000,"Verified")/B22)</f>
        <v/>
      </c>
      <c r="E22" s="45">
        <f>COUNTIFS(Dispatch!$B$2:$B$1000,A22,Dispatch!$Q$2:$Q$1000,"LOCKED")</f>
        <v/>
      </c>
    </row>
    <row r="23">
      <c r="A23" s="45" t="inlineStr">
        <is>
          <t>Driver 10</t>
        </is>
      </c>
      <c r="B23" s="45">
        <f>COUNTIF(Dispatch!$B$2:$B$1000,A23)</f>
        <v/>
      </c>
      <c r="C23" s="46">
        <f>SUMIF(Dispatch!$B$2:$B$1000,A23,Dispatch!$D$2:$D$1000)</f>
        <v/>
      </c>
      <c r="D23" s="47">
        <f>IF(B23=0,0,COUNTIFS(Dispatch!$B$2:$B$1000,A23,Dispatch!$M$2:$M$1000,"Verified")/B23)</f>
        <v/>
      </c>
      <c r="E23" s="45">
        <f>COUNTIFS(Dispatch!$B$2:$B$1000,A23,Dispatch!$Q$2:$Q$1000,"LOCKED")</f>
        <v/>
      </c>
    </row>
    <row r="24">
      <c r="A24" s="45" t="inlineStr">
        <is>
          <t>Driver 11</t>
        </is>
      </c>
      <c r="B24" s="45">
        <f>COUNTIF(Dispatch!$B$2:$B$1000,A24)</f>
        <v/>
      </c>
      <c r="C24" s="46">
        <f>SUMIF(Dispatch!$B$2:$B$1000,A24,Dispatch!$D$2:$D$1000)</f>
        <v/>
      </c>
      <c r="D24" s="47">
        <f>IF(B24=0,0,COUNTIFS(Dispatch!$B$2:$B$1000,A24,Dispatch!$M$2:$M$1000,"Verified")/B24)</f>
        <v/>
      </c>
      <c r="E24" s="45">
        <f>COUNTIFS(Dispatch!$B$2:$B$1000,A24,Dispatch!$Q$2:$Q$1000,"LOCKED")</f>
        <v/>
      </c>
    </row>
    <row r="25">
      <c r="A25" s="45" t="inlineStr">
        <is>
          <t>Driver 12</t>
        </is>
      </c>
      <c r="B25" s="45">
        <f>COUNTIF(Dispatch!$B$2:$B$1000,A25)</f>
        <v/>
      </c>
      <c r="C25" s="46">
        <f>SUMIF(Dispatch!$B$2:$B$1000,A25,Dispatch!$D$2:$D$1000)</f>
        <v/>
      </c>
      <c r="D25" s="47">
        <f>IF(B25=0,0,COUNTIFS(Dispatch!$B$2:$B$1000,A25,Dispatch!$M$2:$M$1000,"Verified")/B25)</f>
        <v/>
      </c>
      <c r="E25" s="45">
        <f>COUNTIFS(Dispatch!$B$2:$B$1000,A25,Dispatch!$Q$2:$Q$1000,"LOCKED")</f>
        <v/>
      </c>
    </row>
  </sheetData>
  <mergeCells count="2">
    <mergeCell ref="A2:F2"/>
    <mergeCell ref="A1:F1"/>
  </mergeCells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cols>
    <col width="13.140625" customWidth="1" style="24" min="2" max="2"/>
    <col width="9.85546875" customWidth="1" style="24" min="4" max="4"/>
    <col width="23.28515625" customWidth="1" style="24" min="17" max="17"/>
    <col width="9.85546875" customWidth="1" style="24" min="18" max="18"/>
    <col width="9.85546875" customWidth="1" style="24" min="20" max="20"/>
    <col width="8.28515625" customWidth="1" style="24" min="21" max="21"/>
    <col width="17" customWidth="1" style="24" min="22" max="22"/>
    <col width="13" customWidth="1" style="24" min="23" max="23"/>
  </cols>
  <sheetData>
    <row r="1">
      <c r="A1" t="inlineStr">
        <is>
          <t>Driver</t>
        </is>
      </c>
      <c r="B1" t="inlineStr">
        <is>
          <t>Base Earnings</t>
        </is>
      </c>
      <c r="C1" t="inlineStr">
        <is>
          <t>Backhaul Pay</t>
        </is>
      </c>
      <c r="D1" t="inlineStr">
        <is>
          <t>Gross Pay</t>
        </is>
      </c>
      <c r="E1" t="inlineStr">
        <is>
          <t>FICA</t>
        </is>
      </c>
      <c r="F1" t="inlineStr">
        <is>
          <t>OASDI</t>
        </is>
      </c>
      <c r="G1" t="inlineStr">
        <is>
          <t>Federal Withholding</t>
        </is>
      </c>
      <c r="H1" t="inlineStr">
        <is>
          <t>State Withholding</t>
        </is>
      </c>
      <c r="I1" t="inlineStr">
        <is>
          <t>SDI</t>
        </is>
      </c>
      <c r="J1" t="inlineStr">
        <is>
          <t>FM Leave</t>
        </is>
      </c>
      <c r="K1" t="inlineStr">
        <is>
          <t>Family Support</t>
        </is>
      </c>
      <c r="L1" t="inlineStr">
        <is>
          <t>Insurance Premiums</t>
        </is>
      </c>
      <c r="M1" t="inlineStr">
        <is>
          <t>Credit Union Savings Club</t>
        </is>
      </c>
      <c r="N1" t="inlineStr">
        <is>
          <t>401(k) Contribution</t>
        </is>
      </c>
      <c r="O1" t="inlineStr">
        <is>
          <t>HSA/FSA Health Deduction</t>
        </is>
      </c>
      <c r="P1" t="inlineStr">
        <is>
          <t>Health Insurance Premiums</t>
        </is>
      </c>
      <c r="Q1" t="inlineStr">
        <is>
          <t>Life Insurance Above 50k</t>
        </is>
      </c>
      <c r="R1" t="inlineStr">
        <is>
          <t>Total Deductions</t>
        </is>
      </c>
      <c r="S1" t="inlineStr">
        <is>
          <t>Fuel Reimb.</t>
        </is>
      </c>
      <c r="T1" t="inlineStr">
        <is>
          <t>Net Pay</t>
        </is>
      </c>
      <c r="U1" t="inlineStr">
        <is>
          <t>Status</t>
        </is>
      </c>
      <c r="V1" t="inlineStr">
        <is>
          <t>Pending Reason</t>
        </is>
      </c>
      <c r="W1" t="inlineStr">
        <is>
          <t>401(k) Rate</t>
        </is>
      </c>
    </row>
    <row r="2">
      <c r="A2" t="inlineStr">
        <is>
          <t>J. Carter</t>
        </is>
      </c>
      <c r="B2" s="48" t="n">
        <v>2100</v>
      </c>
      <c r="C2" s="26" t="n">
        <v>65</v>
      </c>
      <c r="D2" s="48">
        <f>B2+C2</f>
        <v/>
      </c>
      <c r="E2" s="48">
        <f>0.062*D2</f>
        <v/>
      </c>
      <c r="F2" s="48">
        <f>0.0145*D2</f>
        <v/>
      </c>
      <c r="G2" s="48">
        <f>0.18*D2</f>
        <v/>
      </c>
      <c r="H2" s="48">
        <f>0.035*D2</f>
        <v/>
      </c>
      <c r="I2" s="48">
        <f>0.0045*D2</f>
        <v/>
      </c>
      <c r="J2" s="48">
        <f>0.0066*D2</f>
        <v/>
      </c>
      <c r="K2" s="48" t="n">
        <v>0</v>
      </c>
      <c r="L2" s="48" t="n">
        <v>214.92</v>
      </c>
      <c r="M2" s="48" t="n">
        <v>0</v>
      </c>
      <c r="N2" s="48">
        <f>D2*W2</f>
        <v/>
      </c>
      <c r="O2" t="n">
        <v>114.79</v>
      </c>
      <c r="P2" t="n">
        <v>0</v>
      </c>
      <c r="Q2" s="48" t="n">
        <v>0</v>
      </c>
      <c r="R2" s="48">
        <f>D2-E2-F2-G2-H2-I2-J2-K2-L2-M2-N2-O2-P2-Q2</f>
        <v/>
      </c>
      <c r="S2" s="48" t="n">
        <v>0</v>
      </c>
      <c r="T2" s="48">
        <f>D2-R2</f>
        <v/>
      </c>
      <c r="U2" t="inlineStr">
        <is>
          <t>Paid</t>
        </is>
      </c>
      <c r="V2" t="inlineStr">
        <is>
          <t>N/A</t>
        </is>
      </c>
      <c r="W2" t="n">
        <v>0.03</v>
      </c>
    </row>
    <row r="3">
      <c r="A3" t="inlineStr">
        <is>
          <t>M. Lopez</t>
        </is>
      </c>
      <c r="B3" s="48" t="n">
        <v>1910</v>
      </c>
      <c r="C3" s="26" t="n">
        <v>95</v>
      </c>
      <c r="D3" s="48">
        <f>B3+C3</f>
        <v/>
      </c>
      <c r="E3" s="48">
        <f>0.062*D3</f>
        <v/>
      </c>
      <c r="F3" s="48">
        <f>0.0145*D3</f>
        <v/>
      </c>
      <c r="G3" s="48">
        <f>0.18*D3</f>
        <v/>
      </c>
      <c r="H3" s="48">
        <f>0.035*D3</f>
        <v/>
      </c>
      <c r="I3" s="48">
        <f>0.0045*D3</f>
        <v/>
      </c>
      <c r="J3" s="48">
        <f>0.0066*D3</f>
        <v/>
      </c>
      <c r="K3" s="48" t="n">
        <v>79.68000000000001</v>
      </c>
      <c r="L3" s="48" t="n">
        <v>0</v>
      </c>
      <c r="M3" s="48" t="n">
        <v>42.09</v>
      </c>
      <c r="N3" s="48">
        <f>D3*W3</f>
        <v/>
      </c>
      <c r="O3" t="n">
        <v>69.33</v>
      </c>
      <c r="P3" t="n">
        <v>0</v>
      </c>
      <c r="Q3" s="48" t="n">
        <v>0</v>
      </c>
      <c r="R3" s="48">
        <f>D3-E3-F3-G3-H3-I3-J3-K3-L3-M3-N3-O3-P3-Q3</f>
        <v/>
      </c>
      <c r="S3" s="48" t="n">
        <v>120</v>
      </c>
      <c r="T3" s="48">
        <f>D3-R3</f>
        <v/>
      </c>
      <c r="U3" t="inlineStr">
        <is>
          <t>Pending</t>
        </is>
      </c>
      <c r="V3" t="inlineStr">
        <is>
          <t>Awaiting Receipts</t>
        </is>
      </c>
      <c r="W3" t="n">
        <v>0</v>
      </c>
    </row>
    <row r="4">
      <c r="A4" t="inlineStr">
        <is>
          <t>A. Kim</t>
        </is>
      </c>
      <c r="B4" s="48" t="n">
        <v>2155</v>
      </c>
      <c r="C4" s="26" t="n">
        <v>45</v>
      </c>
      <c r="D4" s="48">
        <f>B4+C4</f>
        <v/>
      </c>
      <c r="E4" s="48">
        <f>0.062*D4</f>
        <v/>
      </c>
      <c r="F4" s="48">
        <f>0.0145*D4</f>
        <v/>
      </c>
      <c r="G4" s="48">
        <f>0.18*D4</f>
        <v/>
      </c>
      <c r="H4" s="48">
        <f>0.035*D4</f>
        <v/>
      </c>
      <c r="I4" s="48">
        <f>0.0045*D4</f>
        <v/>
      </c>
      <c r="J4" s="48">
        <f>0.0066*D4</f>
        <v/>
      </c>
      <c r="K4" s="48" t="n">
        <v>0</v>
      </c>
      <c r="L4" s="48" t="n">
        <v>0</v>
      </c>
      <c r="M4" s="48" t="n">
        <v>30.98</v>
      </c>
      <c r="N4" s="48">
        <f>D4*W4</f>
        <v/>
      </c>
      <c r="O4" t="n">
        <v>0</v>
      </c>
      <c r="P4" t="n">
        <v>0</v>
      </c>
      <c r="Q4" s="48" t="n">
        <v>0</v>
      </c>
      <c r="R4" s="48">
        <f>D4-E4-F4-G4-H4-I4-J4-K4-L4-M4-N4-O4-P4-Q4</f>
        <v/>
      </c>
      <c r="S4" s="48" t="n">
        <v>0</v>
      </c>
      <c r="T4" s="48">
        <f>D4-R4</f>
        <v/>
      </c>
      <c r="U4" t="inlineStr">
        <is>
          <t>Paid</t>
        </is>
      </c>
      <c r="V4" t="inlineStr">
        <is>
          <t>N/A</t>
        </is>
      </c>
      <c r="W4" t="n">
        <v>0.06</v>
      </c>
    </row>
    <row r="5">
      <c r="A5" t="inlineStr">
        <is>
          <t>P. Patel</t>
        </is>
      </c>
      <c r="B5" s="48" t="n">
        <v>2020</v>
      </c>
      <c r="C5" s="26" t="n">
        <v>88</v>
      </c>
      <c r="D5" s="48">
        <f>B5+C5</f>
        <v/>
      </c>
      <c r="E5" s="48">
        <f>0.062*D5</f>
        <v/>
      </c>
      <c r="F5" s="48">
        <f>0.0145*D5</f>
        <v/>
      </c>
      <c r="G5" s="48">
        <f>0.18*D5</f>
        <v/>
      </c>
      <c r="H5" s="48">
        <f>0.035*D5</f>
        <v/>
      </c>
      <c r="I5" s="48">
        <f>0.0045*D5</f>
        <v/>
      </c>
      <c r="J5" s="48">
        <f>0.0066*D5</f>
        <v/>
      </c>
      <c r="K5" s="48" t="n">
        <v>0</v>
      </c>
      <c r="L5" s="48" t="n">
        <v>0</v>
      </c>
      <c r="M5" s="48" t="n">
        <v>32.58</v>
      </c>
      <c r="N5" s="48">
        <f>D5*W5</f>
        <v/>
      </c>
      <c r="O5" t="n">
        <v>0</v>
      </c>
      <c r="P5" t="n">
        <v>0</v>
      </c>
      <c r="Q5" s="48" t="n">
        <v>0</v>
      </c>
      <c r="R5" s="48">
        <f>D5-E5-F5-G5-H5-I5-J5-K5-L5-M5-N5-O5-P5-Q5</f>
        <v/>
      </c>
      <c r="S5" s="48" t="n">
        <v>150</v>
      </c>
      <c r="T5" s="48">
        <f>D5-R5</f>
        <v/>
      </c>
      <c r="U5" t="inlineStr">
        <is>
          <t>Pending</t>
        </is>
      </c>
      <c r="V5" t="inlineStr">
        <is>
          <t>Awaiting Receipts</t>
        </is>
      </c>
      <c r="W5" t="n">
        <v>0</v>
      </c>
    </row>
    <row r="6">
      <c r="A6" t="inlineStr">
        <is>
          <t>K. Tanaka</t>
        </is>
      </c>
      <c r="B6" s="48" t="n">
        <v>2280</v>
      </c>
      <c r="C6" s="26" t="n">
        <v>45</v>
      </c>
      <c r="D6" s="48">
        <f>B6+C6</f>
        <v/>
      </c>
      <c r="E6" s="48">
        <f>0.062*D6</f>
        <v/>
      </c>
      <c r="F6" s="48">
        <f>0.0145*D6</f>
        <v/>
      </c>
      <c r="G6" s="48">
        <f>0.18*D6</f>
        <v/>
      </c>
      <c r="H6" s="48">
        <f>0.035*D6</f>
        <v/>
      </c>
      <c r="I6" s="48">
        <f>0.0045*D6</f>
        <v/>
      </c>
      <c r="J6" s="48">
        <f>0.0066*D6</f>
        <v/>
      </c>
      <c r="K6" s="48" t="n">
        <v>187.05</v>
      </c>
      <c r="L6" s="48" t="n">
        <v>0</v>
      </c>
      <c r="M6" s="48" t="n">
        <v>72.68000000000001</v>
      </c>
      <c r="N6" s="48">
        <f>D6*W6</f>
        <v/>
      </c>
      <c r="O6" t="n">
        <v>26.5</v>
      </c>
      <c r="P6" t="n">
        <v>0</v>
      </c>
      <c r="Q6" s="48" t="n">
        <v>0</v>
      </c>
      <c r="R6" s="48">
        <f>D6-E6-F6-G6-H6-I6-J6-K6-L6-M6-N6-O6-P6-Q6</f>
        <v/>
      </c>
      <c r="S6" s="48" t="n">
        <v>0</v>
      </c>
      <c r="T6" s="48">
        <f>D6-R6</f>
        <v/>
      </c>
      <c r="U6" t="inlineStr">
        <is>
          <t>Pending</t>
        </is>
      </c>
      <c r="V6" t="inlineStr">
        <is>
          <t>Load Verification</t>
        </is>
      </c>
      <c r="W6" t="n">
        <v>0.03</v>
      </c>
    </row>
    <row r="7">
      <c r="A7" t="inlineStr">
        <is>
          <t>M. Chen</t>
        </is>
      </c>
      <c r="B7" s="48" t="n">
        <v>2090</v>
      </c>
      <c r="C7" s="26" t="n">
        <v>72</v>
      </c>
      <c r="D7" s="48">
        <f>B7+C7</f>
        <v/>
      </c>
      <c r="E7" s="48">
        <f>0.062*D7</f>
        <v/>
      </c>
      <c r="F7" s="48">
        <f>0.0145*D7</f>
        <v/>
      </c>
      <c r="G7" s="48">
        <f>0.18*D7</f>
        <v/>
      </c>
      <c r="H7" s="48">
        <f>0.035*D7</f>
        <v/>
      </c>
      <c r="I7" s="48">
        <f>0.0045*D7</f>
        <v/>
      </c>
      <c r="J7" s="48">
        <f>0.0066*D7</f>
        <v/>
      </c>
      <c r="K7" s="48" t="n">
        <v>0</v>
      </c>
      <c r="L7" s="48" t="n">
        <v>0</v>
      </c>
      <c r="M7" s="48" t="n">
        <v>0</v>
      </c>
      <c r="N7" s="48">
        <f>D7*W7</f>
        <v/>
      </c>
      <c r="O7" t="n">
        <v>0</v>
      </c>
      <c r="P7" t="n">
        <v>0</v>
      </c>
      <c r="Q7" s="48" t="n">
        <v>24.94</v>
      </c>
      <c r="R7" s="48">
        <f>D7-E7-F7-G7-H7-I7-J7-K7-L7-M7-N7-O7-P7-Q7</f>
        <v/>
      </c>
      <c r="S7" s="48" t="n">
        <v>0</v>
      </c>
      <c r="T7" s="48">
        <f>D7-R7</f>
        <v/>
      </c>
      <c r="U7" t="inlineStr">
        <is>
          <t>Paid</t>
        </is>
      </c>
      <c r="V7" t="inlineStr">
        <is>
          <t>N/A</t>
        </is>
      </c>
      <c r="W7" t="n">
        <v>0.03</v>
      </c>
    </row>
    <row r="8">
      <c r="A8" t="inlineStr">
        <is>
          <t>S. Gomez</t>
        </is>
      </c>
      <c r="B8" s="48" t="n">
        <v>1975</v>
      </c>
      <c r="C8" s="26" t="n">
        <v>58</v>
      </c>
      <c r="D8" s="48">
        <f>B8+C8</f>
        <v/>
      </c>
      <c r="E8" s="48">
        <f>0.062*D8</f>
        <v/>
      </c>
      <c r="F8" s="48">
        <f>0.0145*D8</f>
        <v/>
      </c>
      <c r="G8" s="48">
        <f>0.18*D8</f>
        <v/>
      </c>
      <c r="H8" s="48">
        <f>0.035*D8</f>
        <v/>
      </c>
      <c r="I8" s="48">
        <f>0.0045*D8</f>
        <v/>
      </c>
      <c r="J8" s="48">
        <f>0.0066*D8</f>
        <v/>
      </c>
      <c r="K8" s="48" t="n">
        <v>246.6</v>
      </c>
      <c r="L8" s="48" t="n">
        <v>146.97</v>
      </c>
      <c r="M8" s="48" t="n">
        <v>0</v>
      </c>
      <c r="N8" s="48">
        <f>D8*W8</f>
        <v/>
      </c>
      <c r="O8" t="n">
        <v>0</v>
      </c>
      <c r="P8" t="n">
        <v>0</v>
      </c>
      <c r="Q8" s="48" t="n">
        <v>7.04</v>
      </c>
      <c r="R8" s="48">
        <f>D8-E8-F8-G8-H8-I8-J8-K8-L8-M8-N8-O8-P8-Q8</f>
        <v/>
      </c>
      <c r="S8" s="48" t="n">
        <v>0</v>
      </c>
      <c r="T8" s="48">
        <f>D8-R8</f>
        <v/>
      </c>
      <c r="U8" t="inlineStr">
        <is>
          <t>Paid</t>
        </is>
      </c>
      <c r="V8" t="inlineStr">
        <is>
          <t>N/A</t>
        </is>
      </c>
      <c r="W8" t="n">
        <v>0.05</v>
      </c>
    </row>
    <row r="9">
      <c r="A9" t="inlineStr">
        <is>
          <t>L. Smith</t>
        </is>
      </c>
      <c r="B9" s="48" t="n">
        <v>2165</v>
      </c>
      <c r="C9" s="26" t="n">
        <v>81</v>
      </c>
      <c r="D9" s="48">
        <f>B9+C9</f>
        <v/>
      </c>
      <c r="E9" s="48">
        <f>0.062*D9</f>
        <v/>
      </c>
      <c r="F9" s="48">
        <f>0.0145*D9</f>
        <v/>
      </c>
      <c r="G9" s="48">
        <f>0.18*D9</f>
        <v/>
      </c>
      <c r="H9" s="48">
        <f>0.035*D9</f>
        <v/>
      </c>
      <c r="I9" s="48">
        <f>0.0045*D9</f>
        <v/>
      </c>
      <c r="J9" s="48">
        <f>0.0066*D9</f>
        <v/>
      </c>
      <c r="K9" s="48" t="n">
        <v>0</v>
      </c>
      <c r="L9" s="48" t="n">
        <v>0</v>
      </c>
      <c r="M9" s="48" t="n">
        <v>45.02</v>
      </c>
      <c r="N9" s="48">
        <f>D9*W9</f>
        <v/>
      </c>
      <c r="O9" t="n">
        <v>0</v>
      </c>
      <c r="P9" t="n">
        <v>111.66</v>
      </c>
      <c r="Q9" s="48" t="n">
        <v>0</v>
      </c>
      <c r="R9" s="48">
        <f>D9-E9-F9-G9-H9-I9-J9-K9-L9-M9-N9-O9-P9-Q9</f>
        <v/>
      </c>
      <c r="S9" s="48" t="n">
        <v>0</v>
      </c>
      <c r="T9" s="48">
        <f>D9-R9</f>
        <v/>
      </c>
      <c r="U9" t="inlineStr">
        <is>
          <t>Pending</t>
        </is>
      </c>
      <c r="V9" t="inlineStr">
        <is>
          <t>Load Verification</t>
        </is>
      </c>
      <c r="W9" t="n">
        <v>0</v>
      </c>
    </row>
    <row r="10">
      <c r="A10" t="inlineStr">
        <is>
          <t>E. Brown</t>
        </is>
      </c>
      <c r="B10" s="48" t="n">
        <v>2110</v>
      </c>
      <c r="C10" s="26" t="n">
        <v>49</v>
      </c>
      <c r="D10" s="48">
        <f>B10+C10</f>
        <v/>
      </c>
      <c r="E10" s="48">
        <f>0.062*D10</f>
        <v/>
      </c>
      <c r="F10" s="48">
        <f>0.0145*D10</f>
        <v/>
      </c>
      <c r="G10" s="48">
        <f>0.18*D10</f>
        <v/>
      </c>
      <c r="H10" s="48">
        <f>0.035*D10</f>
        <v/>
      </c>
      <c r="I10" s="48">
        <f>0.0045*D10</f>
        <v/>
      </c>
      <c r="J10" s="48">
        <f>0.0066*D10</f>
        <v/>
      </c>
      <c r="K10" s="48" t="n">
        <v>67.76000000000001</v>
      </c>
      <c r="L10" s="48" t="n">
        <v>0</v>
      </c>
      <c r="M10" s="48" t="n">
        <v>0</v>
      </c>
      <c r="N10" s="48">
        <f>D10*W10</f>
        <v/>
      </c>
      <c r="O10" t="n">
        <v>24.17</v>
      </c>
      <c r="P10" t="n">
        <v>0</v>
      </c>
      <c r="Q10" s="48" t="n">
        <v>0</v>
      </c>
      <c r="R10" s="48">
        <f>D10-E10-F10-G10-H10-I10-J10-K10-L10-M10-N10-O10-P10-Q10</f>
        <v/>
      </c>
      <c r="S10" s="48" t="n">
        <v>0</v>
      </c>
      <c r="T10" s="48">
        <f>D10-R10</f>
        <v/>
      </c>
      <c r="U10" t="inlineStr">
        <is>
          <t>Paid</t>
        </is>
      </c>
      <c r="V10" t="inlineStr">
        <is>
          <t>N/A</t>
        </is>
      </c>
      <c r="W10" t="n">
        <v>0</v>
      </c>
    </row>
    <row r="11">
      <c r="A11" t="inlineStr">
        <is>
          <t>N. Wilson</t>
        </is>
      </c>
      <c r="B11" s="48" t="n">
        <v>2080</v>
      </c>
      <c r="C11" s="26" t="n">
        <v>77</v>
      </c>
      <c r="D11" s="48">
        <f>B11+C11</f>
        <v/>
      </c>
      <c r="E11" s="48">
        <f>0.062*D11</f>
        <v/>
      </c>
      <c r="F11" s="48">
        <f>0.0145*D11</f>
        <v/>
      </c>
      <c r="G11" s="48">
        <f>0.18*D11</f>
        <v/>
      </c>
      <c r="H11" s="48">
        <f>0.035*D11</f>
        <v/>
      </c>
      <c r="I11" s="48">
        <f>0.0045*D11</f>
        <v/>
      </c>
      <c r="J11" s="48">
        <f>0.0066*D11</f>
        <v/>
      </c>
      <c r="K11" s="48" t="n">
        <v>0</v>
      </c>
      <c r="L11" s="48" t="n">
        <v>0</v>
      </c>
      <c r="M11" s="48" t="n">
        <v>0</v>
      </c>
      <c r="N11" s="48">
        <f>D11*W11</f>
        <v/>
      </c>
      <c r="O11" t="n">
        <v>0</v>
      </c>
      <c r="P11" t="n">
        <v>196.15</v>
      </c>
      <c r="Q11" s="48" t="n">
        <v>0</v>
      </c>
      <c r="R11" s="48">
        <f>D11-E11-F11-G11-H11-I11-J11-K11-L11-M11-N11-O11-P11-Q11</f>
        <v/>
      </c>
      <c r="S11" s="48" t="n">
        <v>0</v>
      </c>
      <c r="T11" s="48">
        <f>D11-R11</f>
        <v/>
      </c>
      <c r="U11" t="inlineStr">
        <is>
          <t>Paid</t>
        </is>
      </c>
      <c r="V11" t="inlineStr">
        <is>
          <t>N/A</t>
        </is>
      </c>
      <c r="W11" t="n">
        <v>0.02</v>
      </c>
    </row>
    <row r="12">
      <c r="A12" t="inlineStr">
        <is>
          <t>O. Lee</t>
        </is>
      </c>
      <c r="B12" s="48" t="n">
        <v>2010</v>
      </c>
      <c r="C12" s="26" t="n">
        <v>63</v>
      </c>
      <c r="D12" s="48">
        <f>B12+C12</f>
        <v/>
      </c>
      <c r="E12" s="48">
        <f>0.062*D12</f>
        <v/>
      </c>
      <c r="F12" s="48">
        <f>0.0145*D12</f>
        <v/>
      </c>
      <c r="G12" s="48">
        <f>0.18*D12</f>
        <v/>
      </c>
      <c r="H12" s="48">
        <f>0.035*D12</f>
        <v/>
      </c>
      <c r="I12" s="48">
        <f>0.0045*D12</f>
        <v/>
      </c>
      <c r="J12" s="48">
        <f>0.0066*D12</f>
        <v/>
      </c>
      <c r="K12" s="48" t="n">
        <v>50.51</v>
      </c>
      <c r="L12" s="48" t="n">
        <v>0</v>
      </c>
      <c r="M12" s="48" t="n">
        <v>0</v>
      </c>
      <c r="N12" s="48">
        <f>D12*W12</f>
        <v/>
      </c>
      <c r="O12" t="n">
        <v>47.43</v>
      </c>
      <c r="P12" t="n">
        <v>0</v>
      </c>
      <c r="Q12" s="48" t="n">
        <v>0</v>
      </c>
      <c r="R12" s="48">
        <f>D12-E12-F12-G12-H12-I12-J12-K12-L12-M12-N12-O12-P12-Q12</f>
        <v/>
      </c>
      <c r="S12" s="48" t="n">
        <v>0</v>
      </c>
      <c r="T12" s="48">
        <f>D12-R12</f>
        <v/>
      </c>
      <c r="U12" t="inlineStr">
        <is>
          <t>Paid</t>
        </is>
      </c>
      <c r="V12" t="inlineStr">
        <is>
          <t>N/A</t>
        </is>
      </c>
      <c r="W12" t="n">
        <v>0</v>
      </c>
    </row>
    <row r="13">
      <c r="C13" s="26" t="n"/>
    </row>
  </sheetData>
  <conditionalFormatting sqref="U2:U12">
    <cfRule type="containsText" priority="2" operator="containsText" dxfId="1">
      <formula>NOT(ISERROR(SEARCH("Pending",U2)))</formula>
    </cfRule>
  </conditionalFormatting>
  <conditionalFormatting sqref="U1:U12">
    <cfRule type="containsText" priority="1" operator="containsText" dxfId="0">
      <formula>NOT(ISERROR(SEARCH("pAID",U1)))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Total</t>
        </is>
      </c>
    </row>
    <row r="2">
      <c r="A2" t="inlineStr">
        <is>
          <t>Total Base Earnings</t>
        </is>
      </c>
      <c r="B2">
        <f>SUM(Payroll!B2:B12)</f>
        <v/>
      </c>
    </row>
    <row r="3">
      <c r="A3" t="inlineStr">
        <is>
          <t>Total Backhaul Pay</t>
        </is>
      </c>
      <c r="B3">
        <f>SUM(Payroll!C2:C12)</f>
        <v/>
      </c>
    </row>
    <row r="4">
      <c r="A4" t="inlineStr">
        <is>
          <t>Total Gross Pay</t>
        </is>
      </c>
      <c r="B4">
        <f>SUM(Payroll!D2:D12)</f>
        <v/>
      </c>
    </row>
    <row r="5">
      <c r="A5" t="inlineStr">
        <is>
          <t>Total FICA</t>
        </is>
      </c>
      <c r="B5">
        <f>SUM(Payroll!E2:E12)</f>
        <v/>
      </c>
    </row>
    <row r="6">
      <c r="A6" t="inlineStr">
        <is>
          <t>Total OASDI</t>
        </is>
      </c>
      <c r="B6">
        <f>SUM(Payroll!F2:F12)</f>
        <v/>
      </c>
    </row>
    <row r="7">
      <c r="A7" t="inlineStr">
        <is>
          <t>Total Federal Withholding</t>
        </is>
      </c>
      <c r="B7">
        <f>SUM(Payroll!G2:G12)</f>
        <v/>
      </c>
    </row>
    <row r="8">
      <c r="A8" t="inlineStr">
        <is>
          <t>Total State Withholding</t>
        </is>
      </c>
      <c r="B8">
        <f>SUM(Payroll!H2:H12)</f>
        <v/>
      </c>
    </row>
    <row r="9">
      <c r="A9" t="inlineStr">
        <is>
          <t>Total SDI</t>
        </is>
      </c>
      <c r="B9">
        <f>SUM(Payroll!I2:I12)</f>
        <v/>
      </c>
    </row>
    <row r="10">
      <c r="A10" t="inlineStr">
        <is>
          <t>Total FM Leave</t>
        </is>
      </c>
      <c r="B10">
        <f>SUM(Payroll!J2:J12)</f>
        <v/>
      </c>
    </row>
    <row r="11">
      <c r="A11" t="inlineStr">
        <is>
          <t>Total Family Support</t>
        </is>
      </c>
      <c r="B11">
        <f>SUM(Payroll!K2:K12)</f>
        <v/>
      </c>
    </row>
    <row r="12">
      <c r="A12" t="inlineStr">
        <is>
          <t>Total Insurance Premiums</t>
        </is>
      </c>
      <c r="B12">
        <f>SUM(Payroll!L2:L12)</f>
        <v/>
      </c>
    </row>
    <row r="13">
      <c r="A13" t="inlineStr">
        <is>
          <t>Total Credit Union Savings Club</t>
        </is>
      </c>
      <c r="B13">
        <f>SUM(Payroll!M2:M12)</f>
        <v/>
      </c>
    </row>
    <row r="14">
      <c r="A14" t="inlineStr">
        <is>
          <t>Total 401(k) Contribution</t>
        </is>
      </c>
      <c r="B14">
        <f>SUM(Payroll!N2:N12)</f>
        <v/>
      </c>
    </row>
    <row r="15">
      <c r="A15" t="inlineStr">
        <is>
          <t>Total HSA/FSA Health Deduction</t>
        </is>
      </c>
      <c r="B15">
        <f>SUM(Payroll!O2:O12)</f>
        <v/>
      </c>
    </row>
    <row r="16">
      <c r="A16" t="inlineStr">
        <is>
          <t>Total Health Insurance Premiums</t>
        </is>
      </c>
      <c r="B16">
        <f>SUM(Payroll!P2:P12)</f>
        <v/>
      </c>
    </row>
    <row r="17">
      <c r="A17" t="inlineStr">
        <is>
          <t>Total Life Insurance Above 50k</t>
        </is>
      </c>
      <c r="B17">
        <f>SUM(Payroll!Q2:Q12)</f>
        <v/>
      </c>
    </row>
    <row r="18">
      <c r="A18" t="inlineStr">
        <is>
          <t>Total Deductions</t>
        </is>
      </c>
      <c r="B18">
        <f>SUM(Payroll!S2:S12)</f>
        <v/>
      </c>
    </row>
    <row r="19">
      <c r="A19" t="inlineStr">
        <is>
          <t>Total Fuel Reimb.</t>
        </is>
      </c>
      <c r="B19">
        <f>SUM(Payroll!T2:T12)</f>
        <v/>
      </c>
    </row>
    <row r="20">
      <c r="A20" t="inlineStr">
        <is>
          <t>Total Net Pay</t>
        </is>
      </c>
      <c r="B20">
        <f>SUM(Payroll!U2:U12)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3"/>
  <sheetViews>
    <sheetView showGridLines="0" workbookViewId="0">
      <selection activeCell="A1" sqref="A1"/>
    </sheetView>
  </sheetViews>
  <sheetFormatPr baseColWidth="8" defaultRowHeight="15"/>
  <cols>
    <col width="18" customWidth="1" style="24" min="1" max="1"/>
    <col width="11" customWidth="1" style="24" min="2" max="2"/>
    <col width="14" customWidth="1" style="24" min="3" max="3"/>
    <col width="14" customWidth="1" style="24" min="4" max="4"/>
    <col width="28" customWidth="1" style="24" min="5" max="5"/>
    <col width="21" customWidth="1" style="24" min="6" max="6"/>
    <col width="25" customWidth="1" style="24" min="7" max="7"/>
    <col width="21" customWidth="1" style="24" min="8" max="8"/>
    <col width="28" customWidth="1" style="24" min="9" max="9"/>
    <col width="28" customWidth="1" style="24" min="10" max="10"/>
    <col width="22" customWidth="1" style="24" min="11" max="11"/>
    <col width="10" customWidth="1" style="24" min="12" max="12"/>
    <col width="10" customWidth="1" style="24" min="13" max="13"/>
    <col width="13" customWidth="1" style="24" min="14" max="14"/>
    <col width="17" customWidth="1" style="24" min="15" max="15"/>
    <col width="15" customWidth="1" style="24" min="16" max="16"/>
    <col width="28" customWidth="1" style="24" min="17" max="17"/>
    <col width="28" customWidth="1" style="24" min="18" max="18"/>
    <col width="28" customWidth="1" style="24" min="19" max="19"/>
    <col width="28" customWidth="1" style="24" min="20" max="20"/>
    <col width="28" customWidth="1" style="24" min="21" max="21"/>
  </cols>
  <sheetData>
    <row r="1">
      <c r="A1" s="49" t="inlineStr">
        <is>
          <t>Legacy Driver ID</t>
        </is>
      </c>
      <c r="B1" s="49" t="inlineStr">
        <is>
          <t>Driver ID</t>
        </is>
      </c>
      <c r="C1" s="49" t="inlineStr">
        <is>
          <t>Full Name</t>
        </is>
      </c>
      <c r="D1" s="49" t="inlineStr">
        <is>
          <t>Phone Number</t>
        </is>
      </c>
      <c r="E1" s="49" t="inlineStr">
        <is>
          <t>Address</t>
        </is>
      </c>
      <c r="F1" s="49" t="inlineStr">
        <is>
          <t>CDL Expiration Date</t>
        </is>
      </c>
      <c r="G1" s="49" t="inlineStr">
        <is>
          <t>Medical Card Expiration</t>
        </is>
      </c>
      <c r="H1" s="49" t="inlineStr">
        <is>
          <t>MVR Expiration</t>
        </is>
      </c>
      <c r="I1" s="49" t="inlineStr">
        <is>
          <t>Assigned Truck</t>
        </is>
      </c>
      <c r="J1" s="49" t="inlineStr">
        <is>
          <t>Compliance Status</t>
        </is>
      </c>
      <c r="K1" s="49" t="inlineStr">
        <is>
          <t>Photo URL</t>
        </is>
      </c>
      <c r="L1" s="49" t="inlineStr">
        <is>
          <t>CDL URL</t>
        </is>
      </c>
      <c r="M1" s="49" t="inlineStr">
        <is>
          <t>MVR URL</t>
        </is>
      </c>
      <c r="N1" s="49" t="inlineStr">
        <is>
          <t>Medical URL</t>
        </is>
      </c>
      <c r="O1" s="49" t="inlineStr">
        <is>
          <t>Compliance Tier</t>
        </is>
      </c>
      <c r="P1" s="49" t="inlineStr">
        <is>
          <t>Primary Truck</t>
        </is>
      </c>
      <c r="Q1" s="49" t="inlineStr">
        <is>
          <t>W9 URL</t>
        </is>
      </c>
      <c r="R1" s="49" t="inlineStr">
        <is>
          <t>I9 URL</t>
        </is>
      </c>
      <c r="S1" s="49" t="inlineStr">
        <is>
          <t>FMCSA URL</t>
        </is>
      </c>
      <c r="T1" s="49" t="inlineStr">
        <is>
          <t>Bank Info URL</t>
        </is>
      </c>
      <c r="U1" s="49" t="inlineStr">
        <is>
          <t>Driver Folder URL</t>
        </is>
      </c>
    </row>
    <row r="2">
      <c r="A2" t="inlineStr">
        <is>
          <t>Driver 1</t>
        </is>
      </c>
      <c r="B2" t="inlineStr">
        <is>
          <t>DRV-001</t>
        </is>
      </c>
      <c r="C2" t="inlineStr">
        <is>
          <t>John Carter</t>
        </is>
      </c>
      <c r="D2" t="inlineStr">
        <is>
          <t>206-667-3424</t>
        </is>
      </c>
      <c r="E2" t="inlineStr">
        <is>
          <t>1240 W 6th St, Cleveland, OH 44113</t>
        </is>
      </c>
      <c r="F2" s="63" t="n">
        <v>46621</v>
      </c>
      <c r="G2" s="63" t="n">
        <v>46094</v>
      </c>
      <c r="H2" s="63" t="n">
        <v>46080</v>
      </c>
      <c r="I2" t="inlineStr">
        <is>
          <t>T-102, T-121</t>
        </is>
      </c>
      <c r="J2" t="inlineStr">
        <is>
          <t>❌ MED CARD EXPIRED | MVR EXPIRED | TRUCK NEEDS SERVICE</t>
        </is>
      </c>
      <c r="K2" t="inlineStr">
        <is>
          <t>/drivers/DRV-001.jpg</t>
        </is>
      </c>
      <c r="L2" t="inlineStr">
        <is>
          <t>/documents/drivers/DRV-001_CDL.pdf</t>
        </is>
      </c>
      <c r="M2" t="inlineStr">
        <is>
          <t>/documents/drivers/DRV-001_MVR.pdf</t>
        </is>
      </c>
      <c r="N2" t="inlineStr">
        <is>
          <t>/documents/drivers/DRV-001_MEDICAL.pdf</t>
        </is>
      </c>
      <c r="O2" t="inlineStr">
        <is>
          <t>NON_COMPLIANT</t>
        </is>
      </c>
      <c r="P2" t="inlineStr">
        <is>
          <t>T-102</t>
        </is>
      </c>
      <c r="Q2" t="inlineStr">
        <is>
          <t>/documents/drivers/DRV-001_W9.pdf</t>
        </is>
      </c>
      <c r="R2" t="inlineStr">
        <is>
          <t>/documents/drivers/DRV-001_I9.pdf</t>
        </is>
      </c>
      <c r="S2" t="inlineStr">
        <is>
          <t>/documents/drivers/DRV-001_FMCSA.pdf</t>
        </is>
      </c>
      <c r="T2" t="inlineStr">
        <is>
          <t>/documents/drivers/DRV-001_BANK_INFO.pdf</t>
        </is>
      </c>
      <c r="U2" t="inlineStr">
        <is>
          <t>/documents/drivers/DRV-001/</t>
        </is>
      </c>
    </row>
    <row r="3">
      <c r="A3" t="inlineStr">
        <is>
          <t>Driver 2</t>
        </is>
      </c>
      <c r="B3" t="inlineStr">
        <is>
          <t>DRV-002</t>
        </is>
      </c>
      <c r="C3" t="inlineStr">
        <is>
          <t>Maria Lopez</t>
        </is>
      </c>
      <c r="D3" t="inlineStr">
        <is>
          <t>707-773-6386</t>
        </is>
      </c>
      <c r="E3" t="inlineStr">
        <is>
          <t>450 N Michigan Ave, Chicago, IL 60611</t>
        </is>
      </c>
      <c r="F3" s="63" t="n">
        <v>46518</v>
      </c>
      <c r="G3" s="63" t="n">
        <v>46596</v>
      </c>
      <c r="H3" s="63" t="n">
        <v>46465.5</v>
      </c>
      <c r="I3" t="inlineStr">
        <is>
          <t>T-122, T-124, T-125</t>
        </is>
      </c>
      <c r="J3" t="inlineStr">
        <is>
          <t>❌ TRUCK NEEDS SERVICE</t>
        </is>
      </c>
      <c r="K3" t="inlineStr">
        <is>
          <t>/drivers/DRV-002.jpg</t>
        </is>
      </c>
      <c r="L3" t="inlineStr">
        <is>
          <t>/documents/drivers/DRV-002_CDL.pdf</t>
        </is>
      </c>
      <c r="M3" t="inlineStr">
        <is>
          <t>/documents/drivers/DRV-002_MVR.pdf</t>
        </is>
      </c>
      <c r="N3" t="inlineStr">
        <is>
          <t>/documents/drivers/DRV-002_MEDICAL.pdf</t>
        </is>
      </c>
      <c r="O3" t="inlineStr">
        <is>
          <t>NON_COMPLIANT</t>
        </is>
      </c>
      <c r="P3" t="inlineStr">
        <is>
          <t>T-122</t>
        </is>
      </c>
      <c r="Q3" t="inlineStr">
        <is>
          <t>/documents/drivers/DRV-002_W9.pdf</t>
        </is>
      </c>
      <c r="R3" t="inlineStr">
        <is>
          <t>/documents/drivers/DRV-002_I9.pdf</t>
        </is>
      </c>
      <c r="S3" t="inlineStr">
        <is>
          <t>/documents/drivers/DRV-002_FMCSA.pdf</t>
        </is>
      </c>
      <c r="T3" t="inlineStr">
        <is>
          <t>/documents/drivers/DRV-002_BANK_INFO.pdf</t>
        </is>
      </c>
      <c r="U3" t="inlineStr">
        <is>
          <t>/documents/drivers/DRV-002/</t>
        </is>
      </c>
    </row>
    <row r="4">
      <c r="A4" t="inlineStr">
        <is>
          <t>Driver 3</t>
        </is>
      </c>
      <c r="B4" t="inlineStr">
        <is>
          <t>DRV-003</t>
        </is>
      </c>
      <c r="C4" t="inlineStr">
        <is>
          <t>Alex Kim</t>
        </is>
      </c>
      <c r="D4" t="inlineStr">
        <is>
          <t>675-486-1335</t>
        </is>
      </c>
      <c r="E4" t="inlineStr">
        <is>
          <t>780 Peachtree St, Atlanta, GA 30308</t>
        </is>
      </c>
      <c r="F4" s="63" t="n">
        <v>46420</v>
      </c>
      <c r="G4" s="63" t="n">
        <v>46659</v>
      </c>
      <c r="H4" s="63" t="n">
        <v>46465.5</v>
      </c>
      <c r="I4" t="inlineStr">
        <is>
          <t>T-107, T-123</t>
        </is>
      </c>
      <c r="J4" t="inlineStr">
        <is>
          <t>❌ TRUCK NEEDS SERVICE</t>
        </is>
      </c>
      <c r="K4" t="inlineStr">
        <is>
          <t>/drivers/DRV-003.jpg</t>
        </is>
      </c>
      <c r="L4" t="inlineStr">
        <is>
          <t>/documents/drivers/DRV-003_CDL.pdf</t>
        </is>
      </c>
      <c r="M4" t="inlineStr">
        <is>
          <t>/documents/drivers/DRV-003_MVR.pdf</t>
        </is>
      </c>
      <c r="N4" t="inlineStr">
        <is>
          <t>/documents/drivers/DRV-003_MEDICAL.pdf</t>
        </is>
      </c>
      <c r="O4" t="inlineStr">
        <is>
          <t>NON_COMPLIANT</t>
        </is>
      </c>
      <c r="P4" t="inlineStr">
        <is>
          <t>T-107</t>
        </is>
      </c>
      <c r="Q4" t="inlineStr">
        <is>
          <t>/documents/drivers/DRV-003_W9.pdf</t>
        </is>
      </c>
      <c r="R4" t="inlineStr">
        <is>
          <t>/documents/drivers/DRV-003_I9.pdf</t>
        </is>
      </c>
      <c r="S4" t="inlineStr">
        <is>
          <t>/documents/drivers/DRV-003_FMCSA.pdf</t>
        </is>
      </c>
      <c r="T4" t="inlineStr">
        <is>
          <t>/documents/drivers/DRV-003_BANK_INFO.pdf</t>
        </is>
      </c>
      <c r="U4" t="inlineStr">
        <is>
          <t>/documents/drivers/DRV-003/</t>
        </is>
      </c>
    </row>
    <row r="5">
      <c r="A5" t="inlineStr">
        <is>
          <t>Driver 4</t>
        </is>
      </c>
      <c r="B5" t="inlineStr">
        <is>
          <t>DRV-004</t>
        </is>
      </c>
      <c r="C5" t="inlineStr">
        <is>
          <t>Priya Patel</t>
        </is>
      </c>
      <c r="D5" t="inlineStr">
        <is>
          <t>359-469-5960</t>
        </is>
      </c>
      <c r="E5" t="inlineStr">
        <is>
          <t>2200 Superior Ave, Cleveland, OH 44114</t>
        </is>
      </c>
      <c r="F5" s="63" t="n">
        <v>46739</v>
      </c>
      <c r="G5" s="63" t="n">
        <v>46486</v>
      </c>
      <c r="H5" s="63" t="n">
        <v>46465.5</v>
      </c>
      <c r="I5" t="inlineStr">
        <is>
          <t>T-108, T-110, T-113, T-116</t>
        </is>
      </c>
      <c r="J5" t="inlineStr">
        <is>
          <t>❌ TRUCK NEEDS SERVICE</t>
        </is>
      </c>
      <c r="K5" t="inlineStr">
        <is>
          <t>/drivers/DRV-004.jpg</t>
        </is>
      </c>
      <c r="L5" t="inlineStr">
        <is>
          <t>/documents/drivers/DRV-004_CDL.pdf</t>
        </is>
      </c>
      <c r="M5" t="inlineStr">
        <is>
          <t>/documents/drivers/DRV-004_MVR.pdf</t>
        </is>
      </c>
      <c r="N5" t="inlineStr">
        <is>
          <t>/documents/drivers/DRV-004_MEDICAL.pdf</t>
        </is>
      </c>
      <c r="O5" t="inlineStr">
        <is>
          <t>NON_COMPLIANT</t>
        </is>
      </c>
      <c r="P5" t="inlineStr">
        <is>
          <t>T-108</t>
        </is>
      </c>
      <c r="Q5" t="inlineStr">
        <is>
          <t>/documents/drivers/DRV-004_W9.pdf</t>
        </is>
      </c>
      <c r="R5" t="inlineStr">
        <is>
          <t>/documents/drivers/DRV-004_I9.pdf</t>
        </is>
      </c>
      <c r="S5" t="inlineStr">
        <is>
          <t>/documents/drivers/DRV-004_FMCSA.pdf</t>
        </is>
      </c>
      <c r="T5" t="inlineStr">
        <is>
          <t>/documents/drivers/DRV-004_BANK_INFO.pdf</t>
        </is>
      </c>
      <c r="U5" t="inlineStr">
        <is>
          <t>/documents/drivers/DRV-004/</t>
        </is>
      </c>
    </row>
    <row r="6">
      <c r="A6" t="inlineStr">
        <is>
          <t>Driver 5</t>
        </is>
      </c>
      <c r="B6" t="inlineStr">
        <is>
          <t>DRV-005</t>
        </is>
      </c>
      <c r="C6" t="inlineStr">
        <is>
          <t>Kenji Tanaka</t>
        </is>
      </c>
      <c r="D6" t="inlineStr">
        <is>
          <t>871-429-6220</t>
        </is>
      </c>
      <c r="E6" t="inlineStr">
        <is>
          <t>115 E Broad St, Columbus, OH 43215</t>
        </is>
      </c>
      <c r="F6" s="63" t="n">
        <v>46577</v>
      </c>
      <c r="G6" s="63" t="n">
        <v>46496</v>
      </c>
      <c r="H6" s="63" t="n">
        <v>46465.5</v>
      </c>
      <c r="I6" t="inlineStr">
        <is>
          <t>T-104, T-112</t>
        </is>
      </c>
      <c r="J6" t="inlineStr">
        <is>
          <t>❌ TRUCK NEEDS SERVICE</t>
        </is>
      </c>
      <c r="K6" t="inlineStr">
        <is>
          <t>/drivers/DRV-005.jpg</t>
        </is>
      </c>
      <c r="L6" t="inlineStr">
        <is>
          <t>/documents/drivers/DRV-005_CDL.pdf</t>
        </is>
      </c>
      <c r="M6" t="inlineStr">
        <is>
          <t>/documents/drivers/DRV-005_MVR.pdf</t>
        </is>
      </c>
      <c r="N6" t="inlineStr">
        <is>
          <t>/documents/drivers/DRV-005_MEDICAL.pdf</t>
        </is>
      </c>
      <c r="O6" t="inlineStr">
        <is>
          <t>NON_COMPLIANT</t>
        </is>
      </c>
      <c r="P6" t="inlineStr">
        <is>
          <t>T-104</t>
        </is>
      </c>
      <c r="Q6" t="inlineStr">
        <is>
          <t>/documents/drivers/DRV-005_W9.pdf</t>
        </is>
      </c>
      <c r="R6" t="inlineStr">
        <is>
          <t>/documents/drivers/DRV-005_I9.pdf</t>
        </is>
      </c>
      <c r="S6" t="inlineStr">
        <is>
          <t>/documents/drivers/DRV-005_FMCSA.pdf</t>
        </is>
      </c>
      <c r="T6" t="inlineStr">
        <is>
          <t>/documents/drivers/DRV-005_BANK_INFO.pdf</t>
        </is>
      </c>
      <c r="U6" t="inlineStr">
        <is>
          <t>/documents/drivers/DRV-005/</t>
        </is>
      </c>
    </row>
    <row r="7">
      <c r="A7" t="inlineStr">
        <is>
          <t>Driver 6</t>
        </is>
      </c>
      <c r="B7" t="inlineStr">
        <is>
          <t>DRV-006</t>
        </is>
      </c>
      <c r="C7" t="inlineStr">
        <is>
          <t>Marcus Chen</t>
        </is>
      </c>
      <c r="D7" t="inlineStr">
        <is>
          <t>283-876-4322</t>
        </is>
      </c>
      <c r="E7" t="inlineStr">
        <is>
          <t>500 Pacific Ave, Dallas, TX 75202</t>
        </is>
      </c>
      <c r="F7" s="63" t="n">
        <v>45826</v>
      </c>
      <c r="G7" s="63" t="n">
        <v>46394</v>
      </c>
      <c r="H7" s="63" t="n">
        <v>46465.5</v>
      </c>
      <c r="I7" t="inlineStr">
        <is>
          <t>T-103, T-117, T-119</t>
        </is>
      </c>
      <c r="J7" t="inlineStr">
        <is>
          <t>❌ CDL EXPIRED | TRUCK NEEDS SERVICE</t>
        </is>
      </c>
      <c r="K7" t="inlineStr">
        <is>
          <t>/drivers/DRV-006.jpg</t>
        </is>
      </c>
      <c r="L7" t="inlineStr">
        <is>
          <t>/documents/drivers/DRV-006_CDL.pdf</t>
        </is>
      </c>
      <c r="M7" t="inlineStr">
        <is>
          <t>/documents/drivers/DRV-006_MVR.pdf</t>
        </is>
      </c>
      <c r="N7" t="inlineStr">
        <is>
          <t>/documents/drivers/DRV-006_MEDICAL.pdf</t>
        </is>
      </c>
      <c r="O7" t="inlineStr">
        <is>
          <t>NON_COMPLIANT</t>
        </is>
      </c>
      <c r="P7" t="inlineStr">
        <is>
          <t>T-103</t>
        </is>
      </c>
      <c r="Q7" t="inlineStr">
        <is>
          <t>/documents/drivers/DRV-006_W9.pdf</t>
        </is>
      </c>
      <c r="R7" t="inlineStr">
        <is>
          <t>/documents/drivers/DRV-006_I9.pdf</t>
        </is>
      </c>
      <c r="S7" t="inlineStr">
        <is>
          <t>/documents/drivers/DRV-006_FMCSA.pdf</t>
        </is>
      </c>
      <c r="T7" t="inlineStr">
        <is>
          <t>/documents/drivers/DRV-006_BANK_INFO.pdf</t>
        </is>
      </c>
      <c r="U7" t="inlineStr">
        <is>
          <t>/documents/drivers/DRV-006/</t>
        </is>
      </c>
    </row>
    <row r="8">
      <c r="A8" t="inlineStr">
        <is>
          <t>Driver 7</t>
        </is>
      </c>
      <c r="B8" t="inlineStr">
        <is>
          <t>DRV-007</t>
        </is>
      </c>
      <c r="C8" t="inlineStr">
        <is>
          <t>Sofia Gomez</t>
        </is>
      </c>
      <c r="D8" t="inlineStr">
        <is>
          <t>896-828-7164</t>
        </is>
      </c>
      <c r="E8" t="inlineStr">
        <is>
          <t>815 Prospect Ave, Cleveland, OH 44115</t>
        </is>
      </c>
      <c r="F8" s="63" t="n">
        <v>46530</v>
      </c>
      <c r="G8" s="63" t="n">
        <v>45739</v>
      </c>
      <c r="H8" s="63" t="n">
        <v>46465.5</v>
      </c>
      <c r="I8" t="inlineStr">
        <is>
          <t>T-111</t>
        </is>
      </c>
      <c r="J8" t="inlineStr">
        <is>
          <t>❌ MED CARD EXPIRED</t>
        </is>
      </c>
      <c r="K8" t="inlineStr">
        <is>
          <t>/drivers/DRV-007.jpg</t>
        </is>
      </c>
      <c r="L8" t="inlineStr">
        <is>
          <t>/documents/drivers/DRV-007_CDL.pdf</t>
        </is>
      </c>
      <c r="M8" t="inlineStr">
        <is>
          <t>/documents/drivers/DRV-007_MVR.pdf</t>
        </is>
      </c>
      <c r="N8" t="inlineStr">
        <is>
          <t>/documents/drivers/DRV-007_MEDICAL.pdf</t>
        </is>
      </c>
      <c r="O8" t="inlineStr">
        <is>
          <t>NON_COMPLIANT</t>
        </is>
      </c>
      <c r="P8" t="inlineStr">
        <is>
          <t>T-111</t>
        </is>
      </c>
      <c r="Q8" t="inlineStr">
        <is>
          <t>/documents/drivers/DRV-007_W9.pdf</t>
        </is>
      </c>
      <c r="R8" t="inlineStr">
        <is>
          <t>/documents/drivers/DRV-007_I9.pdf</t>
        </is>
      </c>
      <c r="S8" t="inlineStr">
        <is>
          <t>/documents/drivers/DRV-007_FMCSA.pdf</t>
        </is>
      </c>
      <c r="T8" t="inlineStr">
        <is>
          <t>/documents/drivers/DRV-007_BANK_INFO.pdf</t>
        </is>
      </c>
      <c r="U8" t="inlineStr">
        <is>
          <t>/documents/drivers/DRV-007/</t>
        </is>
      </c>
    </row>
    <row r="9">
      <c r="A9" t="inlineStr">
        <is>
          <t>Driver 8</t>
        </is>
      </c>
      <c r="B9" t="inlineStr">
        <is>
          <t>DRV-008</t>
        </is>
      </c>
      <c r="C9" t="inlineStr">
        <is>
          <t>Liam Smith</t>
        </is>
      </c>
      <c r="D9" t="inlineStr">
        <is>
          <t>820-223-4829</t>
        </is>
      </c>
      <c r="E9" t="inlineStr">
        <is>
          <t>240 Madison Ave, Toledo, OH 43604</t>
        </is>
      </c>
      <c r="F9" s="63" t="n">
        <v>46620</v>
      </c>
      <c r="G9" s="63" t="n">
        <v>46670</v>
      </c>
      <c r="H9" s="63" t="n">
        <v>46465.5</v>
      </c>
      <c r="I9" t="inlineStr">
        <is>
          <t>T-106, T-120</t>
        </is>
      </c>
      <c r="J9" t="inlineStr">
        <is>
          <t>❌ TRUCK NEEDS SERVICE</t>
        </is>
      </c>
      <c r="K9" t="inlineStr">
        <is>
          <t>/drivers/DRV-008.jpg</t>
        </is>
      </c>
      <c r="L9" t="inlineStr">
        <is>
          <t>/documents/drivers/DRV-008_CDL.pdf</t>
        </is>
      </c>
      <c r="M9" t="inlineStr">
        <is>
          <t>/documents/drivers/DRV-008_MVR.pdf</t>
        </is>
      </c>
      <c r="N9" t="inlineStr">
        <is>
          <t>/documents/drivers/DRV-008_MEDICAL.pdf</t>
        </is>
      </c>
      <c r="O9" t="inlineStr">
        <is>
          <t>NON_COMPLIANT</t>
        </is>
      </c>
      <c r="P9" t="inlineStr">
        <is>
          <t>T-106</t>
        </is>
      </c>
      <c r="Q9" t="inlineStr">
        <is>
          <t>/documents/drivers/DRV-008_W9.pdf</t>
        </is>
      </c>
      <c r="R9" t="inlineStr">
        <is>
          <t>/documents/drivers/DRV-008_I9.pdf</t>
        </is>
      </c>
      <c r="S9" t="inlineStr">
        <is>
          <t>/documents/drivers/DRV-008_FMCSA.pdf</t>
        </is>
      </c>
      <c r="T9" t="inlineStr">
        <is>
          <t>/documents/drivers/DRV-008_BANK_INFO.pdf</t>
        </is>
      </c>
      <c r="U9" t="inlineStr">
        <is>
          <t>/documents/drivers/DRV-008/</t>
        </is>
      </c>
    </row>
    <row r="10">
      <c r="A10" t="inlineStr">
        <is>
          <t>Driver 9</t>
        </is>
      </c>
      <c r="B10" t="inlineStr">
        <is>
          <t>DRV-009</t>
        </is>
      </c>
      <c r="C10" t="inlineStr">
        <is>
          <t>Emma Brown</t>
        </is>
      </c>
      <c r="D10" t="inlineStr">
        <is>
          <t>206-700-7666</t>
        </is>
      </c>
      <c r="E10" t="inlineStr">
        <is>
          <t>330 Civic Center Dr, Columbus, OH 43215</t>
        </is>
      </c>
      <c r="F10" s="63" t="n">
        <v>46424</v>
      </c>
      <c r="G10" s="63" t="n">
        <v>46645</v>
      </c>
      <c r="H10" s="63" t="n">
        <v>46465.5</v>
      </c>
      <c r="I10" t="inlineStr">
        <is>
          <t>T-109</t>
        </is>
      </c>
      <c r="J10" t="inlineStr">
        <is>
          <t>❌ TRUCK NEEDS SERVICE</t>
        </is>
      </c>
      <c r="K10" t="inlineStr">
        <is>
          <t>/drivers/DRV-009.jpg</t>
        </is>
      </c>
      <c r="L10" t="inlineStr">
        <is>
          <t>/documents/drivers/DRV-009_CDL.pdf</t>
        </is>
      </c>
      <c r="M10" t="inlineStr">
        <is>
          <t>/documents/drivers/DRV-009_MVR.pdf</t>
        </is>
      </c>
      <c r="N10" t="inlineStr">
        <is>
          <t>/documents/drivers/DRV-009_MEDICAL.pdf</t>
        </is>
      </c>
      <c r="O10" t="inlineStr">
        <is>
          <t>NON_COMPLIANT</t>
        </is>
      </c>
      <c r="P10" t="inlineStr">
        <is>
          <t>T-109</t>
        </is>
      </c>
      <c r="Q10" t="inlineStr">
        <is>
          <t>/documents/drivers/DRV-009_W9.pdf</t>
        </is>
      </c>
      <c r="R10" t="inlineStr">
        <is>
          <t>/documents/drivers/DRV-009_I9.pdf</t>
        </is>
      </c>
      <c r="S10" t="inlineStr">
        <is>
          <t>/documents/drivers/DRV-009_FMCSA.pdf</t>
        </is>
      </c>
      <c r="T10" t="inlineStr">
        <is>
          <t>/documents/drivers/DRV-009_BANK_INFO.pdf</t>
        </is>
      </c>
      <c r="U10" t="inlineStr">
        <is>
          <t>/documents/drivers/DRV-009/</t>
        </is>
      </c>
    </row>
    <row r="11">
      <c r="A11" t="inlineStr">
        <is>
          <t>Driver 10</t>
        </is>
      </c>
      <c r="B11" t="inlineStr">
        <is>
          <t>DRV-010</t>
        </is>
      </c>
      <c r="C11" t="inlineStr">
        <is>
          <t>Noah Wilson</t>
        </is>
      </c>
      <c r="D11" t="inlineStr">
        <is>
          <t>582-987-2387</t>
        </is>
      </c>
      <c r="E11" t="inlineStr">
        <is>
          <t>110 W Adams St, Chicago, IL 60603</t>
        </is>
      </c>
      <c r="F11" s="63" t="n">
        <v>46647</v>
      </c>
      <c r="G11" s="63" t="n">
        <v>46752</v>
      </c>
      <c r="H11" s="63" t="n">
        <v>46465.5</v>
      </c>
      <c r="I11" t="inlineStr">
        <is>
          <t>T-105</t>
        </is>
      </c>
      <c r="J11" t="inlineStr">
        <is>
          <t>✅ COMPLIANT</t>
        </is>
      </c>
      <c r="K11" t="inlineStr">
        <is>
          <t>/drivers/DRV-010.jpg</t>
        </is>
      </c>
      <c r="L11" t="inlineStr">
        <is>
          <t>/documents/drivers/DRV-010_CDL.pdf</t>
        </is>
      </c>
      <c r="M11" t="inlineStr">
        <is>
          <t>/documents/drivers/DRV-010_MVR.pdf</t>
        </is>
      </c>
      <c r="N11" t="inlineStr">
        <is>
          <t>/documents/drivers/DRV-010_MEDICAL.pdf</t>
        </is>
      </c>
      <c r="O11" t="inlineStr">
        <is>
          <t>COMPLIANT</t>
        </is>
      </c>
      <c r="P11" t="inlineStr">
        <is>
          <t>T-105</t>
        </is>
      </c>
      <c r="Q11" t="inlineStr">
        <is>
          <t>/documents/drivers/DRV-010_W9.pdf</t>
        </is>
      </c>
      <c r="R11" t="inlineStr">
        <is>
          <t>/documents/drivers/DRV-010_I9.pdf</t>
        </is>
      </c>
      <c r="S11" t="inlineStr">
        <is>
          <t>/documents/drivers/DRV-010_FMCSA.pdf</t>
        </is>
      </c>
      <c r="T11" t="inlineStr">
        <is>
          <t>/documents/drivers/DRV-010_BANK_INFO.pdf</t>
        </is>
      </c>
      <c r="U11" t="inlineStr">
        <is>
          <t>/documents/drivers/DRV-010/</t>
        </is>
      </c>
    </row>
    <row r="12">
      <c r="A12" t="inlineStr">
        <is>
          <t>Driver 11</t>
        </is>
      </c>
      <c r="B12" t="inlineStr">
        <is>
          <t>DRV-011</t>
        </is>
      </c>
      <c r="C12" t="inlineStr">
        <is>
          <t>Olivia Lee</t>
        </is>
      </c>
      <c r="D12" t="inlineStr">
        <is>
          <t>337-857-3607</t>
        </is>
      </c>
      <c r="E12" t="inlineStr">
        <is>
          <t>600 Peachtree St, Atlanta, GA 30308</t>
        </is>
      </c>
      <c r="F12" s="63" t="n">
        <v>46566</v>
      </c>
      <c r="G12" s="63" t="n">
        <v>46499</v>
      </c>
      <c r="H12" s="63" t="n">
        <v>46465.5</v>
      </c>
      <c r="I12" t="inlineStr">
        <is>
          <t>T-114, T-118</t>
        </is>
      </c>
      <c r="J12" t="inlineStr">
        <is>
          <t>✅ COMPLIANT</t>
        </is>
      </c>
      <c r="K12" t="inlineStr">
        <is>
          <t>/drivers/DRV-011.jpg</t>
        </is>
      </c>
      <c r="L12" t="inlineStr">
        <is>
          <t>/documents/drivers/DRV-011_CDL.pdf</t>
        </is>
      </c>
      <c r="M12" t="inlineStr">
        <is>
          <t>/documents/drivers/DRV-011_MVR.pdf</t>
        </is>
      </c>
      <c r="N12" t="inlineStr">
        <is>
          <t>/documents/drivers/DRV-011_MEDICAL.pdf</t>
        </is>
      </c>
      <c r="O12" t="inlineStr">
        <is>
          <t>COMPLIANT</t>
        </is>
      </c>
      <c r="P12" t="inlineStr">
        <is>
          <t>T-114</t>
        </is>
      </c>
      <c r="Q12" t="inlineStr">
        <is>
          <t>/documents/drivers/DRV-011_W9.pdf</t>
        </is>
      </c>
      <c r="R12" t="inlineStr">
        <is>
          <t>/documents/drivers/DRV-011_I9.pdf</t>
        </is>
      </c>
      <c r="S12" t="inlineStr">
        <is>
          <t>/documents/drivers/DRV-011_FMCSA.pdf</t>
        </is>
      </c>
      <c r="T12" t="inlineStr">
        <is>
          <t>/documents/drivers/DRV-011_BANK_INFO.pdf</t>
        </is>
      </c>
      <c r="U12" t="inlineStr">
        <is>
          <t>/documents/drivers/DRV-011/</t>
        </is>
      </c>
    </row>
    <row r="13">
      <c r="A13" t="inlineStr">
        <is>
          <t>Driver 12</t>
        </is>
      </c>
      <c r="B13" t="inlineStr">
        <is>
          <t>DRV-012</t>
        </is>
      </c>
      <c r="C13" t="inlineStr">
        <is>
          <t>Robert Johnson</t>
        </is>
      </c>
      <c r="D13" t="inlineStr">
        <is>
          <t>618-623-9317</t>
        </is>
      </c>
      <c r="E13" t="inlineStr">
        <is>
          <t>88 S Main St, Akron, OH 44308</t>
        </is>
      </c>
      <c r="F13" s="63" t="n">
        <v>46135</v>
      </c>
      <c r="G13" s="63" t="n">
        <v>46042</v>
      </c>
      <c r="H13" s="63" t="n">
        <v>45997</v>
      </c>
      <c r="I13" t="inlineStr">
        <is>
          <t>T-106, T-115</t>
        </is>
      </c>
      <c r="J13" t="inlineStr">
        <is>
          <t>❌ MED CARD EXPIRED | MVR EXPIRED</t>
        </is>
      </c>
      <c r="K13" t="inlineStr">
        <is>
          <t>/drivers/DRV-012.jpg</t>
        </is>
      </c>
      <c r="L13" t="inlineStr">
        <is>
          <t>/documents/drivers/DRV-012_CDL.pdf</t>
        </is>
      </c>
      <c r="M13" t="inlineStr">
        <is>
          <t>/documents/drivers/DRV-012_MVR.pdf</t>
        </is>
      </c>
      <c r="N13" t="inlineStr">
        <is>
          <t>/documents/drivers/DRV-012_MEDICAL.pdf</t>
        </is>
      </c>
      <c r="O13" t="inlineStr">
        <is>
          <t>NON_COMPLIANT</t>
        </is>
      </c>
      <c r="P13" t="inlineStr">
        <is>
          <t>T-106</t>
        </is>
      </c>
      <c r="Q13" t="inlineStr">
        <is>
          <t>/documents/drivers/DRV-012_W9.pdf</t>
        </is>
      </c>
      <c r="R13" t="inlineStr">
        <is>
          <t>/documents/drivers/DRV-012_I9.pdf</t>
        </is>
      </c>
      <c r="S13" t="inlineStr">
        <is>
          <t>/documents/drivers/DRV-012_FMCSA.pdf</t>
        </is>
      </c>
      <c r="T13" t="inlineStr">
        <is>
          <t>/documents/drivers/DRV-012_BANK_INFO.pdf</t>
        </is>
      </c>
      <c r="U13" t="inlineStr">
        <is>
          <t>/documents/drivers/DRV-012/</t>
        </is>
      </c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85"/>
  <sheetViews>
    <sheetView showGridLines="0" workbookViewId="0">
      <selection activeCell="A1" sqref="A1"/>
    </sheetView>
  </sheetViews>
  <sheetFormatPr baseColWidth="8" defaultRowHeight="15"/>
  <cols>
    <col width="11" customWidth="1" style="24" min="1" max="1"/>
    <col width="16" customWidth="1" style="24" min="2" max="2"/>
    <col width="14" customWidth="1" style="24" min="3" max="3"/>
    <col width="28" customWidth="1" style="24" min="4" max="4"/>
    <col width="19" customWidth="1" style="24" min="5" max="5"/>
    <col width="28" customWidth="1" style="24" min="6" max="6"/>
    <col width="21" customWidth="1" style="24" min="7" max="7"/>
    <col width="11" customWidth="1" style="24" min="8" max="8"/>
    <col width="19" customWidth="1" style="24" min="9" max="9"/>
    <col width="14" customWidth="1" style="24" min="10" max="10"/>
    <col width="28" customWidth="1" style="24" min="11" max="11"/>
    <col width="22" customWidth="1" style="24" min="12" max="12"/>
    <col width="26" customWidth="1" style="24" min="13" max="13"/>
    <col width="26" customWidth="1" style="24" min="14" max="14"/>
    <col width="21" customWidth="1" style="24" min="15" max="15"/>
  </cols>
  <sheetData>
    <row r="1">
      <c r="A1" s="49" t="inlineStr">
        <is>
          <t>Driver ID</t>
        </is>
      </c>
      <c r="B1" s="49" t="inlineStr">
        <is>
          <t>Full Name</t>
        </is>
      </c>
      <c r="C1" s="49" t="inlineStr">
        <is>
          <t>Phone</t>
        </is>
      </c>
      <c r="D1" s="49" t="inlineStr">
        <is>
          <t>Address</t>
        </is>
      </c>
      <c r="E1" s="49" t="inlineStr">
        <is>
          <t>Compliance Status</t>
        </is>
      </c>
      <c r="F1" s="49" t="inlineStr">
        <is>
          <t>Document Type</t>
        </is>
      </c>
      <c r="G1" s="49" t="inlineStr">
        <is>
          <t>Expiration Date</t>
        </is>
      </c>
      <c r="H1" s="49" t="inlineStr">
        <is>
          <t>File Link</t>
        </is>
      </c>
      <c r="I1" s="49" t="inlineStr">
        <is>
          <t>Standard Doc Type</t>
        </is>
      </c>
      <c r="J1" s="49" t="inlineStr">
        <is>
          <t>Document URL</t>
        </is>
      </c>
      <c r="K1" s="49" t="inlineStr">
        <is>
          <t>Doc Status</t>
        </is>
      </c>
      <c r="L1" s="49" t="inlineStr">
        <is>
          <t>Export Key</t>
        </is>
      </c>
      <c r="M1" s="49" t="inlineStr">
        <is>
          <t>File Name</t>
        </is>
      </c>
      <c r="N1" s="49" t="inlineStr">
        <is>
          <t>Driver Photo URL</t>
        </is>
      </c>
      <c r="O1" s="49" t="inlineStr">
        <is>
          <t>Preview Image URL</t>
        </is>
      </c>
    </row>
    <row r="2">
      <c r="A2" t="inlineStr">
        <is>
          <t>DRV-001</t>
        </is>
      </c>
      <c r="B2" t="inlineStr">
        <is>
          <t>John Carter</t>
        </is>
      </c>
      <c r="C2" t="inlineStr">
        <is>
          <t>206-667-3424</t>
        </is>
      </c>
      <c r="D2" t="inlineStr">
        <is>
          <t>1240 W 6th St, Cleveland, OH</t>
        </is>
      </c>
      <c r="E2" t="inlineStr">
        <is>
          <t>NON-COMPLIANT</t>
        </is>
      </c>
      <c r="F2" t="inlineStr">
        <is>
          <t>CDL Summary</t>
        </is>
      </c>
      <c r="G2" s="63" t="n">
        <v>46259</v>
      </c>
      <c r="H2" t="inlineStr">
        <is>
          <t>/documents/drivers/DRV-001_CDL.pdf</t>
        </is>
      </c>
      <c r="I2" t="inlineStr">
        <is>
          <t>CDL</t>
        </is>
      </c>
      <c r="J2" t="inlineStr">
        <is>
          <t>/documents/drivers/DRV-001_CDL.pdf</t>
        </is>
      </c>
      <c r="K2">
        <f>IF(G2="","MISSING_DATE",IF(G2&lt;TODAY(),"EXPIRED",IF(G2&lt;=TODAY()+30,"EXPIRING_SOON","VALID")))</f>
        <v/>
      </c>
      <c r="L2" t="inlineStr">
        <is>
          <t>DRV-001|CDL</t>
        </is>
      </c>
      <c r="M2" t="inlineStr">
        <is>
          <t>DRV-001_CDL.pdf</t>
        </is>
      </c>
      <c r="N2" t="inlineStr">
        <is>
          <t>/drivers/DRV-001.jpg</t>
        </is>
      </c>
      <c r="O2" t="inlineStr">
        <is>
          <t>/images/documents/DRV-001_CDL.jpg</t>
        </is>
      </c>
    </row>
    <row r="3">
      <c r="A3" t="inlineStr">
        <is>
          <t>DRV-001</t>
        </is>
      </c>
      <c r="B3" t="inlineStr">
        <is>
          <t>John Carter</t>
        </is>
      </c>
      <c r="C3" t="inlineStr">
        <is>
          <t>206-667-3424</t>
        </is>
      </c>
      <c r="D3" t="inlineStr">
        <is>
          <t>1240 W 6th St, Cleveland, OH</t>
        </is>
      </c>
      <c r="E3" t="inlineStr">
        <is>
          <t>NON-COMPLIANT</t>
        </is>
      </c>
      <c r="F3" t="inlineStr">
        <is>
          <t>Medical Certification Summary</t>
        </is>
      </c>
      <c r="G3" s="63" t="n">
        <v>46029</v>
      </c>
      <c r="H3" t="inlineStr">
        <is>
          <t>/documents/drivers/DRV-001_MEDICAL.pdf</t>
        </is>
      </c>
      <c r="I3" t="inlineStr">
        <is>
          <t>MEDICAL_CARD</t>
        </is>
      </c>
      <c r="J3" t="inlineStr">
        <is>
          <t>/documents/drivers/DRV-001_MEDICAL.pdf</t>
        </is>
      </c>
      <c r="K3">
        <f>IF(G3="","MISSING_DATE",IF(G3&lt;TODAY(),"EXPIRED",IF(G3&lt;=TODAY()+30,"EXPIRING_SOON","VALID")))</f>
        <v/>
      </c>
      <c r="L3" t="inlineStr">
        <is>
          <t>DRV-001|MEDICAL_CARD</t>
        </is>
      </c>
      <c r="M3" t="inlineStr">
        <is>
          <t>DRV-001_MEDICAL.pdf</t>
        </is>
      </c>
      <c r="N3" t="inlineStr">
        <is>
          <t>/drivers/DRV-001.jpg</t>
        </is>
      </c>
      <c r="O3" t="inlineStr">
        <is>
          <t>/images/documents/DRV-001_MEDICAL_CARD.jpg</t>
        </is>
      </c>
    </row>
    <row r="4">
      <c r="A4" t="inlineStr">
        <is>
          <t>DRV-001</t>
        </is>
      </c>
      <c r="B4" t="inlineStr">
        <is>
          <t>John Carter</t>
        </is>
      </c>
      <c r="C4" t="inlineStr">
        <is>
          <t>206-667-3424</t>
        </is>
      </c>
      <c r="D4" t="inlineStr">
        <is>
          <t>1240 W 6th St, Cleveland, OH</t>
        </is>
      </c>
      <c r="E4" t="inlineStr">
        <is>
          <t>NON-COMPLIANT</t>
        </is>
      </c>
      <c r="F4" t="inlineStr">
        <is>
          <t>MVR Summary</t>
        </is>
      </c>
      <c r="G4" s="63" t="n">
        <v>46037</v>
      </c>
      <c r="H4" t="inlineStr">
        <is>
          <t>/documents/drivers/DRV-001_MVR.pdf</t>
        </is>
      </c>
      <c r="I4" t="inlineStr">
        <is>
          <t>MVR</t>
        </is>
      </c>
      <c r="J4" t="inlineStr">
        <is>
          <t>/documents/drivers/DRV-001_MVR.pdf</t>
        </is>
      </c>
      <c r="K4">
        <f>IF(G4="","MISSING_DATE",IF(G4&lt;TODAY(),"EXPIRED",IF(G4&lt;=TODAY()+30,"EXPIRING_SOON","VALID")))</f>
        <v/>
      </c>
      <c r="L4" t="inlineStr">
        <is>
          <t>DRV-001|MVR</t>
        </is>
      </c>
      <c r="M4" t="inlineStr">
        <is>
          <t>DRV-001_MVR.pdf</t>
        </is>
      </c>
      <c r="N4" t="inlineStr">
        <is>
          <t>/drivers/DRV-001.jpg</t>
        </is>
      </c>
      <c r="O4" t="inlineStr">
        <is>
          <t>/images/documents/DRV-001_MVR.jpg</t>
        </is>
      </c>
    </row>
    <row r="5">
      <c r="A5" t="inlineStr">
        <is>
          <t>DRV-001</t>
        </is>
      </c>
      <c r="B5" t="inlineStr">
        <is>
          <t>John Carter</t>
        </is>
      </c>
      <c r="C5" t="inlineStr">
        <is>
          <t>206-667-3424</t>
        </is>
      </c>
      <c r="D5" t="inlineStr">
        <is>
          <t>1240 W 6th St, Cleveland, OH</t>
        </is>
      </c>
      <c r="E5" t="inlineStr">
        <is>
          <t>NON-COMPLIANT</t>
        </is>
      </c>
      <c r="F5" t="inlineStr">
        <is>
          <t>Employment Eligibility Summary</t>
        </is>
      </c>
      <c r="G5" s="63" t="n">
        <v>46104</v>
      </c>
      <c r="H5" t="inlineStr">
        <is>
          <t>/documents/drivers/DRV-001_I9.pdf</t>
        </is>
      </c>
      <c r="I5" t="inlineStr">
        <is>
          <t>I9</t>
        </is>
      </c>
      <c r="J5" t="inlineStr">
        <is>
          <t>/documents/drivers/DRV-001_I9.pdf</t>
        </is>
      </c>
      <c r="K5">
        <f>IF(G5="","MISSING_DATE",IF(G5&lt;TODAY(),"EXPIRED",IF(G5&lt;=TODAY()+30,"EXPIRING_SOON","VALID")))</f>
        <v/>
      </c>
      <c r="L5" t="inlineStr">
        <is>
          <t>DRV-001|I9</t>
        </is>
      </c>
      <c r="M5" t="inlineStr">
        <is>
          <t>DRV-001_I9.pdf</t>
        </is>
      </c>
      <c r="N5" t="inlineStr">
        <is>
          <t>/drivers/DRV-001.jpg</t>
        </is>
      </c>
      <c r="O5" t="inlineStr">
        <is>
          <t>/images/documents/DRV-001_I9.jpg</t>
        </is>
      </c>
    </row>
    <row r="6">
      <c r="A6" t="inlineStr">
        <is>
          <t>DRV-001</t>
        </is>
      </c>
      <c r="B6" t="inlineStr">
        <is>
          <t>John Carter</t>
        </is>
      </c>
      <c r="C6" t="inlineStr">
        <is>
          <t>206-667-3424</t>
        </is>
      </c>
      <c r="D6" t="inlineStr">
        <is>
          <t>1240 W 6th St, Cleveland, OH</t>
        </is>
      </c>
      <c r="E6" t="inlineStr">
        <is>
          <t>NON-COMPLIANT</t>
        </is>
      </c>
      <c r="F6" t="inlineStr">
        <is>
          <t>FMCSA Compliance Summary</t>
        </is>
      </c>
      <c r="G6" s="63" t="n">
        <v>45978</v>
      </c>
      <c r="H6" t="inlineStr">
        <is>
          <t>/documents/drivers/DRV-001_FMCSA.pdf</t>
        </is>
      </c>
      <c r="I6" t="inlineStr">
        <is>
          <t>FMCSA</t>
        </is>
      </c>
      <c r="J6" t="inlineStr">
        <is>
          <t>/documents/drivers/DRV-001_FMCSA.pdf</t>
        </is>
      </c>
      <c r="K6">
        <f>IF(G6="","MISSING_DATE",IF(G6&lt;TODAY(),"EXPIRED",IF(G6&lt;=TODAY()+30,"EXPIRING_SOON","VALID")))</f>
        <v/>
      </c>
      <c r="L6" t="inlineStr">
        <is>
          <t>DRV-001|FMCSA</t>
        </is>
      </c>
      <c r="M6" t="inlineStr">
        <is>
          <t>DRV-001_FMCSA.pdf</t>
        </is>
      </c>
      <c r="N6" t="inlineStr">
        <is>
          <t>/drivers/DRV-001.jpg</t>
        </is>
      </c>
      <c r="O6" t="inlineStr">
        <is>
          <t>/images/documents/DRV-001_FMCSA.jpg</t>
        </is>
      </c>
    </row>
    <row r="7">
      <c r="A7" t="inlineStr">
        <is>
          <t>DRV-001</t>
        </is>
      </c>
      <c r="B7" t="inlineStr">
        <is>
          <t>John Carter</t>
        </is>
      </c>
      <c r="C7" t="inlineStr">
        <is>
          <t>206-667-3424</t>
        </is>
      </c>
      <c r="D7" t="inlineStr">
        <is>
          <t>1240 W 6th St, Cleveland, OH</t>
        </is>
      </c>
      <c r="E7" t="inlineStr">
        <is>
          <t>NON-COMPLIANT</t>
        </is>
      </c>
      <c r="F7" t="inlineStr">
        <is>
          <t>W-9 Summary</t>
        </is>
      </c>
      <c r="G7" s="63" t="n">
        <v>46190</v>
      </c>
      <c r="H7" t="inlineStr">
        <is>
          <t>/documents/drivers/DRV-001_W9.pdf</t>
        </is>
      </c>
      <c r="I7" t="inlineStr">
        <is>
          <t>W9</t>
        </is>
      </c>
      <c r="J7" t="inlineStr">
        <is>
          <t>/documents/drivers/DRV-001_W9.pdf</t>
        </is>
      </c>
      <c r="K7">
        <f>IF(G7="","MISSING_DATE",IF(G7&lt;TODAY(),"EXPIRED",IF(G7&lt;=TODAY()+30,"EXPIRING_SOON","VALID")))</f>
        <v/>
      </c>
      <c r="L7" t="inlineStr">
        <is>
          <t>DRV-001|W9</t>
        </is>
      </c>
      <c r="M7" t="inlineStr">
        <is>
          <t>DRV-001_W9.pdf</t>
        </is>
      </c>
      <c r="N7" t="inlineStr">
        <is>
          <t>/drivers/DRV-001.jpg</t>
        </is>
      </c>
      <c r="O7" t="inlineStr">
        <is>
          <t>/images/documents/DRV-001_W9.jpg</t>
        </is>
      </c>
    </row>
    <row r="8">
      <c r="A8" t="inlineStr">
        <is>
          <t>DRV-001</t>
        </is>
      </c>
      <c r="B8" t="inlineStr">
        <is>
          <t>John Carter</t>
        </is>
      </c>
      <c r="C8" t="inlineStr">
        <is>
          <t>206-667-3424</t>
        </is>
      </c>
      <c r="D8" t="inlineStr">
        <is>
          <t>1240 W 6th St, Cleveland, OH</t>
        </is>
      </c>
      <c r="E8" t="inlineStr">
        <is>
          <t>NON-COMPLIANT</t>
        </is>
      </c>
      <c r="F8" t="inlineStr">
        <is>
          <t>Bank Information Sheet</t>
        </is>
      </c>
      <c r="G8" s="63" t="n">
        <v>46074</v>
      </c>
      <c r="H8" t="inlineStr">
        <is>
          <t>/documents/drivers/DRV-001_BANK_INFO.pdf</t>
        </is>
      </c>
      <c r="I8" t="inlineStr">
        <is>
          <t>BANK_INFO</t>
        </is>
      </c>
      <c r="J8" t="inlineStr">
        <is>
          <t>/documents/drivers/DRV-001_BANK_INFO.pdf</t>
        </is>
      </c>
      <c r="K8">
        <f>IF(G8="","MISSING_DATE",IF(G8&lt;TODAY(),"EXPIRED",IF(G8&lt;=TODAY()+30,"EXPIRING_SOON","VALID")))</f>
        <v/>
      </c>
      <c r="L8" t="inlineStr">
        <is>
          <t>DRV-001|BANK_INFO</t>
        </is>
      </c>
      <c r="M8" t="inlineStr">
        <is>
          <t>DRV-001_BANK_INFO.pdf</t>
        </is>
      </c>
      <c r="N8" t="inlineStr">
        <is>
          <t>/drivers/DRV-001.jpg</t>
        </is>
      </c>
      <c r="O8" t="inlineStr">
        <is>
          <t>/images/documents/DRV-001_BANK_INFO.jpg</t>
        </is>
      </c>
    </row>
    <row r="9">
      <c r="A9" t="inlineStr">
        <is>
          <t>DRV-002</t>
        </is>
      </c>
      <c r="B9" t="inlineStr">
        <is>
          <t>Maria Lopez</t>
        </is>
      </c>
      <c r="C9" t="inlineStr">
        <is>
          <t>707-773-6386</t>
        </is>
      </c>
      <c r="D9" t="inlineStr">
        <is>
          <t>450 N Michigan Ave, Chicago, IL</t>
        </is>
      </c>
      <c r="E9" t="inlineStr">
        <is>
          <t>NON-COMPLIANT</t>
        </is>
      </c>
      <c r="F9" t="inlineStr">
        <is>
          <t>Medical Certification Summary</t>
        </is>
      </c>
      <c r="G9" s="63" t="n">
        <v>46264</v>
      </c>
      <c r="H9" t="inlineStr">
        <is>
          <t>/documents/drivers/DRV-002_MEDICAL.pdf</t>
        </is>
      </c>
      <c r="I9" t="inlineStr">
        <is>
          <t>MEDICAL_CARD</t>
        </is>
      </c>
      <c r="J9" t="inlineStr">
        <is>
          <t>/documents/drivers/DRV-002_MEDICAL.pdf</t>
        </is>
      </c>
      <c r="K9">
        <f>IF(G9="","MISSING_DATE",IF(G9&lt;TODAY(),"EXPIRED",IF(G9&lt;=TODAY()+30,"EXPIRING_SOON","VALID")))</f>
        <v/>
      </c>
      <c r="L9" t="inlineStr">
        <is>
          <t>DRV-002|MEDICAL_CARD</t>
        </is>
      </c>
      <c r="M9" t="inlineStr">
        <is>
          <t>DRV-002_MEDICAL.pdf</t>
        </is>
      </c>
      <c r="N9" t="inlineStr">
        <is>
          <t>/drivers/DRV-002.jpg</t>
        </is>
      </c>
      <c r="O9" t="inlineStr">
        <is>
          <t>/images/documents/DRV-002_MEDICAL_CARD.jpg</t>
        </is>
      </c>
    </row>
    <row r="10">
      <c r="A10" t="inlineStr">
        <is>
          <t>DRV-002</t>
        </is>
      </c>
      <c r="B10" t="inlineStr">
        <is>
          <t>Maria Lopez</t>
        </is>
      </c>
      <c r="C10" t="inlineStr">
        <is>
          <t>707-773-6386</t>
        </is>
      </c>
      <c r="D10" t="inlineStr">
        <is>
          <t>450 N Michigan Ave, Chicago, IL</t>
        </is>
      </c>
      <c r="E10" t="inlineStr">
        <is>
          <t>NON-COMPLIANT</t>
        </is>
      </c>
      <c r="F10" t="inlineStr">
        <is>
          <t>Medical Certification Summary</t>
        </is>
      </c>
      <c r="G10" s="63" t="n">
        <v>46264</v>
      </c>
      <c r="H10" t="inlineStr">
        <is>
          <t>/documents/drivers/DRV-002_MEDICAL.pdf</t>
        </is>
      </c>
      <c r="I10" t="inlineStr">
        <is>
          <t>MEDICAL_CARD</t>
        </is>
      </c>
      <c r="J10" t="inlineStr">
        <is>
          <t>/documents/drivers/DRV-002_MEDICAL.pdf</t>
        </is>
      </c>
      <c r="K10">
        <f>IF(G10="","MISSING_DATE",IF(G10&lt;TODAY(),"EXPIRED",IF(G10&lt;=TODAY()+30,"EXPIRING_SOON","VALID")))</f>
        <v/>
      </c>
      <c r="L10" t="inlineStr">
        <is>
          <t>DRV-002|MEDICAL_CARD</t>
        </is>
      </c>
      <c r="M10" t="inlineStr">
        <is>
          <t>DRV-002_MEDICAL.pdf</t>
        </is>
      </c>
      <c r="N10" t="inlineStr">
        <is>
          <t>/drivers/DRV-002.jpg</t>
        </is>
      </c>
      <c r="O10" t="inlineStr">
        <is>
          <t>/images/documents/DRV-002_MEDICAL_CARD.jpg</t>
        </is>
      </c>
    </row>
    <row r="11">
      <c r="A11" t="inlineStr">
        <is>
          <t>DRV-002</t>
        </is>
      </c>
      <c r="B11" t="inlineStr">
        <is>
          <t>Maria Lopez</t>
        </is>
      </c>
      <c r="C11" t="inlineStr">
        <is>
          <t>707-773-6386</t>
        </is>
      </c>
      <c r="D11" t="inlineStr">
        <is>
          <t>450 N Michigan Ave, Chicago, IL</t>
        </is>
      </c>
      <c r="E11" t="inlineStr">
        <is>
          <t>NON-COMPLIANT</t>
        </is>
      </c>
      <c r="F11" t="inlineStr">
        <is>
          <t>MVR Summary</t>
        </is>
      </c>
      <c r="G11" s="63" t="n">
        <v>46037</v>
      </c>
      <c r="H11" t="inlineStr">
        <is>
          <t>/documents/drivers/DRV-002_MVR.pdf</t>
        </is>
      </c>
      <c r="I11" t="inlineStr">
        <is>
          <t>MVR</t>
        </is>
      </c>
      <c r="J11" t="inlineStr">
        <is>
          <t>/documents/drivers/DRV-002_MVR.pdf</t>
        </is>
      </c>
      <c r="K11">
        <f>IF(G11="","MISSING_DATE",IF(G11&lt;TODAY(),"EXPIRED",IF(G11&lt;=TODAY()+30,"EXPIRING_SOON","VALID")))</f>
        <v/>
      </c>
      <c r="L11" t="inlineStr">
        <is>
          <t>DRV-002|MVR</t>
        </is>
      </c>
      <c r="M11" t="inlineStr">
        <is>
          <t>DRV-002_MVR.pdf</t>
        </is>
      </c>
      <c r="N11" t="inlineStr">
        <is>
          <t>/drivers/DRV-002.jpg</t>
        </is>
      </c>
      <c r="O11" t="inlineStr">
        <is>
          <t>/images/documents/DRV-002_MVR.jpg</t>
        </is>
      </c>
    </row>
    <row r="12">
      <c r="A12" t="inlineStr">
        <is>
          <t>DRV-002</t>
        </is>
      </c>
      <c r="B12" t="inlineStr">
        <is>
          <t>Maria Lopez</t>
        </is>
      </c>
      <c r="C12" t="inlineStr">
        <is>
          <t>707-773-6386</t>
        </is>
      </c>
      <c r="D12" t="inlineStr">
        <is>
          <t>450 N Michigan Ave, Chicago, IL</t>
        </is>
      </c>
      <c r="E12" t="inlineStr">
        <is>
          <t>NON-COMPLIANT</t>
        </is>
      </c>
      <c r="F12" t="inlineStr">
        <is>
          <t>Employment Eligibility Summary</t>
        </is>
      </c>
      <c r="G12" s="63" t="n">
        <v>46049</v>
      </c>
      <c r="H12" t="inlineStr">
        <is>
          <t>/documents/drivers/DRV-002_I9.pdf</t>
        </is>
      </c>
      <c r="I12" t="inlineStr">
        <is>
          <t>I9</t>
        </is>
      </c>
      <c r="J12" t="inlineStr">
        <is>
          <t>/documents/drivers/DRV-002_I9.pdf</t>
        </is>
      </c>
      <c r="K12">
        <f>IF(G12="","MISSING_DATE",IF(G12&lt;TODAY(),"EXPIRED",IF(G12&lt;=TODAY()+30,"EXPIRING_SOON","VALID")))</f>
        <v/>
      </c>
      <c r="L12" t="inlineStr">
        <is>
          <t>DRV-002|I9</t>
        </is>
      </c>
      <c r="M12" t="inlineStr">
        <is>
          <t>DRV-002_I9.pdf</t>
        </is>
      </c>
      <c r="N12" t="inlineStr">
        <is>
          <t>/drivers/DRV-002.jpg</t>
        </is>
      </c>
      <c r="O12" t="inlineStr">
        <is>
          <t>/images/documents/DRV-002_I9.jpg</t>
        </is>
      </c>
    </row>
    <row r="13">
      <c r="A13" t="inlineStr">
        <is>
          <t>DRV-002</t>
        </is>
      </c>
      <c r="B13" t="inlineStr">
        <is>
          <t>Maria Lopez</t>
        </is>
      </c>
      <c r="C13" t="inlineStr">
        <is>
          <t>707-773-6386</t>
        </is>
      </c>
      <c r="D13" t="inlineStr">
        <is>
          <t>450 N Michigan Ave, Chicago, IL</t>
        </is>
      </c>
      <c r="E13" t="inlineStr">
        <is>
          <t>NON-COMPLIANT</t>
        </is>
      </c>
      <c r="F13" t="inlineStr">
        <is>
          <t>FMCSA Compliance Summary</t>
        </is>
      </c>
      <c r="G13" s="63" t="n">
        <v>46182</v>
      </c>
      <c r="H13" t="inlineStr">
        <is>
          <t>/documents/drivers/DRV-002_FMCSA.pdf</t>
        </is>
      </c>
      <c r="I13" t="inlineStr">
        <is>
          <t>FMCSA</t>
        </is>
      </c>
      <c r="J13" t="inlineStr">
        <is>
          <t>/documents/drivers/DRV-002_FMCSA.pdf</t>
        </is>
      </c>
      <c r="K13">
        <f>IF(G13="","MISSING_DATE",IF(G13&lt;TODAY(),"EXPIRED",IF(G13&lt;=TODAY()+30,"EXPIRING_SOON","VALID")))</f>
        <v/>
      </c>
      <c r="L13" t="inlineStr">
        <is>
          <t>DRV-002|FMCSA</t>
        </is>
      </c>
      <c r="M13" t="inlineStr">
        <is>
          <t>DRV-002_FMCSA.pdf</t>
        </is>
      </c>
      <c r="N13" t="inlineStr">
        <is>
          <t>/drivers/DRV-002.jpg</t>
        </is>
      </c>
      <c r="O13" t="inlineStr">
        <is>
          <t>/images/documents/DRV-002_FMCSA.jpg</t>
        </is>
      </c>
    </row>
    <row r="14">
      <c r="A14" t="inlineStr">
        <is>
          <t>DRV-002</t>
        </is>
      </c>
      <c r="B14" t="inlineStr">
        <is>
          <t>Maria Lopez</t>
        </is>
      </c>
      <c r="C14" t="inlineStr">
        <is>
          <t>707-773-6386</t>
        </is>
      </c>
      <c r="D14" t="inlineStr">
        <is>
          <t>450 N Michigan Ave, Chicago, IL</t>
        </is>
      </c>
      <c r="E14" t="inlineStr">
        <is>
          <t>NON-COMPLIANT</t>
        </is>
      </c>
      <c r="F14" t="inlineStr">
        <is>
          <t>W-9 Summary</t>
        </is>
      </c>
      <c r="G14" s="63" t="n">
        <v>46043</v>
      </c>
      <c r="H14" t="inlineStr">
        <is>
          <t>/documents/drivers/DRV-002_W9.pdf</t>
        </is>
      </c>
      <c r="I14" t="inlineStr">
        <is>
          <t>W9</t>
        </is>
      </c>
      <c r="J14" t="inlineStr">
        <is>
          <t>/documents/drivers/DRV-002_W9.pdf</t>
        </is>
      </c>
      <c r="K14">
        <f>IF(G14="","MISSING_DATE",IF(G14&lt;TODAY(),"EXPIRED",IF(G14&lt;=TODAY()+30,"EXPIRING_SOON","VALID")))</f>
        <v/>
      </c>
      <c r="L14" t="inlineStr">
        <is>
          <t>DRV-002|W9</t>
        </is>
      </c>
      <c r="M14" t="inlineStr">
        <is>
          <t>DRV-002_W9.pdf</t>
        </is>
      </c>
      <c r="N14" t="inlineStr">
        <is>
          <t>/drivers/DRV-002.jpg</t>
        </is>
      </c>
      <c r="O14" t="inlineStr">
        <is>
          <t>/images/documents/DRV-002_W9.jpg</t>
        </is>
      </c>
    </row>
    <row r="15">
      <c r="A15" t="inlineStr">
        <is>
          <t>DRV-002</t>
        </is>
      </c>
      <c r="B15" t="inlineStr">
        <is>
          <t>Maria Lopez</t>
        </is>
      </c>
      <c r="C15" t="inlineStr">
        <is>
          <t>707-773-6386</t>
        </is>
      </c>
      <c r="D15" t="inlineStr">
        <is>
          <t>450 N Michigan Ave, Chicago, IL</t>
        </is>
      </c>
      <c r="E15" t="inlineStr">
        <is>
          <t>NON-COMPLIANT</t>
        </is>
      </c>
      <c r="F15" t="inlineStr">
        <is>
          <t>Bank Information Sheet</t>
        </is>
      </c>
      <c r="G15" s="63" t="n">
        <v>45997</v>
      </c>
      <c r="H15" t="inlineStr">
        <is>
          <t>/documents/drivers/DRV-002_BANK_INFO.pdf</t>
        </is>
      </c>
      <c r="I15" t="inlineStr">
        <is>
          <t>BANK_INFO</t>
        </is>
      </c>
      <c r="J15" t="inlineStr">
        <is>
          <t>/documents/drivers/DRV-002_BANK_INFO.pdf</t>
        </is>
      </c>
      <c r="K15">
        <f>IF(G15="","MISSING_DATE",IF(G15&lt;TODAY(),"EXPIRED",IF(G15&lt;=TODAY()+30,"EXPIRING_SOON","VALID")))</f>
        <v/>
      </c>
      <c r="L15" t="inlineStr">
        <is>
          <t>DRV-002|BANK_INFO</t>
        </is>
      </c>
      <c r="M15" t="inlineStr">
        <is>
          <t>DRV-002_BANK_INFO.pdf</t>
        </is>
      </c>
      <c r="N15" t="inlineStr">
        <is>
          <t>/drivers/DRV-002.jpg</t>
        </is>
      </c>
      <c r="O15" t="inlineStr">
        <is>
          <t>/images/documents/DRV-002_BANK_INFO.jpg</t>
        </is>
      </c>
    </row>
    <row r="16">
      <c r="A16" t="inlineStr">
        <is>
          <t>DRV-003</t>
        </is>
      </c>
      <c r="B16" t="inlineStr">
        <is>
          <t>Alex Kim</t>
        </is>
      </c>
      <c r="C16" t="inlineStr">
        <is>
          <t>675-486-1335</t>
        </is>
      </c>
      <c r="D16" t="inlineStr">
        <is>
          <t>780 Peachtree St, Atlanta, GA</t>
        </is>
      </c>
      <c r="E16" t="inlineStr">
        <is>
          <t>EXPIRING SOON</t>
        </is>
      </c>
      <c r="F16" t="inlineStr">
        <is>
          <t>CDL Summary</t>
        </is>
      </c>
      <c r="G16" s="63" t="n">
        <v>46121</v>
      </c>
      <c r="H16" t="inlineStr">
        <is>
          <t>/documents/drivers/DRV-003_CDL.pdf</t>
        </is>
      </c>
      <c r="I16" t="inlineStr">
        <is>
          <t>CDL</t>
        </is>
      </c>
      <c r="J16" t="inlineStr">
        <is>
          <t>/documents/drivers/DRV-003_CDL.pdf</t>
        </is>
      </c>
      <c r="K16">
        <f>IF(G16="","MISSING_DATE",IF(G16&lt;TODAY(),"EXPIRED",IF(G16&lt;=TODAY()+30,"EXPIRING_SOON","VALID")))</f>
        <v/>
      </c>
      <c r="L16" t="inlineStr">
        <is>
          <t>DRV-003|CDL</t>
        </is>
      </c>
      <c r="M16" t="inlineStr">
        <is>
          <t>DRV-003_CDL.pdf</t>
        </is>
      </c>
      <c r="N16" t="inlineStr">
        <is>
          <t>/drivers/DRV-003.jpg</t>
        </is>
      </c>
      <c r="O16" t="inlineStr">
        <is>
          <t>/images/documents/DRV-003_CDL.jpg</t>
        </is>
      </c>
    </row>
    <row r="17">
      <c r="A17" t="inlineStr">
        <is>
          <t>DRV-003</t>
        </is>
      </c>
      <c r="B17" t="inlineStr">
        <is>
          <t>Alex Kim</t>
        </is>
      </c>
      <c r="C17" t="inlineStr">
        <is>
          <t>675-486-1335</t>
        </is>
      </c>
      <c r="D17" t="inlineStr">
        <is>
          <t>780 Peachtree St, Atlanta, GA</t>
        </is>
      </c>
      <c r="E17" t="inlineStr">
        <is>
          <t>EXPIRING SOON</t>
        </is>
      </c>
      <c r="F17" t="inlineStr">
        <is>
          <t>Medical Certification Summary</t>
        </is>
      </c>
      <c r="G17" s="63" t="n">
        <v>46239</v>
      </c>
      <c r="H17" t="inlineStr">
        <is>
          <t>/documents/drivers/DRV-003_MEDICAL.pdf</t>
        </is>
      </c>
      <c r="I17" t="inlineStr">
        <is>
          <t>MEDICAL_CARD</t>
        </is>
      </c>
      <c r="J17" t="inlineStr">
        <is>
          <t>/documents/drivers/DRV-003_MEDICAL.pdf</t>
        </is>
      </c>
      <c r="K17">
        <f>IF(G17="","MISSING_DATE",IF(G17&lt;TODAY(),"EXPIRED",IF(G17&lt;=TODAY()+30,"EXPIRING_SOON","VALID")))</f>
        <v/>
      </c>
      <c r="L17" t="inlineStr">
        <is>
          <t>DRV-003|MEDICAL_CARD</t>
        </is>
      </c>
      <c r="M17" t="inlineStr">
        <is>
          <t>DRV-003_MEDICAL.pdf</t>
        </is>
      </c>
      <c r="N17" t="inlineStr">
        <is>
          <t>/drivers/DRV-003.jpg</t>
        </is>
      </c>
      <c r="O17" t="inlineStr">
        <is>
          <t>/images/documents/DRV-003_MEDICAL_CARD.jpg</t>
        </is>
      </c>
    </row>
    <row r="18">
      <c r="A18" t="inlineStr">
        <is>
          <t>DRV-003</t>
        </is>
      </c>
      <c r="B18" t="inlineStr">
        <is>
          <t>Alex Kim</t>
        </is>
      </c>
      <c r="C18" t="inlineStr">
        <is>
          <t>675-486-1335</t>
        </is>
      </c>
      <c r="D18" t="inlineStr">
        <is>
          <t>780 Peachtree St, Atlanta, GA</t>
        </is>
      </c>
      <c r="E18" t="inlineStr">
        <is>
          <t>EXPIRING SOON</t>
        </is>
      </c>
      <c r="F18" t="inlineStr">
        <is>
          <t>MVR Summary</t>
        </is>
      </c>
      <c r="G18" s="63" t="n">
        <v>46107</v>
      </c>
      <c r="H18" t="inlineStr">
        <is>
          <t>/documents/drivers/DRV-003_MVR.pdf</t>
        </is>
      </c>
      <c r="I18" t="inlineStr">
        <is>
          <t>MVR</t>
        </is>
      </c>
      <c r="J18" t="inlineStr">
        <is>
          <t>/documents/drivers/DRV-003_MVR.pdf</t>
        </is>
      </c>
      <c r="K18">
        <f>IF(G18="","MISSING_DATE",IF(G18&lt;TODAY(),"EXPIRED",IF(G18&lt;=TODAY()+30,"EXPIRING_SOON","VALID")))</f>
        <v/>
      </c>
      <c r="L18" t="inlineStr">
        <is>
          <t>DRV-003|MVR</t>
        </is>
      </c>
      <c r="M18" t="inlineStr">
        <is>
          <t>DRV-003_MVR.pdf</t>
        </is>
      </c>
      <c r="N18" t="inlineStr">
        <is>
          <t>/drivers/DRV-003.jpg</t>
        </is>
      </c>
      <c r="O18" t="inlineStr">
        <is>
          <t>/images/documents/DRV-003_MVR.jpg</t>
        </is>
      </c>
    </row>
    <row r="19">
      <c r="A19" t="inlineStr">
        <is>
          <t>DRV-003</t>
        </is>
      </c>
      <c r="B19" t="inlineStr">
        <is>
          <t>Alex Kim</t>
        </is>
      </c>
      <c r="C19" t="inlineStr">
        <is>
          <t>675-486-1335</t>
        </is>
      </c>
      <c r="D19" t="inlineStr">
        <is>
          <t>780 Peachtree St, Atlanta, GA</t>
        </is>
      </c>
      <c r="E19" t="inlineStr">
        <is>
          <t>EXPIRING SOON</t>
        </is>
      </c>
      <c r="F19" t="inlineStr">
        <is>
          <t>Employment Eligibility Summary</t>
        </is>
      </c>
      <c r="G19" s="63" t="n">
        <v>46038</v>
      </c>
      <c r="H19" t="inlineStr">
        <is>
          <t>/documents/drivers/DRV-003_I9.pdf</t>
        </is>
      </c>
      <c r="I19" t="inlineStr">
        <is>
          <t>I9</t>
        </is>
      </c>
      <c r="J19" t="inlineStr">
        <is>
          <t>/documents/drivers/DRV-003_I9.pdf</t>
        </is>
      </c>
      <c r="K19">
        <f>IF(G19="","MISSING_DATE",IF(G19&lt;TODAY(),"EXPIRED",IF(G19&lt;=TODAY()+30,"EXPIRING_SOON","VALID")))</f>
        <v/>
      </c>
      <c r="L19" t="inlineStr">
        <is>
          <t>DRV-003|I9</t>
        </is>
      </c>
      <c r="M19" t="inlineStr">
        <is>
          <t>DRV-003_I9.pdf</t>
        </is>
      </c>
      <c r="N19" t="inlineStr">
        <is>
          <t>/drivers/DRV-003.jpg</t>
        </is>
      </c>
      <c r="O19" t="inlineStr">
        <is>
          <t>/images/documents/DRV-003_I9.jpg</t>
        </is>
      </c>
    </row>
    <row r="20">
      <c r="A20" t="inlineStr">
        <is>
          <t>DRV-003</t>
        </is>
      </c>
      <c r="B20" t="inlineStr">
        <is>
          <t>Alex Kim</t>
        </is>
      </c>
      <c r="C20" t="inlineStr">
        <is>
          <t>675-486-1335</t>
        </is>
      </c>
      <c r="D20" t="inlineStr">
        <is>
          <t>780 Peachtree St, Atlanta, GA</t>
        </is>
      </c>
      <c r="E20" t="inlineStr">
        <is>
          <t>EXPIRING SOON</t>
        </is>
      </c>
      <c r="F20" t="inlineStr">
        <is>
          <t>FMCSA Compliance Summary</t>
        </is>
      </c>
      <c r="G20" s="63" t="n">
        <v>46031</v>
      </c>
      <c r="H20" t="inlineStr">
        <is>
          <t>/documents/drivers/DRV-003_FMCSA.pdf</t>
        </is>
      </c>
      <c r="I20" t="inlineStr">
        <is>
          <t>FMCSA</t>
        </is>
      </c>
      <c r="J20" t="inlineStr">
        <is>
          <t>/documents/drivers/DRV-003_FMCSA.pdf</t>
        </is>
      </c>
      <c r="K20">
        <f>IF(G20="","MISSING_DATE",IF(G20&lt;TODAY(),"EXPIRED",IF(G20&lt;=TODAY()+30,"EXPIRING_SOON","VALID")))</f>
        <v/>
      </c>
      <c r="L20" t="inlineStr">
        <is>
          <t>DRV-003|FMCSA</t>
        </is>
      </c>
      <c r="M20" t="inlineStr">
        <is>
          <t>DRV-003_FMCSA.pdf</t>
        </is>
      </c>
      <c r="N20" t="inlineStr">
        <is>
          <t>/drivers/DRV-003.jpg</t>
        </is>
      </c>
      <c r="O20" t="inlineStr">
        <is>
          <t>/images/documents/DRV-003_FMCSA.jpg</t>
        </is>
      </c>
    </row>
    <row r="21">
      <c r="A21" t="inlineStr">
        <is>
          <t>DRV-003</t>
        </is>
      </c>
      <c r="B21" t="inlineStr">
        <is>
          <t>Alex Kim</t>
        </is>
      </c>
      <c r="C21" t="inlineStr">
        <is>
          <t>675-486-1335</t>
        </is>
      </c>
      <c r="D21" t="inlineStr">
        <is>
          <t>780 Peachtree St, Atlanta, GA</t>
        </is>
      </c>
      <c r="E21" t="inlineStr">
        <is>
          <t>EXPIRING SOON</t>
        </is>
      </c>
      <c r="F21" t="inlineStr">
        <is>
          <t>W-9 Summary</t>
        </is>
      </c>
      <c r="G21" s="63" t="n">
        <v>46203</v>
      </c>
      <c r="H21" t="inlineStr">
        <is>
          <t>/documents/drivers/DRV-003_W9.pdf</t>
        </is>
      </c>
      <c r="I21" t="inlineStr">
        <is>
          <t>W9</t>
        </is>
      </c>
      <c r="J21" t="inlineStr">
        <is>
          <t>/documents/drivers/DRV-003_W9.pdf</t>
        </is>
      </c>
      <c r="K21">
        <f>IF(G21="","MISSING_DATE",IF(G21&lt;TODAY(),"EXPIRED",IF(G21&lt;=TODAY()+30,"EXPIRING_SOON","VALID")))</f>
        <v/>
      </c>
      <c r="L21" t="inlineStr">
        <is>
          <t>DRV-003|W9</t>
        </is>
      </c>
      <c r="M21" t="inlineStr">
        <is>
          <t>DRV-003_W9.pdf</t>
        </is>
      </c>
      <c r="N21" t="inlineStr">
        <is>
          <t>/drivers/DRV-003.jpg</t>
        </is>
      </c>
      <c r="O21" t="inlineStr">
        <is>
          <t>/images/documents/DRV-003_W9.jpg</t>
        </is>
      </c>
    </row>
    <row r="22">
      <c r="A22" t="inlineStr">
        <is>
          <t>DRV-003</t>
        </is>
      </c>
      <c r="B22" t="inlineStr">
        <is>
          <t>Alex Kim</t>
        </is>
      </c>
      <c r="C22" t="inlineStr">
        <is>
          <t>675-486-1335</t>
        </is>
      </c>
      <c r="D22" t="inlineStr">
        <is>
          <t>780 Peachtree St, Atlanta, GA</t>
        </is>
      </c>
      <c r="E22" t="inlineStr">
        <is>
          <t>EXPIRING SOON</t>
        </is>
      </c>
      <c r="F22" t="inlineStr">
        <is>
          <t>Bank Information Sheet</t>
        </is>
      </c>
      <c r="G22" s="63" t="n">
        <v>46015</v>
      </c>
      <c r="H22" t="inlineStr">
        <is>
          <t>/documents/drivers/DRV-003_BANK_INFO.pdf</t>
        </is>
      </c>
      <c r="I22" t="inlineStr">
        <is>
          <t>BANK_INFO</t>
        </is>
      </c>
      <c r="J22" t="inlineStr">
        <is>
          <t>/documents/drivers/DRV-003_BANK_INFO.pdf</t>
        </is>
      </c>
      <c r="K22">
        <f>IF(G22="","MISSING_DATE",IF(G22&lt;TODAY(),"EXPIRED",IF(G22&lt;=TODAY()+30,"EXPIRING_SOON","VALID")))</f>
        <v/>
      </c>
      <c r="L22" t="inlineStr">
        <is>
          <t>DRV-003|BANK_INFO</t>
        </is>
      </c>
      <c r="M22" t="inlineStr">
        <is>
          <t>DRV-003_BANK_INFO.pdf</t>
        </is>
      </c>
      <c r="N22" t="inlineStr">
        <is>
          <t>/drivers/DRV-003.jpg</t>
        </is>
      </c>
      <c r="O22" t="inlineStr">
        <is>
          <t>/images/documents/DRV-003_BANK_INFO.jpg</t>
        </is>
      </c>
    </row>
    <row r="23">
      <c r="A23" t="inlineStr">
        <is>
          <t>DRV-004</t>
        </is>
      </c>
      <c r="B23" t="inlineStr">
        <is>
          <t>Priya Patel</t>
        </is>
      </c>
      <c r="C23" t="inlineStr">
        <is>
          <t>359-469-5960</t>
        </is>
      </c>
      <c r="D23" t="inlineStr">
        <is>
          <t>2200 Superior Ave, Cleveland, OH</t>
        </is>
      </c>
      <c r="E23" t="inlineStr">
        <is>
          <t>EXPIRING SOON</t>
        </is>
      </c>
      <c r="F23" t="inlineStr">
        <is>
          <t>CDL Summary</t>
        </is>
      </c>
      <c r="G23" s="63" t="n">
        <v>46097</v>
      </c>
      <c r="H23" t="inlineStr">
        <is>
          <t>/documents/drivers/DRV-004_CDL.pdf</t>
        </is>
      </c>
      <c r="I23" t="inlineStr">
        <is>
          <t>CDL</t>
        </is>
      </c>
      <c r="J23" t="inlineStr">
        <is>
          <t>/documents/drivers/DRV-004_CDL.pdf</t>
        </is>
      </c>
      <c r="K23">
        <f>IF(G23="","MISSING_DATE",IF(G23&lt;TODAY(),"EXPIRED",IF(G23&lt;=TODAY()+30,"EXPIRING_SOON","VALID")))</f>
        <v/>
      </c>
      <c r="L23" t="inlineStr">
        <is>
          <t>DRV-004|CDL</t>
        </is>
      </c>
      <c r="M23" t="inlineStr">
        <is>
          <t>DRV-004_CDL.pdf</t>
        </is>
      </c>
      <c r="N23" t="inlineStr">
        <is>
          <t>/drivers/DRV-004.jpg</t>
        </is>
      </c>
      <c r="O23" t="inlineStr">
        <is>
          <t>/images/documents/DRV-004_CDL.jpg</t>
        </is>
      </c>
    </row>
    <row r="24">
      <c r="A24" t="inlineStr">
        <is>
          <t>DRV-004</t>
        </is>
      </c>
      <c r="B24" t="inlineStr">
        <is>
          <t>Priya Patel</t>
        </is>
      </c>
      <c r="C24" t="inlineStr">
        <is>
          <t>359-469-5960</t>
        </is>
      </c>
      <c r="D24" t="inlineStr">
        <is>
          <t>2200 Superior Ave, Cleveland, OH</t>
        </is>
      </c>
      <c r="E24" t="inlineStr">
        <is>
          <t>EXPIRING SOON</t>
        </is>
      </c>
      <c r="F24" t="inlineStr">
        <is>
          <t>Medical Certification Summary</t>
        </is>
      </c>
      <c r="G24" s="63" t="n">
        <v>46249</v>
      </c>
      <c r="H24" t="inlineStr">
        <is>
          <t>/documents/drivers/DRV-004_MEDICAL.pdf</t>
        </is>
      </c>
      <c r="I24" t="inlineStr">
        <is>
          <t>MEDICAL_CARD</t>
        </is>
      </c>
      <c r="J24" t="inlineStr">
        <is>
          <t>/documents/drivers/DRV-004_MEDICAL.pdf</t>
        </is>
      </c>
      <c r="K24">
        <f>IF(G24="","MISSING_DATE",IF(G24&lt;TODAY(),"EXPIRED",IF(G24&lt;=TODAY()+30,"EXPIRING_SOON","VALID")))</f>
        <v/>
      </c>
      <c r="L24" t="inlineStr">
        <is>
          <t>DRV-004|MEDICAL_CARD</t>
        </is>
      </c>
      <c r="M24" t="inlineStr">
        <is>
          <t>DRV-004_MEDICAL.pdf</t>
        </is>
      </c>
      <c r="N24" t="inlineStr">
        <is>
          <t>/drivers/DRV-004.jpg</t>
        </is>
      </c>
      <c r="O24" t="inlineStr">
        <is>
          <t>/images/documents/DRV-004_MEDICAL_CARD.jpg</t>
        </is>
      </c>
    </row>
    <row r="25">
      <c r="A25" t="inlineStr">
        <is>
          <t>DRV-004</t>
        </is>
      </c>
      <c r="B25" t="inlineStr">
        <is>
          <t>Priya Patel</t>
        </is>
      </c>
      <c r="C25" t="inlineStr">
        <is>
          <t>359-469-5960</t>
        </is>
      </c>
      <c r="D25" t="inlineStr">
        <is>
          <t>2200 Superior Ave, Cleveland, OH</t>
        </is>
      </c>
      <c r="E25" t="inlineStr">
        <is>
          <t>EXPIRING SOON</t>
        </is>
      </c>
      <c r="F25" t="inlineStr">
        <is>
          <t>MVR Summary</t>
        </is>
      </c>
      <c r="G25" s="63" t="n">
        <v>46254</v>
      </c>
      <c r="H25" t="inlineStr">
        <is>
          <t>/documents/drivers/DRV-004_MVR.pdf</t>
        </is>
      </c>
      <c r="I25" t="inlineStr">
        <is>
          <t>MVR</t>
        </is>
      </c>
      <c r="J25" t="inlineStr">
        <is>
          <t>/documents/drivers/DRV-004_MVR.pdf</t>
        </is>
      </c>
      <c r="K25">
        <f>IF(G25="","MISSING_DATE",IF(G25&lt;TODAY(),"EXPIRED",IF(G25&lt;=TODAY()+30,"EXPIRING_SOON","VALID")))</f>
        <v/>
      </c>
      <c r="L25" t="inlineStr">
        <is>
          <t>DRV-004|MVR</t>
        </is>
      </c>
      <c r="M25" t="inlineStr">
        <is>
          <t>DRV-004_MVR.pdf</t>
        </is>
      </c>
      <c r="N25" t="inlineStr">
        <is>
          <t>/drivers/DRV-004.jpg</t>
        </is>
      </c>
      <c r="O25" t="inlineStr">
        <is>
          <t>/images/documents/DRV-004_MVR.jpg</t>
        </is>
      </c>
    </row>
    <row r="26">
      <c r="A26" t="inlineStr">
        <is>
          <t>DRV-004</t>
        </is>
      </c>
      <c r="B26" t="inlineStr">
        <is>
          <t>Priya Patel</t>
        </is>
      </c>
      <c r="C26" t="inlineStr">
        <is>
          <t>359-469-5960</t>
        </is>
      </c>
      <c r="D26" t="inlineStr">
        <is>
          <t>2200 Superior Ave, Cleveland, OH</t>
        </is>
      </c>
      <c r="E26" t="inlineStr">
        <is>
          <t>EXPIRING SOON</t>
        </is>
      </c>
      <c r="F26" t="inlineStr">
        <is>
          <t>Employment Eligibility Summary</t>
        </is>
      </c>
      <c r="G26" s="63" t="n">
        <v>45976</v>
      </c>
      <c r="H26" t="inlineStr">
        <is>
          <t>/documents/drivers/DRV-004_I9.pdf</t>
        </is>
      </c>
      <c r="I26" t="inlineStr">
        <is>
          <t>I9</t>
        </is>
      </c>
      <c r="J26" t="inlineStr">
        <is>
          <t>/documents/drivers/DRV-004_I9.pdf</t>
        </is>
      </c>
      <c r="K26">
        <f>IF(G26="","MISSING_DATE",IF(G26&lt;TODAY(),"EXPIRED",IF(G26&lt;=TODAY()+30,"EXPIRING_SOON","VALID")))</f>
        <v/>
      </c>
      <c r="L26" t="inlineStr">
        <is>
          <t>DRV-004|I9</t>
        </is>
      </c>
      <c r="M26" t="inlineStr">
        <is>
          <t>DRV-004_I9.pdf</t>
        </is>
      </c>
      <c r="N26" t="inlineStr">
        <is>
          <t>/drivers/DRV-004.jpg</t>
        </is>
      </c>
      <c r="O26" t="inlineStr">
        <is>
          <t>/images/documents/DRV-004_I9.jpg</t>
        </is>
      </c>
    </row>
    <row r="27">
      <c r="A27" t="inlineStr">
        <is>
          <t>DRV-004</t>
        </is>
      </c>
      <c r="B27" t="inlineStr">
        <is>
          <t>Priya Patel</t>
        </is>
      </c>
      <c r="C27" t="inlineStr">
        <is>
          <t>359-469-5960</t>
        </is>
      </c>
      <c r="D27" t="inlineStr">
        <is>
          <t>2200 Superior Ave, Cleveland, OH</t>
        </is>
      </c>
      <c r="E27" t="inlineStr">
        <is>
          <t>EXPIRING SOON</t>
        </is>
      </c>
      <c r="F27" t="inlineStr">
        <is>
          <t>FMCSA Compliance Summary</t>
        </is>
      </c>
      <c r="G27" s="63" t="n">
        <v>46076</v>
      </c>
      <c r="H27" t="inlineStr">
        <is>
          <t>/documents/drivers/DRV-004_FMCSA.pdf</t>
        </is>
      </c>
      <c r="I27" t="inlineStr">
        <is>
          <t>FMCSA</t>
        </is>
      </c>
      <c r="J27" t="inlineStr">
        <is>
          <t>/documents/drivers/DRV-004_FMCSA.pdf</t>
        </is>
      </c>
      <c r="K27">
        <f>IF(G27="","MISSING_DATE",IF(G27&lt;TODAY(),"EXPIRED",IF(G27&lt;=TODAY()+30,"EXPIRING_SOON","VALID")))</f>
        <v/>
      </c>
      <c r="L27" t="inlineStr">
        <is>
          <t>DRV-004|FMCSA</t>
        </is>
      </c>
      <c r="M27" t="inlineStr">
        <is>
          <t>DRV-004_FMCSA.pdf</t>
        </is>
      </c>
      <c r="N27" t="inlineStr">
        <is>
          <t>/drivers/DRV-004.jpg</t>
        </is>
      </c>
      <c r="O27" t="inlineStr">
        <is>
          <t>/images/documents/DRV-004_FMCSA.jpg</t>
        </is>
      </c>
    </row>
    <row r="28">
      <c r="A28" t="inlineStr">
        <is>
          <t>DRV-004</t>
        </is>
      </c>
      <c r="B28" t="inlineStr">
        <is>
          <t>Priya Patel</t>
        </is>
      </c>
      <c r="C28" t="inlineStr">
        <is>
          <t>359-469-5960</t>
        </is>
      </c>
      <c r="D28" t="inlineStr">
        <is>
          <t>2200 Superior Ave, Cleveland, OH</t>
        </is>
      </c>
      <c r="E28" t="inlineStr">
        <is>
          <t>EXPIRING SOON</t>
        </is>
      </c>
      <c r="F28" t="inlineStr">
        <is>
          <t>W-9 Summary</t>
        </is>
      </c>
      <c r="G28" s="63" t="n">
        <v>46165</v>
      </c>
      <c r="H28" t="inlineStr">
        <is>
          <t>/documents/drivers/DRV-004_W9.pdf</t>
        </is>
      </c>
      <c r="I28" t="inlineStr">
        <is>
          <t>W9</t>
        </is>
      </c>
      <c r="J28" t="inlineStr">
        <is>
          <t>/documents/drivers/DRV-004_W9.pdf</t>
        </is>
      </c>
      <c r="K28">
        <f>IF(G28="","MISSING_DATE",IF(G28&lt;TODAY(),"EXPIRED",IF(G28&lt;=TODAY()+30,"EXPIRING_SOON","VALID")))</f>
        <v/>
      </c>
      <c r="L28" t="inlineStr">
        <is>
          <t>DRV-004|W9</t>
        </is>
      </c>
      <c r="M28" t="inlineStr">
        <is>
          <t>DRV-004_W9.pdf</t>
        </is>
      </c>
      <c r="N28" t="inlineStr">
        <is>
          <t>/drivers/DRV-004.jpg</t>
        </is>
      </c>
      <c r="O28" t="inlineStr">
        <is>
          <t>/images/documents/DRV-004_W9.jpg</t>
        </is>
      </c>
    </row>
    <row r="29">
      <c r="A29" t="inlineStr">
        <is>
          <t>DRV-004</t>
        </is>
      </c>
      <c r="B29" t="inlineStr">
        <is>
          <t>Priya Patel</t>
        </is>
      </c>
      <c r="C29" t="inlineStr">
        <is>
          <t>359-469-5960</t>
        </is>
      </c>
      <c r="D29" t="inlineStr">
        <is>
          <t>2200 Superior Ave, Cleveland, OH</t>
        </is>
      </c>
      <c r="E29" t="inlineStr">
        <is>
          <t>EXPIRING SOON</t>
        </is>
      </c>
      <c r="F29" t="inlineStr">
        <is>
          <t>Bank Information Sheet</t>
        </is>
      </c>
      <c r="G29" s="63" t="n">
        <v>46021</v>
      </c>
      <c r="H29" t="inlineStr">
        <is>
          <t>/documents/drivers/DRV-004_BANK_INFO.pdf</t>
        </is>
      </c>
      <c r="I29" t="inlineStr">
        <is>
          <t>BANK_INFO</t>
        </is>
      </c>
      <c r="J29" t="inlineStr">
        <is>
          <t>/documents/drivers/DRV-004_BANK_INFO.pdf</t>
        </is>
      </c>
      <c r="K29">
        <f>IF(G29="","MISSING_DATE",IF(G29&lt;TODAY(),"EXPIRED",IF(G29&lt;=TODAY()+30,"EXPIRING_SOON","VALID")))</f>
        <v/>
      </c>
      <c r="L29" t="inlineStr">
        <is>
          <t>DRV-004|BANK_INFO</t>
        </is>
      </c>
      <c r="M29" t="inlineStr">
        <is>
          <t>DRV-004_BANK_INFO.pdf</t>
        </is>
      </c>
      <c r="N29" t="inlineStr">
        <is>
          <t>/drivers/DRV-004.jpg</t>
        </is>
      </c>
      <c r="O29" t="inlineStr">
        <is>
          <t>/images/documents/DRV-004_BANK_INFO.jpg</t>
        </is>
      </c>
    </row>
    <row r="30">
      <c r="A30" t="inlineStr">
        <is>
          <t>DRV-005</t>
        </is>
      </c>
      <c r="B30" t="inlineStr">
        <is>
          <t>Kenji Tanaka</t>
        </is>
      </c>
      <c r="C30" t="inlineStr">
        <is>
          <t>871-429-6220</t>
        </is>
      </c>
      <c r="D30" t="inlineStr">
        <is>
          <t>115 E Broad St, Columbus, OH</t>
        </is>
      </c>
      <c r="E30" t="inlineStr">
        <is>
          <t>VALID</t>
        </is>
      </c>
      <c r="F30" t="inlineStr">
        <is>
          <t>CDL Summary</t>
        </is>
      </c>
      <c r="G30" s="63" t="n">
        <v>46021</v>
      </c>
      <c r="H30" t="inlineStr">
        <is>
          <t>/documents/drivers/DRV-005_CDL.pdf</t>
        </is>
      </c>
      <c r="I30" t="inlineStr">
        <is>
          <t>CDL</t>
        </is>
      </c>
      <c r="J30" t="inlineStr">
        <is>
          <t>/documents/drivers/DRV-005_CDL.pdf</t>
        </is>
      </c>
      <c r="K30">
        <f>IF(G30="","MISSING_DATE",IF(G30&lt;TODAY(),"EXPIRED",IF(G30&lt;=TODAY()+30,"EXPIRING_SOON","VALID")))</f>
        <v/>
      </c>
      <c r="L30" t="inlineStr">
        <is>
          <t>DRV-005|CDL</t>
        </is>
      </c>
      <c r="M30" t="inlineStr">
        <is>
          <t>DRV-005_CDL.pdf</t>
        </is>
      </c>
      <c r="N30" t="inlineStr">
        <is>
          <t>/drivers/DRV-005.jpg</t>
        </is>
      </c>
      <c r="O30" t="inlineStr">
        <is>
          <t>/images/documents/DRV-005_CDL.jpg</t>
        </is>
      </c>
    </row>
    <row r="31">
      <c r="A31" t="inlineStr">
        <is>
          <t>DRV-005</t>
        </is>
      </c>
      <c r="B31" t="inlineStr">
        <is>
          <t>Kenji Tanaka</t>
        </is>
      </c>
      <c r="C31" t="inlineStr">
        <is>
          <t>871-429-6220</t>
        </is>
      </c>
      <c r="D31" t="inlineStr">
        <is>
          <t>115 E Broad St, Columbus, OH</t>
        </is>
      </c>
      <c r="E31" t="inlineStr">
        <is>
          <t>VALID</t>
        </is>
      </c>
      <c r="F31" t="inlineStr">
        <is>
          <t>Medical Certification Summary</t>
        </is>
      </c>
      <c r="G31" s="63" t="n">
        <v>45977</v>
      </c>
      <c r="H31" t="inlineStr">
        <is>
          <t>/documents/drivers/DRV-005_MEDICAL.pdf</t>
        </is>
      </c>
      <c r="I31" t="inlineStr">
        <is>
          <t>MEDICAL_CARD</t>
        </is>
      </c>
      <c r="J31" t="inlineStr">
        <is>
          <t>/documents/drivers/DRV-005_MEDICAL.pdf</t>
        </is>
      </c>
      <c r="K31">
        <f>IF(G31="","MISSING_DATE",IF(G31&lt;TODAY(),"EXPIRED",IF(G31&lt;=TODAY()+30,"EXPIRING_SOON","VALID")))</f>
        <v/>
      </c>
      <c r="L31" t="inlineStr">
        <is>
          <t>DRV-005|MEDICAL_CARD</t>
        </is>
      </c>
      <c r="M31" t="inlineStr">
        <is>
          <t>DRV-005_MEDICAL.pdf</t>
        </is>
      </c>
      <c r="N31" t="inlineStr">
        <is>
          <t>/drivers/DRV-005.jpg</t>
        </is>
      </c>
      <c r="O31" t="inlineStr">
        <is>
          <t>/images/documents/DRV-005_MEDICAL_CARD.jpg</t>
        </is>
      </c>
    </row>
    <row r="32">
      <c r="A32" t="inlineStr">
        <is>
          <t>DRV-005</t>
        </is>
      </c>
      <c r="B32" t="inlineStr">
        <is>
          <t>Kenji Tanaka</t>
        </is>
      </c>
      <c r="C32" t="inlineStr">
        <is>
          <t>871-429-6220</t>
        </is>
      </c>
      <c r="D32" t="inlineStr">
        <is>
          <t>115 E Broad St, Columbus, OH</t>
        </is>
      </c>
      <c r="E32" t="inlineStr">
        <is>
          <t>VALID</t>
        </is>
      </c>
      <c r="F32" t="inlineStr">
        <is>
          <t>MVR Summary</t>
        </is>
      </c>
      <c r="G32" s="63" t="n">
        <v>46052</v>
      </c>
      <c r="H32" t="inlineStr">
        <is>
          <t>/documents/drivers/DRV-005_MVR.pdf</t>
        </is>
      </c>
      <c r="I32" t="inlineStr">
        <is>
          <t>MVR</t>
        </is>
      </c>
      <c r="J32" t="inlineStr">
        <is>
          <t>/documents/drivers/DRV-005_MVR.pdf</t>
        </is>
      </c>
      <c r="K32">
        <f>IF(G32="","MISSING_DATE",IF(G32&lt;TODAY(),"EXPIRED",IF(G32&lt;=TODAY()+30,"EXPIRING_SOON","VALID")))</f>
        <v/>
      </c>
      <c r="L32" t="inlineStr">
        <is>
          <t>DRV-005|MVR</t>
        </is>
      </c>
      <c r="M32" t="inlineStr">
        <is>
          <t>DRV-005_MVR.pdf</t>
        </is>
      </c>
      <c r="N32" t="inlineStr">
        <is>
          <t>/drivers/DRV-005.jpg</t>
        </is>
      </c>
      <c r="O32" t="inlineStr">
        <is>
          <t>/images/documents/DRV-005_MVR.jpg</t>
        </is>
      </c>
    </row>
    <row r="33">
      <c r="A33" t="inlineStr">
        <is>
          <t>DRV-005</t>
        </is>
      </c>
      <c r="B33" t="inlineStr">
        <is>
          <t>Kenji Tanaka</t>
        </is>
      </c>
      <c r="C33" t="inlineStr">
        <is>
          <t>871-429-6220</t>
        </is>
      </c>
      <c r="D33" t="inlineStr">
        <is>
          <t>115 E Broad St, Columbus, OH</t>
        </is>
      </c>
      <c r="E33" t="inlineStr">
        <is>
          <t>VALID</t>
        </is>
      </c>
      <c r="F33" t="inlineStr">
        <is>
          <t>Employment Eligibility Summary</t>
        </is>
      </c>
      <c r="G33" s="63" t="n">
        <v>46246</v>
      </c>
      <c r="H33" t="inlineStr">
        <is>
          <t>/documents/drivers/DRV-005_I9.pdf</t>
        </is>
      </c>
      <c r="I33" t="inlineStr">
        <is>
          <t>I9</t>
        </is>
      </c>
      <c r="J33" t="inlineStr">
        <is>
          <t>/documents/drivers/DRV-005_I9.pdf</t>
        </is>
      </c>
      <c r="K33">
        <f>IF(G33="","MISSING_DATE",IF(G33&lt;TODAY(),"EXPIRED",IF(G33&lt;=TODAY()+30,"EXPIRING_SOON","VALID")))</f>
        <v/>
      </c>
      <c r="L33" t="inlineStr">
        <is>
          <t>DRV-005|I9</t>
        </is>
      </c>
      <c r="M33" t="inlineStr">
        <is>
          <t>DRV-005_I9.pdf</t>
        </is>
      </c>
      <c r="N33" t="inlineStr">
        <is>
          <t>/drivers/DRV-005.jpg</t>
        </is>
      </c>
      <c r="O33" t="inlineStr">
        <is>
          <t>/images/documents/DRV-005_I9.jpg</t>
        </is>
      </c>
    </row>
    <row r="34">
      <c r="A34" t="inlineStr">
        <is>
          <t>DRV-005</t>
        </is>
      </c>
      <c r="B34" t="inlineStr">
        <is>
          <t>Kenji Tanaka</t>
        </is>
      </c>
      <c r="C34" t="inlineStr">
        <is>
          <t>871-429-6220</t>
        </is>
      </c>
      <c r="D34" t="inlineStr">
        <is>
          <t>115 E Broad St, Columbus, OH</t>
        </is>
      </c>
      <c r="E34" t="inlineStr">
        <is>
          <t>VALID</t>
        </is>
      </c>
      <c r="F34" t="inlineStr">
        <is>
          <t>FMCSA Compliance Summary</t>
        </is>
      </c>
      <c r="G34" s="63" t="n">
        <v>46193</v>
      </c>
      <c r="H34" t="inlineStr">
        <is>
          <t>/documents/drivers/DRV-005_FMCSA.pdf</t>
        </is>
      </c>
      <c r="I34" t="inlineStr">
        <is>
          <t>FMCSA</t>
        </is>
      </c>
      <c r="J34" t="inlineStr">
        <is>
          <t>/documents/drivers/DRV-005_FMCSA.pdf</t>
        </is>
      </c>
      <c r="K34">
        <f>IF(G34="","MISSING_DATE",IF(G34&lt;TODAY(),"EXPIRED",IF(G34&lt;=TODAY()+30,"EXPIRING_SOON","VALID")))</f>
        <v/>
      </c>
      <c r="L34" t="inlineStr">
        <is>
          <t>DRV-005|FMCSA</t>
        </is>
      </c>
      <c r="M34" t="inlineStr">
        <is>
          <t>DRV-005_FMCSA.pdf</t>
        </is>
      </c>
      <c r="N34" t="inlineStr">
        <is>
          <t>/drivers/DRV-005.jpg</t>
        </is>
      </c>
      <c r="O34" t="inlineStr">
        <is>
          <t>/images/documents/DRV-005_FMCSA.jpg</t>
        </is>
      </c>
    </row>
    <row r="35">
      <c r="A35" t="inlineStr">
        <is>
          <t>DRV-005</t>
        </is>
      </c>
      <c r="B35" t="inlineStr">
        <is>
          <t>Kenji Tanaka</t>
        </is>
      </c>
      <c r="C35" t="inlineStr">
        <is>
          <t>871-429-6220</t>
        </is>
      </c>
      <c r="D35" t="inlineStr">
        <is>
          <t>115 E Broad St, Columbus, OH</t>
        </is>
      </c>
      <c r="E35" t="inlineStr">
        <is>
          <t>VALID</t>
        </is>
      </c>
      <c r="F35" t="inlineStr">
        <is>
          <t>W-9 Summary</t>
        </is>
      </c>
      <c r="G35" s="63" t="n">
        <v>46091</v>
      </c>
      <c r="H35" t="inlineStr">
        <is>
          <t>/documents/drivers/DRV-005_W9.pdf</t>
        </is>
      </c>
      <c r="I35" t="inlineStr">
        <is>
          <t>W9</t>
        </is>
      </c>
      <c r="J35" t="inlineStr">
        <is>
          <t>/documents/drivers/DRV-005_W9.pdf</t>
        </is>
      </c>
      <c r="K35">
        <f>IF(G35="","MISSING_DATE",IF(G35&lt;TODAY(),"EXPIRED",IF(G35&lt;=TODAY()+30,"EXPIRING_SOON","VALID")))</f>
        <v/>
      </c>
      <c r="L35" t="inlineStr">
        <is>
          <t>DRV-005|W9</t>
        </is>
      </c>
      <c r="M35" t="inlineStr">
        <is>
          <t>DRV-005_W9.pdf</t>
        </is>
      </c>
      <c r="N35" t="inlineStr">
        <is>
          <t>/drivers/DRV-005.jpg</t>
        </is>
      </c>
      <c r="O35" t="inlineStr">
        <is>
          <t>/images/documents/DRV-005_W9.jpg</t>
        </is>
      </c>
    </row>
    <row r="36">
      <c r="A36" t="inlineStr">
        <is>
          <t>DRV-005</t>
        </is>
      </c>
      <c r="B36" t="inlineStr">
        <is>
          <t>Kenji Tanaka</t>
        </is>
      </c>
      <c r="C36" t="inlineStr">
        <is>
          <t>871-429-6220</t>
        </is>
      </c>
      <c r="D36" t="inlineStr">
        <is>
          <t>115 E Broad St, Columbus, OH</t>
        </is>
      </c>
      <c r="E36" t="inlineStr">
        <is>
          <t>VALID</t>
        </is>
      </c>
      <c r="F36" t="inlineStr">
        <is>
          <t>Bank Information Sheet</t>
        </is>
      </c>
      <c r="G36" s="63" t="n">
        <v>46227</v>
      </c>
      <c r="H36" t="inlineStr">
        <is>
          <t>/documents/drivers/DRV-005_BANK_INFO.pdf</t>
        </is>
      </c>
      <c r="I36" t="inlineStr">
        <is>
          <t>BANK_INFO</t>
        </is>
      </c>
      <c r="J36" t="inlineStr">
        <is>
          <t>/documents/drivers/DRV-005_BANK_INFO.pdf</t>
        </is>
      </c>
      <c r="K36">
        <f>IF(G36="","MISSING_DATE",IF(G36&lt;TODAY(),"EXPIRED",IF(G36&lt;=TODAY()+30,"EXPIRING_SOON","VALID")))</f>
        <v/>
      </c>
      <c r="L36" t="inlineStr">
        <is>
          <t>DRV-005|BANK_INFO</t>
        </is>
      </c>
      <c r="M36" t="inlineStr">
        <is>
          <t>DRV-005_BANK_INFO.pdf</t>
        </is>
      </c>
      <c r="N36" t="inlineStr">
        <is>
          <t>/drivers/DRV-005.jpg</t>
        </is>
      </c>
      <c r="O36" t="inlineStr">
        <is>
          <t>/images/documents/DRV-005_BANK_INFO.jpg</t>
        </is>
      </c>
    </row>
    <row r="37">
      <c r="A37" t="inlineStr">
        <is>
          <t>DRV-006</t>
        </is>
      </c>
      <c r="B37" t="inlineStr">
        <is>
          <t>Marcus Chen</t>
        </is>
      </c>
      <c r="C37" t="inlineStr">
        <is>
          <t>283-876-4322</t>
        </is>
      </c>
      <c r="D37" t="inlineStr">
        <is>
          <t>500 Pacific Ave, Dallas, TX</t>
        </is>
      </c>
      <c r="E37" t="inlineStr">
        <is>
          <t>VALID</t>
        </is>
      </c>
      <c r="F37" t="inlineStr">
        <is>
          <t>CDL Summary</t>
        </is>
      </c>
      <c r="G37" s="63" t="n">
        <v>46062</v>
      </c>
      <c r="H37" t="inlineStr">
        <is>
          <t>/documents/drivers/DRV-006_CDL.pdf</t>
        </is>
      </c>
      <c r="I37" t="inlineStr">
        <is>
          <t>CDL</t>
        </is>
      </c>
      <c r="J37" t="inlineStr">
        <is>
          <t>/documents/drivers/DRV-006_CDL.pdf</t>
        </is>
      </c>
      <c r="K37">
        <f>IF(G37="","MISSING_DATE",IF(G37&lt;TODAY(),"EXPIRED",IF(G37&lt;=TODAY()+30,"EXPIRING_SOON","VALID")))</f>
        <v/>
      </c>
      <c r="L37" t="inlineStr">
        <is>
          <t>DRV-006|CDL</t>
        </is>
      </c>
      <c r="M37" t="inlineStr">
        <is>
          <t>DRV-006_CDL.pdf</t>
        </is>
      </c>
      <c r="N37" t="inlineStr">
        <is>
          <t>/drivers/DRV-006.jpg</t>
        </is>
      </c>
      <c r="O37" t="inlineStr">
        <is>
          <t>/images/documents/DRV-006_CDL.jpg</t>
        </is>
      </c>
    </row>
    <row r="38">
      <c r="A38" t="inlineStr">
        <is>
          <t>DRV-006</t>
        </is>
      </c>
      <c r="B38" t="inlineStr">
        <is>
          <t>Marcus Chen</t>
        </is>
      </c>
      <c r="C38" t="inlineStr">
        <is>
          <t>283-876-4322</t>
        </is>
      </c>
      <c r="D38" t="inlineStr">
        <is>
          <t>500 Pacific Ave, Dallas, TX</t>
        </is>
      </c>
      <c r="E38" t="inlineStr">
        <is>
          <t>VALID</t>
        </is>
      </c>
      <c r="F38" t="inlineStr">
        <is>
          <t>Medical Certification Summary</t>
        </is>
      </c>
      <c r="G38" s="63" t="n">
        <v>46085</v>
      </c>
      <c r="H38" t="inlineStr">
        <is>
          <t>/documents/drivers/DRV-006_MEDICAL.pdf</t>
        </is>
      </c>
      <c r="I38" t="inlineStr">
        <is>
          <t>MEDICAL_CARD</t>
        </is>
      </c>
      <c r="J38" t="inlineStr">
        <is>
          <t>/documents/drivers/DRV-006_MEDICAL.pdf</t>
        </is>
      </c>
      <c r="K38">
        <f>IF(G38="","MISSING_DATE",IF(G38&lt;TODAY(),"EXPIRED",IF(G38&lt;=TODAY()+30,"EXPIRING_SOON","VALID")))</f>
        <v/>
      </c>
      <c r="L38" t="inlineStr">
        <is>
          <t>DRV-006|MEDICAL_CARD</t>
        </is>
      </c>
      <c r="M38" t="inlineStr">
        <is>
          <t>DRV-006_MEDICAL.pdf</t>
        </is>
      </c>
      <c r="N38" t="inlineStr">
        <is>
          <t>/drivers/DRV-006.jpg</t>
        </is>
      </c>
      <c r="O38" t="inlineStr">
        <is>
          <t>/images/documents/DRV-006_MEDICAL_CARD.jpg</t>
        </is>
      </c>
    </row>
    <row r="39">
      <c r="A39" t="inlineStr">
        <is>
          <t>DRV-006</t>
        </is>
      </c>
      <c r="B39" t="inlineStr">
        <is>
          <t>Marcus Chen</t>
        </is>
      </c>
      <c r="C39" t="inlineStr">
        <is>
          <t>283-876-4322</t>
        </is>
      </c>
      <c r="D39" t="inlineStr">
        <is>
          <t>500 Pacific Ave, Dallas, TX</t>
        </is>
      </c>
      <c r="E39" t="inlineStr">
        <is>
          <t>VALID</t>
        </is>
      </c>
      <c r="F39" t="inlineStr">
        <is>
          <t>MVR Summary</t>
        </is>
      </c>
      <c r="G39" s="63" t="n">
        <v>46169</v>
      </c>
      <c r="H39" t="inlineStr">
        <is>
          <t>/documents/drivers/DRV-006_MVR.pdf</t>
        </is>
      </c>
      <c r="I39" t="inlineStr">
        <is>
          <t>MVR</t>
        </is>
      </c>
      <c r="J39" t="inlineStr">
        <is>
          <t>/documents/drivers/DRV-006_MVR.pdf</t>
        </is>
      </c>
      <c r="K39">
        <f>IF(G39="","MISSING_DATE",IF(G39&lt;TODAY(),"EXPIRED",IF(G39&lt;=TODAY()+30,"EXPIRING_SOON","VALID")))</f>
        <v/>
      </c>
      <c r="L39" t="inlineStr">
        <is>
          <t>DRV-006|MVR</t>
        </is>
      </c>
      <c r="M39" t="inlineStr">
        <is>
          <t>DRV-006_MVR.pdf</t>
        </is>
      </c>
      <c r="N39" t="inlineStr">
        <is>
          <t>/drivers/DRV-006.jpg</t>
        </is>
      </c>
      <c r="O39" t="inlineStr">
        <is>
          <t>/images/documents/DRV-006_MVR.jpg</t>
        </is>
      </c>
    </row>
    <row r="40">
      <c r="A40" t="inlineStr">
        <is>
          <t>DRV-006</t>
        </is>
      </c>
      <c r="B40" t="inlineStr">
        <is>
          <t>Marcus Chen</t>
        </is>
      </c>
      <c r="C40" t="inlineStr">
        <is>
          <t>283-876-4322</t>
        </is>
      </c>
      <c r="D40" t="inlineStr">
        <is>
          <t>500 Pacific Ave, Dallas, TX</t>
        </is>
      </c>
      <c r="E40" t="inlineStr">
        <is>
          <t>VALID</t>
        </is>
      </c>
      <c r="F40" t="inlineStr">
        <is>
          <t>Employment Eligibility Summary</t>
        </is>
      </c>
      <c r="G40" s="63" t="n">
        <v>46011</v>
      </c>
      <c r="H40" t="inlineStr">
        <is>
          <t>/documents/drivers/DRV-006_I9.pdf</t>
        </is>
      </c>
      <c r="I40" t="inlineStr">
        <is>
          <t>I9</t>
        </is>
      </c>
      <c r="J40" t="inlineStr">
        <is>
          <t>/documents/drivers/DRV-006_I9.pdf</t>
        </is>
      </c>
      <c r="K40">
        <f>IF(G40="","MISSING_DATE",IF(G40&lt;TODAY(),"EXPIRED",IF(G40&lt;=TODAY()+30,"EXPIRING_SOON","VALID")))</f>
        <v/>
      </c>
      <c r="L40" t="inlineStr">
        <is>
          <t>DRV-006|I9</t>
        </is>
      </c>
      <c r="M40" t="inlineStr">
        <is>
          <t>DRV-006_I9.pdf</t>
        </is>
      </c>
      <c r="N40" t="inlineStr">
        <is>
          <t>/drivers/DRV-006.jpg</t>
        </is>
      </c>
      <c r="O40" t="inlineStr">
        <is>
          <t>/images/documents/DRV-006_I9.jpg</t>
        </is>
      </c>
    </row>
    <row r="41">
      <c r="A41" t="inlineStr">
        <is>
          <t>DRV-006</t>
        </is>
      </c>
      <c r="B41" t="inlineStr">
        <is>
          <t>Marcus Chen</t>
        </is>
      </c>
      <c r="C41" t="inlineStr">
        <is>
          <t>283-876-4322</t>
        </is>
      </c>
      <c r="D41" t="inlineStr">
        <is>
          <t>500 Pacific Ave, Dallas, TX</t>
        </is>
      </c>
      <c r="E41" t="inlineStr">
        <is>
          <t>VALID</t>
        </is>
      </c>
      <c r="F41" t="inlineStr">
        <is>
          <t>FMCSA Compliance Summary</t>
        </is>
      </c>
      <c r="G41" s="63" t="n">
        <v>46027</v>
      </c>
      <c r="H41" t="inlineStr">
        <is>
          <t>/documents/drivers/DRV-006_FMCSA.pdf</t>
        </is>
      </c>
      <c r="I41" t="inlineStr">
        <is>
          <t>FMCSA</t>
        </is>
      </c>
      <c r="J41" t="inlineStr">
        <is>
          <t>/documents/drivers/DRV-006_FMCSA.pdf</t>
        </is>
      </c>
      <c r="K41">
        <f>IF(G41="","MISSING_DATE",IF(G41&lt;TODAY(),"EXPIRED",IF(G41&lt;=TODAY()+30,"EXPIRING_SOON","VALID")))</f>
        <v/>
      </c>
      <c r="L41" t="inlineStr">
        <is>
          <t>DRV-006|FMCSA</t>
        </is>
      </c>
      <c r="M41" t="inlineStr">
        <is>
          <t>DRV-006_FMCSA.pdf</t>
        </is>
      </c>
      <c r="N41" t="inlineStr">
        <is>
          <t>/drivers/DRV-006.jpg</t>
        </is>
      </c>
      <c r="O41" t="inlineStr">
        <is>
          <t>/images/documents/DRV-006_FMCSA.jpg</t>
        </is>
      </c>
    </row>
    <row r="42">
      <c r="A42" t="inlineStr">
        <is>
          <t>DRV-006</t>
        </is>
      </c>
      <c r="B42" t="inlineStr">
        <is>
          <t>Marcus Chen</t>
        </is>
      </c>
      <c r="C42" t="inlineStr">
        <is>
          <t>283-876-4322</t>
        </is>
      </c>
      <c r="D42" t="inlineStr">
        <is>
          <t>500 Pacific Ave, Dallas, TX</t>
        </is>
      </c>
      <c r="E42" t="inlineStr">
        <is>
          <t>VALID</t>
        </is>
      </c>
      <c r="F42" t="inlineStr">
        <is>
          <t>W-9 Summary</t>
        </is>
      </c>
      <c r="G42" s="63" t="n">
        <v>46092</v>
      </c>
      <c r="H42" t="inlineStr">
        <is>
          <t>/documents/drivers/DRV-006_W9.pdf</t>
        </is>
      </c>
      <c r="I42" t="inlineStr">
        <is>
          <t>W9</t>
        </is>
      </c>
      <c r="J42" t="inlineStr">
        <is>
          <t>/documents/drivers/DRV-006_W9.pdf</t>
        </is>
      </c>
      <c r="K42">
        <f>IF(G42="","MISSING_DATE",IF(G42&lt;TODAY(),"EXPIRED",IF(G42&lt;=TODAY()+30,"EXPIRING_SOON","VALID")))</f>
        <v/>
      </c>
      <c r="L42" t="inlineStr">
        <is>
          <t>DRV-006|W9</t>
        </is>
      </c>
      <c r="M42" t="inlineStr">
        <is>
          <t>DRV-006_W9.pdf</t>
        </is>
      </c>
      <c r="N42" t="inlineStr">
        <is>
          <t>/drivers/DRV-006.jpg</t>
        </is>
      </c>
      <c r="O42" t="inlineStr">
        <is>
          <t>/images/documents/DRV-006_W9.jpg</t>
        </is>
      </c>
    </row>
    <row r="43">
      <c r="A43" t="inlineStr">
        <is>
          <t>DRV-006</t>
        </is>
      </c>
      <c r="B43" t="inlineStr">
        <is>
          <t>Marcus Chen</t>
        </is>
      </c>
      <c r="C43" t="inlineStr">
        <is>
          <t>283-876-4322</t>
        </is>
      </c>
      <c r="D43" t="inlineStr">
        <is>
          <t>500 Pacific Ave, Dallas, TX</t>
        </is>
      </c>
      <c r="E43" t="inlineStr">
        <is>
          <t>VALID</t>
        </is>
      </c>
      <c r="F43" t="inlineStr">
        <is>
          <t>Bank Information Sheet</t>
        </is>
      </c>
      <c r="G43" s="63" t="n">
        <v>46073</v>
      </c>
      <c r="H43" t="inlineStr">
        <is>
          <t>/documents/drivers/DRV-006_BANK_INFO.pdf</t>
        </is>
      </c>
      <c r="I43" t="inlineStr">
        <is>
          <t>BANK_INFO</t>
        </is>
      </c>
      <c r="J43" t="inlineStr">
        <is>
          <t>/documents/drivers/DRV-006_BANK_INFO.pdf</t>
        </is>
      </c>
      <c r="K43">
        <f>IF(G43="","MISSING_DATE",IF(G43&lt;TODAY(),"EXPIRED",IF(G43&lt;=TODAY()+30,"EXPIRING_SOON","VALID")))</f>
        <v/>
      </c>
      <c r="L43" t="inlineStr">
        <is>
          <t>DRV-006|BANK_INFO</t>
        </is>
      </c>
      <c r="M43" t="inlineStr">
        <is>
          <t>DRV-006_BANK_INFO.pdf</t>
        </is>
      </c>
      <c r="N43" t="inlineStr">
        <is>
          <t>/drivers/DRV-006.jpg</t>
        </is>
      </c>
      <c r="O43" t="inlineStr">
        <is>
          <t>/images/documents/DRV-006_BANK_INFO.jpg</t>
        </is>
      </c>
    </row>
    <row r="44">
      <c r="A44" t="inlineStr">
        <is>
          <t>DRV-007</t>
        </is>
      </c>
      <c r="B44" t="inlineStr">
        <is>
          <t>Sofia Gomez</t>
        </is>
      </c>
      <c r="C44" t="inlineStr">
        <is>
          <t>896-828-7164</t>
        </is>
      </c>
      <c r="D44" t="inlineStr">
        <is>
          <t>815 Prospect Ave, Cleveland, OH</t>
        </is>
      </c>
      <c r="E44" t="inlineStr">
        <is>
          <t>VALID</t>
        </is>
      </c>
      <c r="F44" t="inlineStr">
        <is>
          <t>CDL Summary</t>
        </is>
      </c>
      <c r="G44" s="63" t="n">
        <v>46204</v>
      </c>
      <c r="H44" t="inlineStr">
        <is>
          <t>/documents/drivers/DRV-007_CDL.pdf</t>
        </is>
      </c>
      <c r="I44" t="inlineStr">
        <is>
          <t>CDL</t>
        </is>
      </c>
      <c r="J44" t="inlineStr">
        <is>
          <t>/documents/drivers/DRV-007_CDL.pdf</t>
        </is>
      </c>
      <c r="K44">
        <f>IF(G44="","MISSING_DATE",IF(G44&lt;TODAY(),"EXPIRED",IF(G44&lt;=TODAY()+30,"EXPIRING_SOON","VALID")))</f>
        <v/>
      </c>
      <c r="L44" t="inlineStr">
        <is>
          <t>DRV-007|CDL</t>
        </is>
      </c>
      <c r="M44" t="inlineStr">
        <is>
          <t>DRV-007_CDL.pdf</t>
        </is>
      </c>
      <c r="N44" t="inlineStr">
        <is>
          <t>/drivers/DRV-007.jpg</t>
        </is>
      </c>
      <c r="O44" t="inlineStr">
        <is>
          <t>/images/documents/DRV-007_CDL.jpg</t>
        </is>
      </c>
    </row>
    <row r="45">
      <c r="A45" t="inlineStr">
        <is>
          <t>DRV-007</t>
        </is>
      </c>
      <c r="B45" t="inlineStr">
        <is>
          <t>Sofia Gomez</t>
        </is>
      </c>
      <c r="C45" t="inlineStr">
        <is>
          <t>896-828-7164</t>
        </is>
      </c>
      <c r="D45" t="inlineStr">
        <is>
          <t>815 Prospect Ave, Cleveland, OH</t>
        </is>
      </c>
      <c r="E45" t="inlineStr">
        <is>
          <t>VALID</t>
        </is>
      </c>
      <c r="F45" t="inlineStr">
        <is>
          <t>Medical Certification Summary</t>
        </is>
      </c>
      <c r="G45" s="63" t="n">
        <v>46155</v>
      </c>
      <c r="H45" t="inlineStr">
        <is>
          <t>/documents/drivers/DRV-007_MEDICAL.pdf</t>
        </is>
      </c>
      <c r="I45" t="inlineStr">
        <is>
          <t>MEDICAL_CARD</t>
        </is>
      </c>
      <c r="J45" t="inlineStr">
        <is>
          <t>/documents/drivers/DRV-007_MEDICAL.pdf</t>
        </is>
      </c>
      <c r="K45">
        <f>IF(G45="","MISSING_DATE",IF(G45&lt;TODAY(),"EXPIRED",IF(G45&lt;=TODAY()+30,"EXPIRING_SOON","VALID")))</f>
        <v/>
      </c>
      <c r="L45" t="inlineStr">
        <is>
          <t>DRV-007|MEDICAL_CARD</t>
        </is>
      </c>
      <c r="M45" t="inlineStr">
        <is>
          <t>DRV-007_MEDICAL.pdf</t>
        </is>
      </c>
      <c r="N45" t="inlineStr">
        <is>
          <t>/drivers/DRV-007.jpg</t>
        </is>
      </c>
      <c r="O45" t="inlineStr">
        <is>
          <t>/images/documents/DRV-007_MEDICAL_CARD.jpg</t>
        </is>
      </c>
    </row>
    <row r="46">
      <c r="A46" t="inlineStr">
        <is>
          <t>DRV-007</t>
        </is>
      </c>
      <c r="B46" t="inlineStr">
        <is>
          <t>Sofia Gomez</t>
        </is>
      </c>
      <c r="C46" t="inlineStr">
        <is>
          <t>896-828-7164</t>
        </is>
      </c>
      <c r="D46" t="inlineStr">
        <is>
          <t>815 Prospect Ave, Cleveland, OH</t>
        </is>
      </c>
      <c r="E46" t="inlineStr">
        <is>
          <t>VALID</t>
        </is>
      </c>
      <c r="F46" t="inlineStr">
        <is>
          <t>MVR Summary</t>
        </is>
      </c>
      <c r="G46" s="63" t="n">
        <v>46152</v>
      </c>
      <c r="H46" t="inlineStr">
        <is>
          <t>/documents/drivers/DRV-007_MVR.pdf</t>
        </is>
      </c>
      <c r="I46" t="inlineStr">
        <is>
          <t>MVR</t>
        </is>
      </c>
      <c r="J46" t="inlineStr">
        <is>
          <t>/documents/drivers/DRV-007_MVR.pdf</t>
        </is>
      </c>
      <c r="K46">
        <f>IF(G46="","MISSING_DATE",IF(G46&lt;TODAY(),"EXPIRED",IF(G46&lt;=TODAY()+30,"EXPIRING_SOON","VALID")))</f>
        <v/>
      </c>
      <c r="L46" t="inlineStr">
        <is>
          <t>DRV-007|MVR</t>
        </is>
      </c>
      <c r="M46" t="inlineStr">
        <is>
          <t>DRV-007_MVR.pdf</t>
        </is>
      </c>
      <c r="N46" t="inlineStr">
        <is>
          <t>/drivers/DRV-007.jpg</t>
        </is>
      </c>
      <c r="O46" t="inlineStr">
        <is>
          <t>/images/documents/DRV-007_MVR.jpg</t>
        </is>
      </c>
    </row>
    <row r="47">
      <c r="A47" t="inlineStr">
        <is>
          <t>DRV-007</t>
        </is>
      </c>
      <c r="B47" t="inlineStr">
        <is>
          <t>Sofia Gomez</t>
        </is>
      </c>
      <c r="C47" t="inlineStr">
        <is>
          <t>896-828-7164</t>
        </is>
      </c>
      <c r="D47" t="inlineStr">
        <is>
          <t>815 Prospect Ave, Cleveland, OH</t>
        </is>
      </c>
      <c r="E47" t="inlineStr">
        <is>
          <t>VALID</t>
        </is>
      </c>
      <c r="F47" t="inlineStr">
        <is>
          <t>Employment Eligibility Summary</t>
        </is>
      </c>
      <c r="G47" s="63" t="n">
        <v>46204</v>
      </c>
      <c r="H47" t="inlineStr">
        <is>
          <t>/documents/drivers/DRV-007_I9.pdf</t>
        </is>
      </c>
      <c r="I47" t="inlineStr">
        <is>
          <t>I9</t>
        </is>
      </c>
      <c r="J47" t="inlineStr">
        <is>
          <t>/documents/drivers/DRV-007_I9.pdf</t>
        </is>
      </c>
      <c r="K47">
        <f>IF(G47="","MISSING_DATE",IF(G47&lt;TODAY(),"EXPIRED",IF(G47&lt;=TODAY()+30,"EXPIRING_SOON","VALID")))</f>
        <v/>
      </c>
      <c r="L47" t="inlineStr">
        <is>
          <t>DRV-007|I9</t>
        </is>
      </c>
      <c r="M47" t="inlineStr">
        <is>
          <t>DRV-007_I9.pdf</t>
        </is>
      </c>
      <c r="N47" t="inlineStr">
        <is>
          <t>/drivers/DRV-007.jpg</t>
        </is>
      </c>
      <c r="O47" t="inlineStr">
        <is>
          <t>/images/documents/DRV-007_I9.jpg</t>
        </is>
      </c>
    </row>
    <row r="48">
      <c r="A48" t="inlineStr">
        <is>
          <t>DRV-007</t>
        </is>
      </c>
      <c r="B48" t="inlineStr">
        <is>
          <t>Sofia Gomez</t>
        </is>
      </c>
      <c r="C48" t="inlineStr">
        <is>
          <t>896-828-7164</t>
        </is>
      </c>
      <c r="D48" t="inlineStr">
        <is>
          <t>815 Prospect Ave, Cleveland, OH</t>
        </is>
      </c>
      <c r="E48" t="inlineStr">
        <is>
          <t>VALID</t>
        </is>
      </c>
      <c r="F48" t="inlineStr">
        <is>
          <t>FMCSA Compliance Summary</t>
        </is>
      </c>
      <c r="G48" s="63" t="n">
        <v>46036</v>
      </c>
      <c r="H48" t="inlineStr">
        <is>
          <t>/documents/drivers/DRV-007_FMCSA.pdf</t>
        </is>
      </c>
      <c r="I48" t="inlineStr">
        <is>
          <t>FMCSA</t>
        </is>
      </c>
      <c r="J48" t="inlineStr">
        <is>
          <t>/documents/drivers/DRV-007_FMCSA.pdf</t>
        </is>
      </c>
      <c r="K48">
        <f>IF(G48="","MISSING_DATE",IF(G48&lt;TODAY(),"EXPIRED",IF(G48&lt;=TODAY()+30,"EXPIRING_SOON","VALID")))</f>
        <v/>
      </c>
      <c r="L48" t="inlineStr">
        <is>
          <t>DRV-007|FMCSA</t>
        </is>
      </c>
      <c r="M48" t="inlineStr">
        <is>
          <t>DRV-007_FMCSA.pdf</t>
        </is>
      </c>
      <c r="N48" t="inlineStr">
        <is>
          <t>/drivers/DRV-007.jpg</t>
        </is>
      </c>
      <c r="O48" t="inlineStr">
        <is>
          <t>/images/documents/DRV-007_FMCSA.jpg</t>
        </is>
      </c>
    </row>
    <row r="49">
      <c r="A49" t="inlineStr">
        <is>
          <t>DRV-007</t>
        </is>
      </c>
      <c r="B49" t="inlineStr">
        <is>
          <t>Sofia Gomez</t>
        </is>
      </c>
      <c r="C49" t="inlineStr">
        <is>
          <t>896-828-7164</t>
        </is>
      </c>
      <c r="D49" t="inlineStr">
        <is>
          <t>815 Prospect Ave, Cleveland, OH</t>
        </is>
      </c>
      <c r="E49" t="inlineStr">
        <is>
          <t>VALID</t>
        </is>
      </c>
      <c r="F49" t="inlineStr">
        <is>
          <t>W-9 Summary</t>
        </is>
      </c>
      <c r="G49" s="63" t="n">
        <v>46021</v>
      </c>
      <c r="H49" t="inlineStr">
        <is>
          <t>/documents/drivers/DRV-007_W9.pdf</t>
        </is>
      </c>
      <c r="I49" t="inlineStr">
        <is>
          <t>W9</t>
        </is>
      </c>
      <c r="J49" t="inlineStr">
        <is>
          <t>/documents/drivers/DRV-007_W9.pdf</t>
        </is>
      </c>
      <c r="K49">
        <f>IF(G49="","MISSING_DATE",IF(G49&lt;TODAY(),"EXPIRED",IF(G49&lt;=TODAY()+30,"EXPIRING_SOON","VALID")))</f>
        <v/>
      </c>
      <c r="L49" t="inlineStr">
        <is>
          <t>DRV-007|W9</t>
        </is>
      </c>
      <c r="M49" t="inlineStr">
        <is>
          <t>DRV-007_W9.pdf</t>
        </is>
      </c>
      <c r="N49" t="inlineStr">
        <is>
          <t>/drivers/DRV-007.jpg</t>
        </is>
      </c>
      <c r="O49" t="inlineStr">
        <is>
          <t>/images/documents/DRV-007_W9.jpg</t>
        </is>
      </c>
    </row>
    <row r="50">
      <c r="A50" t="inlineStr">
        <is>
          <t>DRV-007</t>
        </is>
      </c>
      <c r="B50" t="inlineStr">
        <is>
          <t>Sofia Gomez</t>
        </is>
      </c>
      <c r="C50" t="inlineStr">
        <is>
          <t>896-828-7164</t>
        </is>
      </c>
      <c r="D50" t="inlineStr">
        <is>
          <t>815 Prospect Ave, Cleveland, OH</t>
        </is>
      </c>
      <c r="E50" t="inlineStr">
        <is>
          <t>VALID</t>
        </is>
      </c>
      <c r="F50" t="inlineStr">
        <is>
          <t>Bank Information Sheet</t>
        </is>
      </c>
      <c r="G50" s="63" t="n">
        <v>46210</v>
      </c>
      <c r="H50" t="inlineStr">
        <is>
          <t>/documents/drivers/DRV-007_BANK_INFO.pdf</t>
        </is>
      </c>
      <c r="I50" t="inlineStr">
        <is>
          <t>BANK_INFO</t>
        </is>
      </c>
      <c r="J50" t="inlineStr">
        <is>
          <t>/documents/drivers/DRV-007_BANK_INFO.pdf</t>
        </is>
      </c>
      <c r="K50">
        <f>IF(G50="","MISSING_DATE",IF(G50&lt;TODAY(),"EXPIRED",IF(G50&lt;=TODAY()+30,"EXPIRING_SOON","VALID")))</f>
        <v/>
      </c>
      <c r="L50" t="inlineStr">
        <is>
          <t>DRV-007|BANK_INFO</t>
        </is>
      </c>
      <c r="M50" t="inlineStr">
        <is>
          <t>DRV-007_BANK_INFO.pdf</t>
        </is>
      </c>
      <c r="N50" t="inlineStr">
        <is>
          <t>/drivers/DRV-007.jpg</t>
        </is>
      </c>
      <c r="O50" t="inlineStr">
        <is>
          <t>/images/documents/DRV-007_BANK_INFO.jpg</t>
        </is>
      </c>
    </row>
    <row r="51">
      <c r="A51" t="inlineStr">
        <is>
          <t>DRV-008</t>
        </is>
      </c>
      <c r="B51" t="inlineStr">
        <is>
          <t>Liam Smith</t>
        </is>
      </c>
      <c r="C51" t="inlineStr">
        <is>
          <t>820-223-4829</t>
        </is>
      </c>
      <c r="D51" t="inlineStr">
        <is>
          <t>240 Madison Ave, Toledo, OH</t>
        </is>
      </c>
      <c r="E51" t="inlineStr">
        <is>
          <t>VALID</t>
        </is>
      </c>
      <c r="F51" t="inlineStr">
        <is>
          <t>CDL Summary</t>
        </is>
      </c>
      <c r="G51" s="63" t="n">
        <v>46218</v>
      </c>
      <c r="H51" t="inlineStr">
        <is>
          <t>/documents/drivers/DRV-008_CDL.pdf</t>
        </is>
      </c>
      <c r="I51" t="inlineStr">
        <is>
          <t>CDL</t>
        </is>
      </c>
      <c r="J51" t="inlineStr">
        <is>
          <t>/documents/drivers/DRV-008_CDL.pdf</t>
        </is>
      </c>
      <c r="K51">
        <f>IF(G51="","MISSING_DATE",IF(G51&lt;TODAY(),"EXPIRED",IF(G51&lt;=TODAY()+30,"EXPIRING_SOON","VALID")))</f>
        <v/>
      </c>
      <c r="L51" t="inlineStr">
        <is>
          <t>DRV-008|CDL</t>
        </is>
      </c>
      <c r="M51" t="inlineStr">
        <is>
          <t>DRV-008_CDL.pdf</t>
        </is>
      </c>
      <c r="N51" t="inlineStr">
        <is>
          <t>/drivers/DRV-008.jpg</t>
        </is>
      </c>
      <c r="O51" t="inlineStr">
        <is>
          <t>/images/documents/DRV-008_CDL.jpg</t>
        </is>
      </c>
    </row>
    <row r="52">
      <c r="A52" t="inlineStr">
        <is>
          <t>DRV-008</t>
        </is>
      </c>
      <c r="B52" t="inlineStr">
        <is>
          <t>Liam Smith</t>
        </is>
      </c>
      <c r="C52" t="inlineStr">
        <is>
          <t>820-223-4829</t>
        </is>
      </c>
      <c r="D52" t="inlineStr">
        <is>
          <t>240 Madison Ave, Toledo, OH</t>
        </is>
      </c>
      <c r="E52" t="inlineStr">
        <is>
          <t>VALID</t>
        </is>
      </c>
      <c r="F52" t="inlineStr">
        <is>
          <t>Medical Certification Summary</t>
        </is>
      </c>
      <c r="G52" s="63" t="n">
        <v>46131</v>
      </c>
      <c r="H52" t="inlineStr">
        <is>
          <t>/documents/drivers/DRV-008_MEDICAL.pdf</t>
        </is>
      </c>
      <c r="I52" t="inlineStr">
        <is>
          <t>MEDICAL_CARD</t>
        </is>
      </c>
      <c r="J52" t="inlineStr">
        <is>
          <t>/documents/drivers/DRV-008_MEDICAL.pdf</t>
        </is>
      </c>
      <c r="K52">
        <f>IF(G52="","MISSING_DATE",IF(G52&lt;TODAY(),"EXPIRED",IF(G52&lt;=TODAY()+30,"EXPIRING_SOON","VALID")))</f>
        <v/>
      </c>
      <c r="L52" t="inlineStr">
        <is>
          <t>DRV-008|MEDICAL_CARD</t>
        </is>
      </c>
      <c r="M52" t="inlineStr">
        <is>
          <t>DRV-008_MEDICAL.pdf</t>
        </is>
      </c>
      <c r="N52" t="inlineStr">
        <is>
          <t>/drivers/DRV-008.jpg</t>
        </is>
      </c>
      <c r="O52" t="inlineStr">
        <is>
          <t>/images/documents/DRV-008_MEDICAL_CARD.jpg</t>
        </is>
      </c>
    </row>
    <row r="53">
      <c r="A53" t="inlineStr">
        <is>
          <t>DRV-008</t>
        </is>
      </c>
      <c r="B53" t="inlineStr">
        <is>
          <t>Liam Smith</t>
        </is>
      </c>
      <c r="C53" t="inlineStr">
        <is>
          <t>820-223-4829</t>
        </is>
      </c>
      <c r="D53" t="inlineStr">
        <is>
          <t>240 Madison Ave, Toledo, OH</t>
        </is>
      </c>
      <c r="E53" t="inlineStr">
        <is>
          <t>VALID</t>
        </is>
      </c>
      <c r="F53" t="inlineStr">
        <is>
          <t>MVR Summary</t>
        </is>
      </c>
      <c r="G53" s="63" t="n">
        <v>46127</v>
      </c>
      <c r="H53" t="inlineStr">
        <is>
          <t>/documents/drivers/DRV-008_MVR.pdf</t>
        </is>
      </c>
      <c r="I53" t="inlineStr">
        <is>
          <t>MVR</t>
        </is>
      </c>
      <c r="J53" t="inlineStr">
        <is>
          <t>/documents/drivers/DRV-008_MVR.pdf</t>
        </is>
      </c>
      <c r="K53">
        <f>IF(G53="","MISSING_DATE",IF(G53&lt;TODAY(),"EXPIRED",IF(G53&lt;=TODAY()+30,"EXPIRING_SOON","VALID")))</f>
        <v/>
      </c>
      <c r="L53" t="inlineStr">
        <is>
          <t>DRV-008|MVR</t>
        </is>
      </c>
      <c r="M53" t="inlineStr">
        <is>
          <t>DRV-008_MVR.pdf</t>
        </is>
      </c>
      <c r="N53" t="inlineStr">
        <is>
          <t>/drivers/DRV-008.jpg</t>
        </is>
      </c>
      <c r="O53" t="inlineStr">
        <is>
          <t>/images/documents/DRV-008_MVR.jpg</t>
        </is>
      </c>
    </row>
    <row r="54">
      <c r="A54" t="inlineStr">
        <is>
          <t>DRV-008</t>
        </is>
      </c>
      <c r="B54" t="inlineStr">
        <is>
          <t>Liam Smith</t>
        </is>
      </c>
      <c r="C54" t="inlineStr">
        <is>
          <t>820-223-4829</t>
        </is>
      </c>
      <c r="D54" t="inlineStr">
        <is>
          <t>240 Madison Ave, Toledo, OH</t>
        </is>
      </c>
      <c r="E54" t="inlineStr">
        <is>
          <t>VALID</t>
        </is>
      </c>
      <c r="F54" t="inlineStr">
        <is>
          <t>Employment Eligibility Summary</t>
        </is>
      </c>
      <c r="G54" s="63" t="n">
        <v>46033</v>
      </c>
      <c r="H54" t="inlineStr">
        <is>
          <t>/documents/drivers/DRV-008_I9.pdf</t>
        </is>
      </c>
      <c r="I54" t="inlineStr">
        <is>
          <t>I9</t>
        </is>
      </c>
      <c r="J54" t="inlineStr">
        <is>
          <t>/documents/drivers/DRV-008_I9.pdf</t>
        </is>
      </c>
      <c r="K54">
        <f>IF(G54="","MISSING_DATE",IF(G54&lt;TODAY(),"EXPIRED",IF(G54&lt;=TODAY()+30,"EXPIRING_SOON","VALID")))</f>
        <v/>
      </c>
      <c r="L54" t="inlineStr">
        <is>
          <t>DRV-008|I9</t>
        </is>
      </c>
      <c r="M54" t="inlineStr">
        <is>
          <t>DRV-008_I9.pdf</t>
        </is>
      </c>
      <c r="N54" t="inlineStr">
        <is>
          <t>/drivers/DRV-008.jpg</t>
        </is>
      </c>
      <c r="O54" t="inlineStr">
        <is>
          <t>/images/documents/DRV-008_I9.jpg</t>
        </is>
      </c>
    </row>
    <row r="55">
      <c r="A55" t="inlineStr">
        <is>
          <t>DRV-008</t>
        </is>
      </c>
      <c r="B55" t="inlineStr">
        <is>
          <t>Liam Smith</t>
        </is>
      </c>
      <c r="C55" t="inlineStr">
        <is>
          <t>820-223-4829</t>
        </is>
      </c>
      <c r="D55" t="inlineStr">
        <is>
          <t>240 Madison Ave, Toledo, OH</t>
        </is>
      </c>
      <c r="E55" t="inlineStr">
        <is>
          <t>VALID</t>
        </is>
      </c>
      <c r="F55" t="inlineStr">
        <is>
          <t>FMCSA Compliance Summary</t>
        </is>
      </c>
      <c r="G55" s="63" t="n">
        <v>46065</v>
      </c>
      <c r="H55" t="inlineStr">
        <is>
          <t>/documents/drivers/DRV-008_FMCSA.pdf</t>
        </is>
      </c>
      <c r="I55" t="inlineStr">
        <is>
          <t>FMCSA</t>
        </is>
      </c>
      <c r="J55" t="inlineStr">
        <is>
          <t>/documents/drivers/DRV-008_FMCSA.pdf</t>
        </is>
      </c>
      <c r="K55">
        <f>IF(G55="","MISSING_DATE",IF(G55&lt;TODAY(),"EXPIRED",IF(G55&lt;=TODAY()+30,"EXPIRING_SOON","VALID")))</f>
        <v/>
      </c>
      <c r="L55" t="inlineStr">
        <is>
          <t>DRV-008|FMCSA</t>
        </is>
      </c>
      <c r="M55" t="inlineStr">
        <is>
          <t>DRV-008_FMCSA.pdf</t>
        </is>
      </c>
      <c r="N55" t="inlineStr">
        <is>
          <t>/drivers/DRV-008.jpg</t>
        </is>
      </c>
      <c r="O55" t="inlineStr">
        <is>
          <t>/images/documents/DRV-008_FMCSA.jpg</t>
        </is>
      </c>
    </row>
    <row r="56">
      <c r="A56" t="inlineStr">
        <is>
          <t>DRV-008</t>
        </is>
      </c>
      <c r="B56" t="inlineStr">
        <is>
          <t>Liam Smith</t>
        </is>
      </c>
      <c r="C56" t="inlineStr">
        <is>
          <t>820-223-4829</t>
        </is>
      </c>
      <c r="D56" t="inlineStr">
        <is>
          <t>240 Madison Ave, Toledo, OH</t>
        </is>
      </c>
      <c r="E56" t="inlineStr">
        <is>
          <t>VALID</t>
        </is>
      </c>
      <c r="F56" t="inlineStr">
        <is>
          <t>W-9 Summary</t>
        </is>
      </c>
      <c r="G56" s="63" t="n">
        <v>46072</v>
      </c>
      <c r="H56" t="inlineStr">
        <is>
          <t>/documents/drivers/DRV-008_W9.pdf</t>
        </is>
      </c>
      <c r="I56" t="inlineStr">
        <is>
          <t>W9</t>
        </is>
      </c>
      <c r="J56" t="inlineStr">
        <is>
          <t>/documents/drivers/DRV-008_W9.pdf</t>
        </is>
      </c>
      <c r="K56">
        <f>IF(G56="","MISSING_DATE",IF(G56&lt;TODAY(),"EXPIRED",IF(G56&lt;=TODAY()+30,"EXPIRING_SOON","VALID")))</f>
        <v/>
      </c>
      <c r="L56" t="inlineStr">
        <is>
          <t>DRV-008|W9</t>
        </is>
      </c>
      <c r="M56" t="inlineStr">
        <is>
          <t>DRV-008_W9.pdf</t>
        </is>
      </c>
      <c r="N56" t="inlineStr">
        <is>
          <t>/drivers/DRV-008.jpg</t>
        </is>
      </c>
      <c r="O56" t="inlineStr">
        <is>
          <t>/images/documents/DRV-008_W9.jpg</t>
        </is>
      </c>
    </row>
    <row r="57">
      <c r="A57" t="inlineStr">
        <is>
          <t>DRV-008</t>
        </is>
      </c>
      <c r="B57" t="inlineStr">
        <is>
          <t>Liam Smith</t>
        </is>
      </c>
      <c r="C57" t="inlineStr">
        <is>
          <t>820-223-4829</t>
        </is>
      </c>
      <c r="D57" t="inlineStr">
        <is>
          <t>240 Madison Ave, Toledo, OH</t>
        </is>
      </c>
      <c r="E57" t="inlineStr">
        <is>
          <t>VALID</t>
        </is>
      </c>
      <c r="F57" t="inlineStr">
        <is>
          <t>Bank Information Sheet</t>
        </is>
      </c>
      <c r="G57" s="63" t="n">
        <v>46169</v>
      </c>
      <c r="H57" t="inlineStr">
        <is>
          <t>/documents/drivers/DRV-008_BANK_INFO.pdf</t>
        </is>
      </c>
      <c r="I57" t="inlineStr">
        <is>
          <t>BANK_INFO</t>
        </is>
      </c>
      <c r="J57" t="inlineStr">
        <is>
          <t>/documents/drivers/DRV-008_BANK_INFO.pdf</t>
        </is>
      </c>
      <c r="K57">
        <f>IF(G57="","MISSING_DATE",IF(G57&lt;TODAY(),"EXPIRED",IF(G57&lt;=TODAY()+30,"EXPIRING_SOON","VALID")))</f>
        <v/>
      </c>
      <c r="L57" t="inlineStr">
        <is>
          <t>DRV-008|BANK_INFO</t>
        </is>
      </c>
      <c r="M57" t="inlineStr">
        <is>
          <t>DRV-008_BANK_INFO.pdf</t>
        </is>
      </c>
      <c r="N57" t="inlineStr">
        <is>
          <t>/drivers/DRV-008.jpg</t>
        </is>
      </c>
      <c r="O57" t="inlineStr">
        <is>
          <t>/images/documents/DRV-008_BANK_INFO.jpg</t>
        </is>
      </c>
    </row>
    <row r="58">
      <c r="A58" t="inlineStr">
        <is>
          <t>DRV-009</t>
        </is>
      </c>
      <c r="B58" t="inlineStr">
        <is>
          <t>Emma Brown</t>
        </is>
      </c>
      <c r="C58" t="inlineStr">
        <is>
          <t>206-700-7666</t>
        </is>
      </c>
      <c r="D58" t="inlineStr">
        <is>
          <t>330 Civic Center Dr, Columbus, OH</t>
        </is>
      </c>
      <c r="E58" t="inlineStr">
        <is>
          <t>VALID</t>
        </is>
      </c>
      <c r="F58" t="inlineStr">
        <is>
          <t>CDL Summary</t>
        </is>
      </c>
      <c r="G58" s="63" t="n">
        <v>46112</v>
      </c>
      <c r="H58" t="inlineStr">
        <is>
          <t>/documents/drivers/DRV-009_CDL.pdf</t>
        </is>
      </c>
      <c r="I58" t="inlineStr">
        <is>
          <t>CDL</t>
        </is>
      </c>
      <c r="J58" t="inlineStr">
        <is>
          <t>/documents/drivers/DRV-009_CDL.pdf</t>
        </is>
      </c>
      <c r="K58">
        <f>IF(G58="","MISSING_DATE",IF(G58&lt;TODAY(),"EXPIRED",IF(G58&lt;=TODAY()+30,"EXPIRING_SOON","VALID")))</f>
        <v/>
      </c>
      <c r="L58" t="inlineStr">
        <is>
          <t>DRV-009|CDL</t>
        </is>
      </c>
      <c r="M58" t="inlineStr">
        <is>
          <t>DRV-009_CDL.pdf</t>
        </is>
      </c>
      <c r="N58" t="inlineStr">
        <is>
          <t>/drivers/DRV-009.jpg</t>
        </is>
      </c>
      <c r="O58" t="inlineStr">
        <is>
          <t>/images/documents/DRV-009_CDL.jpg</t>
        </is>
      </c>
    </row>
    <row r="59">
      <c r="A59" t="inlineStr">
        <is>
          <t>DRV-009</t>
        </is>
      </c>
      <c r="B59" t="inlineStr">
        <is>
          <t>Emma Brown</t>
        </is>
      </c>
      <c r="C59" t="inlineStr">
        <is>
          <t>206-700-7666</t>
        </is>
      </c>
      <c r="D59" t="inlineStr">
        <is>
          <t>330 Civic Center Dr, Columbus, OH</t>
        </is>
      </c>
      <c r="E59" t="inlineStr">
        <is>
          <t>VALID</t>
        </is>
      </c>
      <c r="F59" t="inlineStr">
        <is>
          <t>Medical Certification Summary</t>
        </is>
      </c>
      <c r="G59" s="63" t="n">
        <v>46144</v>
      </c>
      <c r="H59" t="inlineStr">
        <is>
          <t>/documents/drivers/DRV-009_MEDICAL.pdf</t>
        </is>
      </c>
      <c r="I59" t="inlineStr">
        <is>
          <t>MEDICAL_CARD</t>
        </is>
      </c>
      <c r="J59" t="inlineStr">
        <is>
          <t>/documents/drivers/DRV-009_MEDICAL.pdf</t>
        </is>
      </c>
      <c r="K59">
        <f>IF(G59="","MISSING_DATE",IF(G59&lt;TODAY(),"EXPIRED",IF(G59&lt;=TODAY()+30,"EXPIRING_SOON","VALID")))</f>
        <v/>
      </c>
      <c r="L59" t="inlineStr">
        <is>
          <t>DRV-009|MEDICAL_CARD</t>
        </is>
      </c>
      <c r="M59" t="inlineStr">
        <is>
          <t>DRV-009_MEDICAL.pdf</t>
        </is>
      </c>
      <c r="N59" t="inlineStr">
        <is>
          <t>/drivers/DRV-009.jpg</t>
        </is>
      </c>
      <c r="O59" t="inlineStr">
        <is>
          <t>/images/documents/DRV-009_MEDICAL_CARD.jpg</t>
        </is>
      </c>
    </row>
    <row r="60">
      <c r="A60" t="inlineStr">
        <is>
          <t>DRV-009</t>
        </is>
      </c>
      <c r="B60" t="inlineStr">
        <is>
          <t>Emma Brown</t>
        </is>
      </c>
      <c r="C60" t="inlineStr">
        <is>
          <t>206-700-7666</t>
        </is>
      </c>
      <c r="D60" t="inlineStr">
        <is>
          <t>330 Civic Center Dr, Columbus, OH</t>
        </is>
      </c>
      <c r="E60" t="inlineStr">
        <is>
          <t>VALID</t>
        </is>
      </c>
      <c r="F60" t="inlineStr">
        <is>
          <t>MVR Summary</t>
        </is>
      </c>
      <c r="G60" s="63" t="n">
        <v>46090</v>
      </c>
      <c r="H60" t="inlineStr">
        <is>
          <t>/documents/drivers/DRV-009_MVR.pdf</t>
        </is>
      </c>
      <c r="I60" t="inlineStr">
        <is>
          <t>MVR</t>
        </is>
      </c>
      <c r="J60" t="inlineStr">
        <is>
          <t>/documents/drivers/DRV-009_MVR.pdf</t>
        </is>
      </c>
      <c r="K60">
        <f>IF(G60="","MISSING_DATE",IF(G60&lt;TODAY(),"EXPIRED",IF(G60&lt;=TODAY()+30,"EXPIRING_SOON","VALID")))</f>
        <v/>
      </c>
      <c r="L60" t="inlineStr">
        <is>
          <t>DRV-009|MVR</t>
        </is>
      </c>
      <c r="M60" t="inlineStr">
        <is>
          <t>DRV-009_MVR.pdf</t>
        </is>
      </c>
      <c r="N60" t="inlineStr">
        <is>
          <t>/drivers/DRV-009.jpg</t>
        </is>
      </c>
      <c r="O60" t="inlineStr">
        <is>
          <t>/images/documents/DRV-009_MVR.jpg</t>
        </is>
      </c>
    </row>
    <row r="61">
      <c r="A61" t="inlineStr">
        <is>
          <t>DRV-009</t>
        </is>
      </c>
      <c r="B61" t="inlineStr">
        <is>
          <t>Emma Brown</t>
        </is>
      </c>
      <c r="C61" t="inlineStr">
        <is>
          <t>206-700-7666</t>
        </is>
      </c>
      <c r="D61" t="inlineStr">
        <is>
          <t>330 Civic Center Dr, Columbus, OH</t>
        </is>
      </c>
      <c r="E61" t="inlineStr">
        <is>
          <t>VALID</t>
        </is>
      </c>
      <c r="F61" t="inlineStr">
        <is>
          <t>Employment Eligibility Summary</t>
        </is>
      </c>
      <c r="G61" s="63" t="n">
        <v>46165</v>
      </c>
      <c r="H61" t="inlineStr">
        <is>
          <t>/documents/drivers/DRV-009_I9.pdf</t>
        </is>
      </c>
      <c r="I61" t="inlineStr">
        <is>
          <t>I9</t>
        </is>
      </c>
      <c r="J61" t="inlineStr">
        <is>
          <t>/documents/drivers/DRV-009_I9.pdf</t>
        </is>
      </c>
      <c r="K61">
        <f>IF(G61="","MISSING_DATE",IF(G61&lt;TODAY(),"EXPIRED",IF(G61&lt;=TODAY()+30,"EXPIRING_SOON","VALID")))</f>
        <v/>
      </c>
      <c r="L61" t="inlineStr">
        <is>
          <t>DRV-009|I9</t>
        </is>
      </c>
      <c r="M61" t="inlineStr">
        <is>
          <t>DRV-009_I9.pdf</t>
        </is>
      </c>
      <c r="N61" t="inlineStr">
        <is>
          <t>/drivers/DRV-009.jpg</t>
        </is>
      </c>
      <c r="O61" t="inlineStr">
        <is>
          <t>/images/documents/DRV-009_I9.jpg</t>
        </is>
      </c>
    </row>
    <row r="62">
      <c r="A62" t="inlineStr">
        <is>
          <t>DRV-009</t>
        </is>
      </c>
      <c r="B62" t="inlineStr">
        <is>
          <t>Emma Brown</t>
        </is>
      </c>
      <c r="C62" t="inlineStr">
        <is>
          <t>206-700-7666</t>
        </is>
      </c>
      <c r="D62" t="inlineStr">
        <is>
          <t>330 Civic Center Dr, Columbus, OH</t>
        </is>
      </c>
      <c r="E62" t="inlineStr">
        <is>
          <t>VALID</t>
        </is>
      </c>
      <c r="F62" t="inlineStr">
        <is>
          <t>FMCSA Compliance Summary</t>
        </is>
      </c>
      <c r="G62" s="63" t="n">
        <v>46244</v>
      </c>
      <c r="H62" t="inlineStr">
        <is>
          <t>/documents/drivers/DRV-009_FMCSA.pdf</t>
        </is>
      </c>
      <c r="I62" t="inlineStr">
        <is>
          <t>FMCSA</t>
        </is>
      </c>
      <c r="J62" t="inlineStr">
        <is>
          <t>/documents/drivers/DRV-009_FMCSA.pdf</t>
        </is>
      </c>
      <c r="K62">
        <f>IF(G62="","MISSING_DATE",IF(G62&lt;TODAY(),"EXPIRED",IF(G62&lt;=TODAY()+30,"EXPIRING_SOON","VALID")))</f>
        <v/>
      </c>
      <c r="L62" t="inlineStr">
        <is>
          <t>DRV-009|FMCSA</t>
        </is>
      </c>
      <c r="M62" t="inlineStr">
        <is>
          <t>DRV-009_FMCSA.pdf</t>
        </is>
      </c>
      <c r="N62" t="inlineStr">
        <is>
          <t>/drivers/DRV-009.jpg</t>
        </is>
      </c>
      <c r="O62" t="inlineStr">
        <is>
          <t>/images/documents/DRV-009_FMCSA.jpg</t>
        </is>
      </c>
    </row>
    <row r="63">
      <c r="A63" t="inlineStr">
        <is>
          <t>DRV-009</t>
        </is>
      </c>
      <c r="B63" t="inlineStr">
        <is>
          <t>Emma Brown</t>
        </is>
      </c>
      <c r="C63" t="inlineStr">
        <is>
          <t>206-700-7666</t>
        </is>
      </c>
      <c r="D63" t="inlineStr">
        <is>
          <t>330 Civic Center Dr, Columbus, OH</t>
        </is>
      </c>
      <c r="E63" t="inlineStr">
        <is>
          <t>VALID</t>
        </is>
      </c>
      <c r="F63" t="inlineStr">
        <is>
          <t>W-9 Summary</t>
        </is>
      </c>
      <c r="G63" s="63" t="n">
        <v>46060</v>
      </c>
      <c r="H63" t="inlineStr">
        <is>
          <t>/documents/drivers/DRV-009_W9.pdf</t>
        </is>
      </c>
      <c r="I63" t="inlineStr">
        <is>
          <t>W9</t>
        </is>
      </c>
      <c r="J63" t="inlineStr">
        <is>
          <t>/documents/drivers/DRV-009_W9.pdf</t>
        </is>
      </c>
      <c r="K63">
        <f>IF(G63="","MISSING_DATE",IF(G63&lt;TODAY(),"EXPIRED",IF(G63&lt;=TODAY()+30,"EXPIRING_SOON","VALID")))</f>
        <v/>
      </c>
      <c r="L63" t="inlineStr">
        <is>
          <t>DRV-009|W9</t>
        </is>
      </c>
      <c r="M63" t="inlineStr">
        <is>
          <t>DRV-009_W9.pdf</t>
        </is>
      </c>
      <c r="N63" t="inlineStr">
        <is>
          <t>/drivers/DRV-009.jpg</t>
        </is>
      </c>
      <c r="O63" t="inlineStr">
        <is>
          <t>/images/documents/DRV-009_W9.jpg</t>
        </is>
      </c>
    </row>
    <row r="64">
      <c r="A64" t="inlineStr">
        <is>
          <t>DRV-009</t>
        </is>
      </c>
      <c r="B64" t="inlineStr">
        <is>
          <t>Emma Brown</t>
        </is>
      </c>
      <c r="C64" t="inlineStr">
        <is>
          <t>206-700-7666</t>
        </is>
      </c>
      <c r="D64" t="inlineStr">
        <is>
          <t>330 Civic Center Dr, Columbus, OH</t>
        </is>
      </c>
      <c r="E64" t="inlineStr">
        <is>
          <t>VALID</t>
        </is>
      </c>
      <c r="F64" t="inlineStr">
        <is>
          <t>Bank Information Sheet</t>
        </is>
      </c>
      <c r="G64" s="63" t="n">
        <v>46144</v>
      </c>
      <c r="H64" t="inlineStr">
        <is>
          <t>/documents/drivers/DRV-009_BANK_INFO.pdf</t>
        </is>
      </c>
      <c r="I64" t="inlineStr">
        <is>
          <t>BANK_INFO</t>
        </is>
      </c>
      <c r="J64" t="inlineStr">
        <is>
          <t>/documents/drivers/DRV-009_BANK_INFO.pdf</t>
        </is>
      </c>
      <c r="K64">
        <f>IF(G64="","MISSING_DATE",IF(G64&lt;TODAY(),"EXPIRED",IF(G64&lt;=TODAY()+30,"EXPIRING_SOON","VALID")))</f>
        <v/>
      </c>
      <c r="L64" t="inlineStr">
        <is>
          <t>DRV-009|BANK_INFO</t>
        </is>
      </c>
      <c r="M64" t="inlineStr">
        <is>
          <t>DRV-009_BANK_INFO.pdf</t>
        </is>
      </c>
      <c r="N64" t="inlineStr">
        <is>
          <t>/drivers/DRV-009.jpg</t>
        </is>
      </c>
      <c r="O64" t="inlineStr">
        <is>
          <t>/images/documents/DRV-009_BANK_INFO.jpg</t>
        </is>
      </c>
    </row>
    <row r="65">
      <c r="A65" t="inlineStr">
        <is>
          <t>DRV-010</t>
        </is>
      </c>
      <c r="B65" t="inlineStr">
        <is>
          <t>Noah Wilson</t>
        </is>
      </c>
      <c r="C65" t="inlineStr">
        <is>
          <t>582-987-2387</t>
        </is>
      </c>
      <c r="D65" t="inlineStr">
        <is>
          <t>110 W Adams St, Chicago, IL</t>
        </is>
      </c>
      <c r="E65" t="inlineStr">
        <is>
          <t>VALID</t>
        </is>
      </c>
      <c r="F65" t="inlineStr">
        <is>
          <t>CDL Summary</t>
        </is>
      </c>
      <c r="G65" s="63" t="n">
        <v>45983</v>
      </c>
      <c r="H65" t="inlineStr">
        <is>
          <t>/documents/drivers/DRV-010_CDL.pdf</t>
        </is>
      </c>
      <c r="I65" t="inlineStr">
        <is>
          <t>CDL</t>
        </is>
      </c>
      <c r="J65" t="inlineStr">
        <is>
          <t>/documents/drivers/DRV-010_CDL.pdf</t>
        </is>
      </c>
      <c r="K65">
        <f>IF(G65="","MISSING_DATE",IF(G65&lt;TODAY(),"EXPIRED",IF(G65&lt;=TODAY()+30,"EXPIRING_SOON","VALID")))</f>
        <v/>
      </c>
      <c r="L65" t="inlineStr">
        <is>
          <t>DRV-010|CDL</t>
        </is>
      </c>
      <c r="M65" t="inlineStr">
        <is>
          <t>DRV-010_CDL.pdf</t>
        </is>
      </c>
      <c r="N65" t="inlineStr">
        <is>
          <t>/drivers/DRV-010.jpg</t>
        </is>
      </c>
      <c r="O65" t="inlineStr">
        <is>
          <t>/images/documents/DRV-010_CDL.jpg</t>
        </is>
      </c>
    </row>
    <row r="66">
      <c r="A66" t="inlineStr">
        <is>
          <t>DRV-010</t>
        </is>
      </c>
      <c r="B66" t="inlineStr">
        <is>
          <t>Noah Wilson</t>
        </is>
      </c>
      <c r="C66" t="inlineStr">
        <is>
          <t>582-987-2387</t>
        </is>
      </c>
      <c r="D66" t="inlineStr">
        <is>
          <t>110 W Adams St, Chicago, IL</t>
        </is>
      </c>
      <c r="E66" t="inlineStr">
        <is>
          <t>VALID</t>
        </is>
      </c>
      <c r="F66" t="inlineStr">
        <is>
          <t>Medical Certification Summary</t>
        </is>
      </c>
      <c r="G66" s="63" t="n">
        <v>46012</v>
      </c>
      <c r="H66" t="inlineStr">
        <is>
          <t>/documents/drivers/DRV-010_MEDICAL.pdf</t>
        </is>
      </c>
      <c r="I66" t="inlineStr">
        <is>
          <t>MEDICAL_CARD</t>
        </is>
      </c>
      <c r="J66" t="inlineStr">
        <is>
          <t>/documents/drivers/DRV-010_MEDICAL.pdf</t>
        </is>
      </c>
      <c r="K66">
        <f>IF(G66="","MISSING_DATE",IF(G66&lt;TODAY(),"EXPIRED",IF(G66&lt;=TODAY()+30,"EXPIRING_SOON","VALID")))</f>
        <v/>
      </c>
      <c r="L66" t="inlineStr">
        <is>
          <t>DRV-010|MEDICAL_CARD</t>
        </is>
      </c>
      <c r="M66" t="inlineStr">
        <is>
          <t>DRV-010_MEDICAL.pdf</t>
        </is>
      </c>
      <c r="N66" t="inlineStr">
        <is>
          <t>/drivers/DRV-010.jpg</t>
        </is>
      </c>
      <c r="O66" t="inlineStr">
        <is>
          <t>/images/documents/DRV-010_MEDICAL_CARD.jpg</t>
        </is>
      </c>
    </row>
    <row r="67">
      <c r="A67" t="inlineStr">
        <is>
          <t>DRV-010</t>
        </is>
      </c>
      <c r="B67" t="inlineStr">
        <is>
          <t>Noah Wilson</t>
        </is>
      </c>
      <c r="C67" t="inlineStr">
        <is>
          <t>582-987-2387</t>
        </is>
      </c>
      <c r="D67" t="inlineStr">
        <is>
          <t>110 W Adams St, Chicago, IL</t>
        </is>
      </c>
      <c r="E67" t="inlineStr">
        <is>
          <t>VALID</t>
        </is>
      </c>
      <c r="F67" t="inlineStr">
        <is>
          <t>MVR Summary</t>
        </is>
      </c>
      <c r="G67" s="63" t="n">
        <v>46056</v>
      </c>
      <c r="H67" t="inlineStr">
        <is>
          <t>/documents/drivers/DRV-010_MVR.pdf</t>
        </is>
      </c>
      <c r="I67" t="inlineStr">
        <is>
          <t>MVR</t>
        </is>
      </c>
      <c r="J67" t="inlineStr">
        <is>
          <t>/documents/drivers/DRV-010_MVR.pdf</t>
        </is>
      </c>
      <c r="K67">
        <f>IF(G67="","MISSING_DATE",IF(G67&lt;TODAY(),"EXPIRED",IF(G67&lt;=TODAY()+30,"EXPIRING_SOON","VALID")))</f>
        <v/>
      </c>
      <c r="L67" t="inlineStr">
        <is>
          <t>DRV-010|MVR</t>
        </is>
      </c>
      <c r="M67" t="inlineStr">
        <is>
          <t>DRV-010_MVR.pdf</t>
        </is>
      </c>
      <c r="N67" t="inlineStr">
        <is>
          <t>/drivers/DRV-010.jpg</t>
        </is>
      </c>
      <c r="O67" t="inlineStr">
        <is>
          <t>/images/documents/DRV-010_MVR.jpg</t>
        </is>
      </c>
    </row>
    <row r="68">
      <c r="A68" t="inlineStr">
        <is>
          <t>DRV-010</t>
        </is>
      </c>
      <c r="B68" t="inlineStr">
        <is>
          <t>Noah Wilson</t>
        </is>
      </c>
      <c r="C68" t="inlineStr">
        <is>
          <t>582-987-2387</t>
        </is>
      </c>
      <c r="D68" t="inlineStr">
        <is>
          <t>110 W Adams St, Chicago, IL</t>
        </is>
      </c>
      <c r="E68" t="inlineStr">
        <is>
          <t>VALID</t>
        </is>
      </c>
      <c r="F68" t="inlineStr">
        <is>
          <t>Employment Eligibility Summary</t>
        </is>
      </c>
      <c r="G68" s="63" t="n">
        <v>46024</v>
      </c>
      <c r="H68" t="inlineStr">
        <is>
          <t>/documents/drivers/DRV-010_I9.pdf</t>
        </is>
      </c>
      <c r="I68" t="inlineStr">
        <is>
          <t>I9</t>
        </is>
      </c>
      <c r="J68" t="inlineStr">
        <is>
          <t>/documents/drivers/DRV-010_I9.pdf</t>
        </is>
      </c>
      <c r="K68">
        <f>IF(G68="","MISSING_DATE",IF(G68&lt;TODAY(),"EXPIRED",IF(G68&lt;=TODAY()+30,"EXPIRING_SOON","VALID")))</f>
        <v/>
      </c>
      <c r="L68" t="inlineStr">
        <is>
          <t>DRV-010|I9</t>
        </is>
      </c>
      <c r="M68" t="inlineStr">
        <is>
          <t>DRV-010_I9.pdf</t>
        </is>
      </c>
      <c r="N68" t="inlineStr">
        <is>
          <t>/drivers/DRV-010.jpg</t>
        </is>
      </c>
      <c r="O68" t="inlineStr">
        <is>
          <t>/images/documents/DRV-010_I9.jpg</t>
        </is>
      </c>
    </row>
    <row r="69">
      <c r="A69" t="inlineStr">
        <is>
          <t>DRV-010</t>
        </is>
      </c>
      <c r="B69" t="inlineStr">
        <is>
          <t>Noah Wilson</t>
        </is>
      </c>
      <c r="C69" t="inlineStr">
        <is>
          <t>582-987-2387</t>
        </is>
      </c>
      <c r="D69" t="inlineStr">
        <is>
          <t>110 W Adams St, Chicago, IL</t>
        </is>
      </c>
      <c r="E69" t="inlineStr">
        <is>
          <t>VALID</t>
        </is>
      </c>
      <c r="F69" t="inlineStr">
        <is>
          <t>FMCSA Compliance Summary</t>
        </is>
      </c>
      <c r="G69" s="63" t="n">
        <v>45985</v>
      </c>
      <c r="H69" t="inlineStr">
        <is>
          <t>/documents/drivers/DRV-010_FMCSA.pdf</t>
        </is>
      </c>
      <c r="I69" t="inlineStr">
        <is>
          <t>FMCSA</t>
        </is>
      </c>
      <c r="J69" t="inlineStr">
        <is>
          <t>/documents/drivers/DRV-010_FMCSA.pdf</t>
        </is>
      </c>
      <c r="K69">
        <f>IF(G69="","MISSING_DATE",IF(G69&lt;TODAY(),"EXPIRED",IF(G69&lt;=TODAY()+30,"EXPIRING_SOON","VALID")))</f>
        <v/>
      </c>
      <c r="L69" t="inlineStr">
        <is>
          <t>DRV-010|FMCSA</t>
        </is>
      </c>
      <c r="M69" t="inlineStr">
        <is>
          <t>DRV-010_FMCSA.pdf</t>
        </is>
      </c>
      <c r="N69" t="inlineStr">
        <is>
          <t>/drivers/DRV-010.jpg</t>
        </is>
      </c>
      <c r="O69" t="inlineStr">
        <is>
          <t>/images/documents/DRV-010_FMCSA.jpg</t>
        </is>
      </c>
    </row>
    <row r="70">
      <c r="A70" t="inlineStr">
        <is>
          <t>DRV-010</t>
        </is>
      </c>
      <c r="B70" t="inlineStr">
        <is>
          <t>Noah Wilson</t>
        </is>
      </c>
      <c r="C70" t="inlineStr">
        <is>
          <t>582-987-2387</t>
        </is>
      </c>
      <c r="D70" t="inlineStr">
        <is>
          <t>110 W Adams St, Chicago, IL</t>
        </is>
      </c>
      <c r="E70" t="inlineStr">
        <is>
          <t>VALID</t>
        </is>
      </c>
      <c r="F70" t="inlineStr">
        <is>
          <t>W-9 Summary</t>
        </is>
      </c>
      <c r="G70" s="63" t="n">
        <v>46208</v>
      </c>
      <c r="H70" t="inlineStr">
        <is>
          <t>/documents/drivers/DRV-010_W9.pdf</t>
        </is>
      </c>
      <c r="I70" t="inlineStr">
        <is>
          <t>W9</t>
        </is>
      </c>
      <c r="J70" t="inlineStr">
        <is>
          <t>/documents/drivers/DRV-010_W9.pdf</t>
        </is>
      </c>
      <c r="K70">
        <f>IF(G70="","MISSING_DATE",IF(G70&lt;TODAY(),"EXPIRED",IF(G70&lt;=TODAY()+30,"EXPIRING_SOON","VALID")))</f>
        <v/>
      </c>
      <c r="L70" t="inlineStr">
        <is>
          <t>DRV-010|W9</t>
        </is>
      </c>
      <c r="M70" t="inlineStr">
        <is>
          <t>DRV-010_W9.pdf</t>
        </is>
      </c>
      <c r="N70" t="inlineStr">
        <is>
          <t>/drivers/DRV-010.jpg</t>
        </is>
      </c>
      <c r="O70" t="inlineStr">
        <is>
          <t>/images/documents/DRV-010_W9.jpg</t>
        </is>
      </c>
    </row>
    <row r="71">
      <c r="A71" t="inlineStr">
        <is>
          <t>DRV-010</t>
        </is>
      </c>
      <c r="B71" t="inlineStr">
        <is>
          <t>Noah Wilson</t>
        </is>
      </c>
      <c r="C71" t="inlineStr">
        <is>
          <t>582-987-2387</t>
        </is>
      </c>
      <c r="D71" t="inlineStr">
        <is>
          <t>110 W Adams St, Chicago, IL</t>
        </is>
      </c>
      <c r="E71" t="inlineStr">
        <is>
          <t>VALID</t>
        </is>
      </c>
      <c r="F71" t="inlineStr">
        <is>
          <t>Bank Information Sheet</t>
        </is>
      </c>
      <c r="G71" s="63" t="n">
        <v>46061</v>
      </c>
      <c r="H71" t="inlineStr">
        <is>
          <t>/documents/drivers/DRV-010_BANK_INFO.pdf</t>
        </is>
      </c>
      <c r="I71" t="inlineStr">
        <is>
          <t>BANK_INFO</t>
        </is>
      </c>
      <c r="J71" t="inlineStr">
        <is>
          <t>/documents/drivers/DRV-010_BANK_INFO.pdf</t>
        </is>
      </c>
      <c r="K71">
        <f>IF(G71="","MISSING_DATE",IF(G71&lt;TODAY(),"EXPIRED",IF(G71&lt;=TODAY()+30,"EXPIRING_SOON","VALID")))</f>
        <v/>
      </c>
      <c r="L71" t="inlineStr">
        <is>
          <t>DRV-010|BANK_INFO</t>
        </is>
      </c>
      <c r="M71" t="inlineStr">
        <is>
          <t>DRV-010_BANK_INFO.pdf</t>
        </is>
      </c>
      <c r="N71" t="inlineStr">
        <is>
          <t>/drivers/DRV-010.jpg</t>
        </is>
      </c>
      <c r="O71" t="inlineStr">
        <is>
          <t>/images/documents/DRV-010_BANK_INFO.jpg</t>
        </is>
      </c>
    </row>
    <row r="72">
      <c r="A72" t="inlineStr">
        <is>
          <t>DRV-011</t>
        </is>
      </c>
      <c r="B72" t="inlineStr">
        <is>
          <t>Olivia Lee</t>
        </is>
      </c>
      <c r="C72" t="inlineStr">
        <is>
          <t>337-857-3607</t>
        </is>
      </c>
      <c r="D72" t="inlineStr">
        <is>
          <t>600 Peachtree St, Atlanta, GA</t>
        </is>
      </c>
      <c r="E72" t="inlineStr">
        <is>
          <t>VALID</t>
        </is>
      </c>
      <c r="F72" t="inlineStr">
        <is>
          <t>CDL Summary</t>
        </is>
      </c>
      <c r="G72" s="63" t="n">
        <v>46003</v>
      </c>
      <c r="H72" t="inlineStr">
        <is>
          <t>/documents/drivers/DRV-011_CDL.pdf</t>
        </is>
      </c>
      <c r="I72" t="inlineStr">
        <is>
          <t>CDL</t>
        </is>
      </c>
      <c r="J72" t="inlineStr">
        <is>
          <t>/documents/drivers/DRV-011_CDL.pdf</t>
        </is>
      </c>
      <c r="K72">
        <f>IF(G72="","MISSING_DATE",IF(G72&lt;TODAY(),"EXPIRED",IF(G72&lt;=TODAY()+30,"EXPIRING_SOON","VALID")))</f>
        <v/>
      </c>
      <c r="L72" t="inlineStr">
        <is>
          <t>DRV-011|CDL</t>
        </is>
      </c>
      <c r="M72" t="inlineStr">
        <is>
          <t>DRV-011_CDL.pdf</t>
        </is>
      </c>
      <c r="N72" t="inlineStr">
        <is>
          <t>/drivers/DRV-011.jpg</t>
        </is>
      </c>
      <c r="O72" t="inlineStr">
        <is>
          <t>/images/documents/DRV-011_CDL.jpg</t>
        </is>
      </c>
    </row>
    <row r="73">
      <c r="A73" t="inlineStr">
        <is>
          <t>DRV-011</t>
        </is>
      </c>
      <c r="B73" t="inlineStr">
        <is>
          <t>Olivia Lee</t>
        </is>
      </c>
      <c r="C73" t="inlineStr">
        <is>
          <t>337-857-3607</t>
        </is>
      </c>
      <c r="D73" t="inlineStr">
        <is>
          <t>600 Peachtree St, Atlanta, GA</t>
        </is>
      </c>
      <c r="E73" t="inlineStr">
        <is>
          <t>VALID</t>
        </is>
      </c>
      <c r="F73" t="inlineStr">
        <is>
          <t>Medical Certification Summary</t>
        </is>
      </c>
      <c r="G73" s="63" t="n">
        <v>45981</v>
      </c>
      <c r="H73" t="inlineStr">
        <is>
          <t>/documents/drivers/DRV-011_MEDICAL.pdf</t>
        </is>
      </c>
      <c r="I73" t="inlineStr">
        <is>
          <t>MEDICAL_CARD</t>
        </is>
      </c>
      <c r="J73" t="inlineStr">
        <is>
          <t>/documents/drivers/DRV-011_MEDICAL.pdf</t>
        </is>
      </c>
      <c r="K73">
        <f>IF(G73="","MISSING_DATE",IF(G73&lt;TODAY(),"EXPIRED",IF(G73&lt;=TODAY()+30,"EXPIRING_SOON","VALID")))</f>
        <v/>
      </c>
      <c r="L73" t="inlineStr">
        <is>
          <t>DRV-011|MEDICAL_CARD</t>
        </is>
      </c>
      <c r="M73" t="inlineStr">
        <is>
          <t>DRV-011_MEDICAL.pdf</t>
        </is>
      </c>
      <c r="N73" t="inlineStr">
        <is>
          <t>/drivers/DRV-011.jpg</t>
        </is>
      </c>
      <c r="O73" t="inlineStr">
        <is>
          <t>/images/documents/DRV-011_MEDICAL_CARD.jpg</t>
        </is>
      </c>
    </row>
    <row r="74">
      <c r="A74" t="inlineStr">
        <is>
          <t>DRV-011</t>
        </is>
      </c>
      <c r="B74" t="inlineStr">
        <is>
          <t>Olivia Lee</t>
        </is>
      </c>
      <c r="C74" t="inlineStr">
        <is>
          <t>337-857-3607</t>
        </is>
      </c>
      <c r="D74" t="inlineStr">
        <is>
          <t>600 Peachtree St, Atlanta, GA</t>
        </is>
      </c>
      <c r="E74" t="inlineStr">
        <is>
          <t>VALID</t>
        </is>
      </c>
      <c r="F74" t="inlineStr">
        <is>
          <t>MVR Summary</t>
        </is>
      </c>
      <c r="G74" s="63" t="n">
        <v>46109</v>
      </c>
      <c r="H74" t="inlineStr">
        <is>
          <t>/documents/drivers/DRV-011_MVR.pdf</t>
        </is>
      </c>
      <c r="I74" t="inlineStr">
        <is>
          <t>MVR</t>
        </is>
      </c>
      <c r="J74" t="inlineStr">
        <is>
          <t>/documents/drivers/DRV-011_MVR.pdf</t>
        </is>
      </c>
      <c r="K74">
        <f>IF(G74="","MISSING_DATE",IF(G74&lt;TODAY(),"EXPIRED",IF(G74&lt;=TODAY()+30,"EXPIRING_SOON","VALID")))</f>
        <v/>
      </c>
      <c r="L74" t="inlineStr">
        <is>
          <t>DRV-011|MVR</t>
        </is>
      </c>
      <c r="M74" t="inlineStr">
        <is>
          <t>DRV-011_MVR.pdf</t>
        </is>
      </c>
      <c r="N74" t="inlineStr">
        <is>
          <t>/drivers/DRV-011.jpg</t>
        </is>
      </c>
      <c r="O74" t="inlineStr">
        <is>
          <t>/images/documents/DRV-011_MVR.jpg</t>
        </is>
      </c>
    </row>
    <row r="75">
      <c r="A75" t="inlineStr">
        <is>
          <t>DRV-011</t>
        </is>
      </c>
      <c r="B75" t="inlineStr">
        <is>
          <t>Olivia Lee</t>
        </is>
      </c>
      <c r="C75" t="inlineStr">
        <is>
          <t>337-857-3607</t>
        </is>
      </c>
      <c r="D75" t="inlineStr">
        <is>
          <t>600 Peachtree St, Atlanta, GA</t>
        </is>
      </c>
      <c r="E75" t="inlineStr">
        <is>
          <t>VALID</t>
        </is>
      </c>
      <c r="F75" t="inlineStr">
        <is>
          <t>Employment Eligibility Summary</t>
        </is>
      </c>
      <c r="G75" s="63" t="n">
        <v>46185</v>
      </c>
      <c r="H75" t="inlineStr">
        <is>
          <t>/documents/drivers/DRV-011_I9.pdf</t>
        </is>
      </c>
      <c r="I75" t="inlineStr">
        <is>
          <t>I9</t>
        </is>
      </c>
      <c r="J75" t="inlineStr">
        <is>
          <t>/documents/drivers/DRV-011_I9.pdf</t>
        </is>
      </c>
      <c r="K75">
        <f>IF(G75="","MISSING_DATE",IF(G75&lt;TODAY(),"EXPIRED",IF(G75&lt;=TODAY()+30,"EXPIRING_SOON","VALID")))</f>
        <v/>
      </c>
      <c r="L75" t="inlineStr">
        <is>
          <t>DRV-011|I9</t>
        </is>
      </c>
      <c r="M75" t="inlineStr">
        <is>
          <t>DRV-011_I9.pdf</t>
        </is>
      </c>
      <c r="N75" t="inlineStr">
        <is>
          <t>/drivers/DRV-011.jpg</t>
        </is>
      </c>
      <c r="O75" t="inlineStr">
        <is>
          <t>/images/documents/DRV-011_I9.jpg</t>
        </is>
      </c>
    </row>
    <row r="76">
      <c r="A76" t="inlineStr">
        <is>
          <t>DRV-011</t>
        </is>
      </c>
      <c r="B76" t="inlineStr">
        <is>
          <t>Olivia Lee</t>
        </is>
      </c>
      <c r="C76" t="inlineStr">
        <is>
          <t>337-857-3607</t>
        </is>
      </c>
      <c r="D76" t="inlineStr">
        <is>
          <t>600 Peachtree St, Atlanta, GA</t>
        </is>
      </c>
      <c r="E76" t="inlineStr">
        <is>
          <t>VALID</t>
        </is>
      </c>
      <c r="F76" t="inlineStr">
        <is>
          <t>FMCSA Compliance Summary</t>
        </is>
      </c>
      <c r="G76" s="63" t="n">
        <v>46033</v>
      </c>
      <c r="H76" t="inlineStr">
        <is>
          <t>/documents/drivers/DRV-011_FMCSA.pdf</t>
        </is>
      </c>
      <c r="I76" t="inlineStr">
        <is>
          <t>FMCSA</t>
        </is>
      </c>
      <c r="J76" t="inlineStr">
        <is>
          <t>/documents/drivers/DRV-011_FMCSA.pdf</t>
        </is>
      </c>
      <c r="K76">
        <f>IF(G76="","MISSING_DATE",IF(G76&lt;TODAY(),"EXPIRED",IF(G76&lt;=TODAY()+30,"EXPIRING_SOON","VALID")))</f>
        <v/>
      </c>
      <c r="L76" t="inlineStr">
        <is>
          <t>DRV-011|FMCSA</t>
        </is>
      </c>
      <c r="M76" t="inlineStr">
        <is>
          <t>DRV-011_FMCSA.pdf</t>
        </is>
      </c>
      <c r="N76" t="inlineStr">
        <is>
          <t>/drivers/DRV-011.jpg</t>
        </is>
      </c>
      <c r="O76" t="inlineStr">
        <is>
          <t>/images/documents/DRV-011_FMCSA.jpg</t>
        </is>
      </c>
    </row>
    <row r="77">
      <c r="A77" t="inlineStr">
        <is>
          <t>DRV-011</t>
        </is>
      </c>
      <c r="B77" t="inlineStr">
        <is>
          <t>Olivia Lee</t>
        </is>
      </c>
      <c r="C77" t="inlineStr">
        <is>
          <t>337-857-3607</t>
        </is>
      </c>
      <c r="D77" t="inlineStr">
        <is>
          <t>600 Peachtree St, Atlanta, GA</t>
        </is>
      </c>
      <c r="E77" t="inlineStr">
        <is>
          <t>VALID</t>
        </is>
      </c>
      <c r="F77" t="inlineStr">
        <is>
          <t>W-9 Summary</t>
        </is>
      </c>
      <c r="G77" s="63" t="n">
        <v>46249</v>
      </c>
      <c r="H77" t="inlineStr">
        <is>
          <t>/documents/drivers/DRV-011_W9.pdf</t>
        </is>
      </c>
      <c r="I77" t="inlineStr">
        <is>
          <t>W9</t>
        </is>
      </c>
      <c r="J77" t="inlineStr">
        <is>
          <t>/documents/drivers/DRV-011_W9.pdf</t>
        </is>
      </c>
      <c r="K77">
        <f>IF(G77="","MISSING_DATE",IF(G77&lt;TODAY(),"EXPIRED",IF(G77&lt;=TODAY()+30,"EXPIRING_SOON","VALID")))</f>
        <v/>
      </c>
      <c r="L77" t="inlineStr">
        <is>
          <t>DRV-011|W9</t>
        </is>
      </c>
      <c r="M77" t="inlineStr">
        <is>
          <t>DRV-011_W9.pdf</t>
        </is>
      </c>
      <c r="N77" t="inlineStr">
        <is>
          <t>/drivers/DRV-011.jpg</t>
        </is>
      </c>
      <c r="O77" t="inlineStr">
        <is>
          <t>/images/documents/DRV-011_W9.jpg</t>
        </is>
      </c>
    </row>
    <row r="78">
      <c r="A78" t="inlineStr">
        <is>
          <t>DRV-011</t>
        </is>
      </c>
      <c r="B78" t="inlineStr">
        <is>
          <t>Olivia Lee</t>
        </is>
      </c>
      <c r="C78" t="inlineStr">
        <is>
          <t>337-857-3607</t>
        </is>
      </c>
      <c r="D78" t="inlineStr">
        <is>
          <t>600 Peachtree St, Atlanta, GA</t>
        </is>
      </c>
      <c r="E78" t="inlineStr">
        <is>
          <t>VALID</t>
        </is>
      </c>
      <c r="F78" t="inlineStr">
        <is>
          <t>Bank Information Sheet</t>
        </is>
      </c>
      <c r="G78" s="63" t="n">
        <v>46025</v>
      </c>
      <c r="H78" t="inlineStr">
        <is>
          <t>/documents/drivers/DRV-011_BANK_INFO.pdf</t>
        </is>
      </c>
      <c r="I78" t="inlineStr">
        <is>
          <t>BANK_INFO</t>
        </is>
      </c>
      <c r="J78" t="inlineStr">
        <is>
          <t>/documents/drivers/DRV-011_BANK_INFO.pdf</t>
        </is>
      </c>
      <c r="K78">
        <f>IF(G78="","MISSING_DATE",IF(G78&lt;TODAY(),"EXPIRED",IF(G78&lt;=TODAY()+30,"EXPIRING_SOON","VALID")))</f>
        <v/>
      </c>
      <c r="L78" t="inlineStr">
        <is>
          <t>DRV-011|BANK_INFO</t>
        </is>
      </c>
      <c r="M78" t="inlineStr">
        <is>
          <t>DRV-011_BANK_INFO.pdf</t>
        </is>
      </c>
      <c r="N78" t="inlineStr">
        <is>
          <t>/drivers/DRV-011.jpg</t>
        </is>
      </c>
      <c r="O78" t="inlineStr">
        <is>
          <t>/images/documents/DRV-011_BANK_INFO.jpg</t>
        </is>
      </c>
    </row>
    <row r="79">
      <c r="A79" t="inlineStr">
        <is>
          <t>DRV-012</t>
        </is>
      </c>
      <c r="B79" t="inlineStr">
        <is>
          <t>Robert Johnson</t>
        </is>
      </c>
      <c r="C79" t="inlineStr">
        <is>
          <t>618-623-9317</t>
        </is>
      </c>
      <c r="D79" t="inlineStr">
        <is>
          <t>88 S Main St, Akron, OH</t>
        </is>
      </c>
      <c r="E79" t="inlineStr">
        <is>
          <t>VALID</t>
        </is>
      </c>
      <c r="F79" t="inlineStr">
        <is>
          <t>CDL Summary</t>
        </is>
      </c>
      <c r="G79" s="63" t="n">
        <v>46135</v>
      </c>
      <c r="H79" t="inlineStr">
        <is>
          <t>/documents/drivers/DRV-012_CDL.pdf</t>
        </is>
      </c>
      <c r="I79" t="inlineStr">
        <is>
          <t>CDL</t>
        </is>
      </c>
      <c r="J79" t="inlineStr">
        <is>
          <t>/documents/drivers/DRV-012_CDL.pdf</t>
        </is>
      </c>
      <c r="K79">
        <f>IF(G79="","MISSING_DATE",IF(G79&lt;TODAY(),"EXPIRED",IF(G79&lt;=TODAY()+30,"EXPIRING_SOON","VALID")))</f>
        <v/>
      </c>
      <c r="L79" t="inlineStr">
        <is>
          <t>DRV-012|CDL</t>
        </is>
      </c>
      <c r="M79" t="inlineStr">
        <is>
          <t>DRV-012_CDL.pdf</t>
        </is>
      </c>
      <c r="N79" t="inlineStr">
        <is>
          <t>/drivers/DRV-012.jpg</t>
        </is>
      </c>
      <c r="O79" t="inlineStr">
        <is>
          <t>/images/documents/DRV-012_CDL.jpg</t>
        </is>
      </c>
    </row>
    <row r="80">
      <c r="A80" t="inlineStr">
        <is>
          <t>DRV-012</t>
        </is>
      </c>
      <c r="B80" t="inlineStr">
        <is>
          <t>Robert Johnson</t>
        </is>
      </c>
      <c r="C80" t="inlineStr">
        <is>
          <t>618-623-9317</t>
        </is>
      </c>
      <c r="D80" t="inlineStr">
        <is>
          <t>88 S Main St, Akron, OH</t>
        </is>
      </c>
      <c r="E80" t="inlineStr">
        <is>
          <t>VALID</t>
        </is>
      </c>
      <c r="F80" t="inlineStr">
        <is>
          <t>Medical Certification Summary</t>
        </is>
      </c>
      <c r="G80" s="63" t="n">
        <v>46042</v>
      </c>
      <c r="H80" t="inlineStr">
        <is>
          <t>/documents/drivers/DRV-012_MEDICAL.pdf</t>
        </is>
      </c>
      <c r="I80" t="inlineStr">
        <is>
          <t>MEDICAL_CARD</t>
        </is>
      </c>
      <c r="J80" t="inlineStr">
        <is>
          <t>/documents/drivers/DRV-012_MEDICAL.pdf</t>
        </is>
      </c>
      <c r="K80">
        <f>IF(G80="","MISSING_DATE",IF(G80&lt;TODAY(),"EXPIRED",IF(G80&lt;=TODAY()+30,"EXPIRING_SOON","VALID")))</f>
        <v/>
      </c>
      <c r="L80" t="inlineStr">
        <is>
          <t>DRV-012|MEDICAL_CARD</t>
        </is>
      </c>
      <c r="M80" t="inlineStr">
        <is>
          <t>DRV-012_MEDICAL.pdf</t>
        </is>
      </c>
      <c r="N80" t="inlineStr">
        <is>
          <t>/drivers/DRV-012.jpg</t>
        </is>
      </c>
      <c r="O80" t="inlineStr">
        <is>
          <t>/images/documents/DRV-012_MEDICAL_CARD.jpg</t>
        </is>
      </c>
    </row>
    <row r="81">
      <c r="A81" t="inlineStr">
        <is>
          <t>DRV-012</t>
        </is>
      </c>
      <c r="B81" t="inlineStr">
        <is>
          <t>Robert Johnson</t>
        </is>
      </c>
      <c r="C81" t="inlineStr">
        <is>
          <t>618-623-9317</t>
        </is>
      </c>
      <c r="D81" t="inlineStr">
        <is>
          <t>88 S Main St, Akron, OH</t>
        </is>
      </c>
      <c r="E81" t="inlineStr">
        <is>
          <t>VALID</t>
        </is>
      </c>
      <c r="F81" t="inlineStr">
        <is>
          <t>MVR Summary</t>
        </is>
      </c>
      <c r="G81" s="63" t="n">
        <v>45997</v>
      </c>
      <c r="H81" t="inlineStr">
        <is>
          <t>/documents/drivers/DRV-012_MVR.pdf</t>
        </is>
      </c>
      <c r="I81" t="inlineStr">
        <is>
          <t>MVR</t>
        </is>
      </c>
      <c r="J81" t="inlineStr">
        <is>
          <t>/documents/drivers/DRV-012_MVR.pdf</t>
        </is>
      </c>
      <c r="K81">
        <f>IF(G81="","MISSING_DATE",IF(G81&lt;TODAY(),"EXPIRED",IF(G81&lt;=TODAY()+30,"EXPIRING_SOON","VALID")))</f>
        <v/>
      </c>
      <c r="L81" t="inlineStr">
        <is>
          <t>DRV-012|MVR</t>
        </is>
      </c>
      <c r="M81" t="inlineStr">
        <is>
          <t>DRV-012_MVR.pdf</t>
        </is>
      </c>
      <c r="N81" t="inlineStr">
        <is>
          <t>/drivers/DRV-012.jpg</t>
        </is>
      </c>
      <c r="O81" t="inlineStr">
        <is>
          <t>/images/documents/DRV-012_MVR.jpg</t>
        </is>
      </c>
    </row>
    <row r="82">
      <c r="A82" t="inlineStr">
        <is>
          <t>DRV-012</t>
        </is>
      </c>
      <c r="B82" t="inlineStr">
        <is>
          <t>Robert Johnson</t>
        </is>
      </c>
      <c r="C82" t="inlineStr">
        <is>
          <t>618-623-9317</t>
        </is>
      </c>
      <c r="D82" t="inlineStr">
        <is>
          <t>88 S Main St, Akron, OH</t>
        </is>
      </c>
      <c r="E82" t="inlineStr">
        <is>
          <t>VALID</t>
        </is>
      </c>
      <c r="F82" t="inlineStr">
        <is>
          <t>Employment Eligibility Summary</t>
        </is>
      </c>
      <c r="G82" s="63" t="n">
        <v>46000</v>
      </c>
      <c r="H82" t="inlineStr">
        <is>
          <t>/documents/drivers/DRV-012_I9.pdf</t>
        </is>
      </c>
      <c r="I82" t="inlineStr">
        <is>
          <t>I9</t>
        </is>
      </c>
      <c r="J82" t="inlineStr">
        <is>
          <t>/documents/drivers/DRV-012_I9.pdf</t>
        </is>
      </c>
      <c r="K82">
        <f>IF(G82="","MISSING_DATE",IF(G82&lt;TODAY(),"EXPIRED",IF(G82&lt;=TODAY()+30,"EXPIRING_SOON","VALID")))</f>
        <v/>
      </c>
      <c r="L82" t="inlineStr">
        <is>
          <t>DRV-012|I9</t>
        </is>
      </c>
      <c r="M82" t="inlineStr">
        <is>
          <t>DRV-012_I9.pdf</t>
        </is>
      </c>
      <c r="N82" t="inlineStr">
        <is>
          <t>/drivers/DRV-012.jpg</t>
        </is>
      </c>
      <c r="O82" t="inlineStr">
        <is>
          <t>/images/documents/DRV-012_I9.jpg</t>
        </is>
      </c>
    </row>
    <row r="83">
      <c r="A83" t="inlineStr">
        <is>
          <t>DRV-012</t>
        </is>
      </c>
      <c r="B83" t="inlineStr">
        <is>
          <t>Robert Johnson</t>
        </is>
      </c>
      <c r="C83" t="inlineStr">
        <is>
          <t>618-623-9317</t>
        </is>
      </c>
      <c r="D83" t="inlineStr">
        <is>
          <t>88 S Main St, Akron, OH</t>
        </is>
      </c>
      <c r="E83" t="inlineStr">
        <is>
          <t>VALID</t>
        </is>
      </c>
      <c r="F83" t="inlineStr">
        <is>
          <t>FMCSA Compliance Summary</t>
        </is>
      </c>
      <c r="G83" s="63" t="n">
        <v>46147</v>
      </c>
      <c r="H83" t="inlineStr">
        <is>
          <t>/documents/drivers/DRV-012_FMCSA.pdf</t>
        </is>
      </c>
      <c r="I83" t="inlineStr">
        <is>
          <t>FMCSA</t>
        </is>
      </c>
      <c r="J83" t="inlineStr">
        <is>
          <t>/documents/drivers/DRV-012_FMCSA.pdf</t>
        </is>
      </c>
      <c r="K83">
        <f>IF(G83="","MISSING_DATE",IF(G83&lt;TODAY(),"EXPIRED",IF(G83&lt;=TODAY()+30,"EXPIRING_SOON","VALID")))</f>
        <v/>
      </c>
      <c r="L83" t="inlineStr">
        <is>
          <t>DRV-012|FMCSA</t>
        </is>
      </c>
      <c r="M83" t="inlineStr">
        <is>
          <t>DRV-012_FMCSA.pdf</t>
        </is>
      </c>
      <c r="N83" t="inlineStr">
        <is>
          <t>/drivers/DRV-012.jpg</t>
        </is>
      </c>
      <c r="O83" t="inlineStr">
        <is>
          <t>/images/documents/DRV-012_FMCSA.jpg</t>
        </is>
      </c>
    </row>
    <row r="84">
      <c r="A84" t="inlineStr">
        <is>
          <t>DRV-012</t>
        </is>
      </c>
      <c r="B84" t="inlineStr">
        <is>
          <t>Robert Johnson</t>
        </is>
      </c>
      <c r="C84" t="inlineStr">
        <is>
          <t>618-623-9317</t>
        </is>
      </c>
      <c r="D84" t="inlineStr">
        <is>
          <t>88 S Main St, Akron, OH</t>
        </is>
      </c>
      <c r="E84" t="inlineStr">
        <is>
          <t>VALID</t>
        </is>
      </c>
      <c r="F84" t="inlineStr">
        <is>
          <t>W-9 Summary</t>
        </is>
      </c>
      <c r="G84" s="63" t="n">
        <v>46018</v>
      </c>
      <c r="H84" t="inlineStr">
        <is>
          <t>/documents/drivers/DRV-012_W9.pdf</t>
        </is>
      </c>
      <c r="I84" t="inlineStr">
        <is>
          <t>W9</t>
        </is>
      </c>
      <c r="J84" t="inlineStr">
        <is>
          <t>/documents/drivers/DRV-012_W9.pdf</t>
        </is>
      </c>
      <c r="K84">
        <f>IF(G84="","MISSING_DATE",IF(G84&lt;TODAY(),"EXPIRED",IF(G84&lt;=TODAY()+30,"EXPIRING_SOON","VALID")))</f>
        <v/>
      </c>
      <c r="L84" t="inlineStr">
        <is>
          <t>DRV-012|W9</t>
        </is>
      </c>
      <c r="M84" t="inlineStr">
        <is>
          <t>DRV-012_W9.pdf</t>
        </is>
      </c>
      <c r="N84" t="inlineStr">
        <is>
          <t>/drivers/DRV-012.jpg</t>
        </is>
      </c>
      <c r="O84" t="inlineStr">
        <is>
          <t>/images/documents/DRV-012_W9.jpg</t>
        </is>
      </c>
    </row>
    <row r="85">
      <c r="A85" t="inlineStr">
        <is>
          <t>DRV-012</t>
        </is>
      </c>
      <c r="B85" t="inlineStr">
        <is>
          <t>Robert Johnson</t>
        </is>
      </c>
      <c r="C85" t="inlineStr">
        <is>
          <t>618-623-9317</t>
        </is>
      </c>
      <c r="D85" t="inlineStr">
        <is>
          <t>88 S Main St, Akron, OH</t>
        </is>
      </c>
      <c r="E85" t="inlineStr">
        <is>
          <t>VALID</t>
        </is>
      </c>
      <c r="F85" t="inlineStr">
        <is>
          <t>Bank Information Sheet</t>
        </is>
      </c>
      <c r="G85" s="63" t="n">
        <v>46069</v>
      </c>
      <c r="H85" t="inlineStr">
        <is>
          <t>/documents/drivers/DRV-012_BANK_INFO.pdf</t>
        </is>
      </c>
      <c r="I85" t="inlineStr">
        <is>
          <t>BANK_INFO</t>
        </is>
      </c>
      <c r="J85" t="inlineStr">
        <is>
          <t>/documents/drivers/DRV-012_BANK_INFO.pdf</t>
        </is>
      </c>
      <c r="K85">
        <f>IF(G85="","MISSING_DATE",IF(G85&lt;TODAY(),"EXPIRED",IF(G85&lt;=TODAY()+30,"EXPIRING_SOON","VALID")))</f>
        <v/>
      </c>
      <c r="L85" t="inlineStr">
        <is>
          <t>DRV-012|BANK_INFO</t>
        </is>
      </c>
      <c r="M85" t="inlineStr">
        <is>
          <t>DRV-012_BANK_INFO.pdf</t>
        </is>
      </c>
      <c r="N85" t="inlineStr">
        <is>
          <t>/drivers/DRV-012.jpg</t>
        </is>
      </c>
      <c r="O85" t="inlineStr">
        <is>
          <t>/images/documents/DRV-012_BANK_INFO.jpg</t>
        </is>
      </c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selection activeCell="A1" sqref="A1"/>
    </sheetView>
  </sheetViews>
  <sheetFormatPr baseColWidth="8" defaultRowHeight="15"/>
  <cols>
    <col width="10" customWidth="1" style="24" min="1" max="1"/>
    <col width="20" customWidth="1" style="24" min="2" max="2"/>
    <col width="22" customWidth="1" style="24" min="3" max="3"/>
    <col width="21" customWidth="1" style="24" min="4" max="4"/>
    <col width="21" customWidth="1" style="24" min="5" max="5"/>
    <col width="28" customWidth="1" style="24" min="6" max="6"/>
    <col width="28" customWidth="1" style="24" min="7" max="7"/>
    <col width="14" customWidth="1" style="24" min="8" max="8"/>
  </cols>
  <sheetData>
    <row r="1">
      <c r="A1" s="49" t="inlineStr">
        <is>
          <t>Asset ID</t>
        </is>
      </c>
      <c r="B1" s="49" t="inlineStr">
        <is>
          <t>Assigned Driver ID</t>
        </is>
      </c>
      <c r="C1" s="49" t="inlineStr">
        <is>
          <t>Assigned Driver Name</t>
        </is>
      </c>
      <c r="D1" s="49" t="inlineStr">
        <is>
          <t>Last Service Date</t>
        </is>
      </c>
      <c r="E1" s="49" t="inlineStr">
        <is>
          <t>Next Service Date</t>
        </is>
      </c>
      <c r="F1" s="49" t="inlineStr">
        <is>
          <t>Status Indicator</t>
        </is>
      </c>
      <c r="G1" s="49" t="inlineStr">
        <is>
          <t>Service Status</t>
        </is>
      </c>
      <c r="H1" s="49" t="inlineStr">
        <is>
          <t>Export Ready</t>
        </is>
      </c>
    </row>
    <row r="2">
      <c r="A2" t="inlineStr">
        <is>
          <t>T-101</t>
        </is>
      </c>
      <c r="B2" t="inlineStr">
        <is>
          <t>DRV-012</t>
        </is>
      </c>
      <c r="D2" s="63" t="n">
        <v>45777</v>
      </c>
      <c r="E2" s="63" t="n">
        <v>46119</v>
      </c>
      <c r="F2">
        <f>IF(E2&lt;TODAY(),"EXPIRED",IF(E2&lt;=TODAY()+30,"DUE_SOON","OK"))</f>
        <v/>
      </c>
      <c r="G2">
        <f>IF(E2&lt;TODAY(),"EXPIRED",IF(E2&lt;=TODAY()+30,"DUE_SOON","OK"))</f>
        <v/>
      </c>
      <c r="H2" t="inlineStr">
        <is>
          <t>YES</t>
        </is>
      </c>
    </row>
    <row r="3">
      <c r="A3" t="inlineStr">
        <is>
          <t>T-102</t>
        </is>
      </c>
      <c r="B3" t="inlineStr">
        <is>
          <t>DRV-001</t>
        </is>
      </c>
      <c r="C3" t="inlineStr">
        <is>
          <t>John Carter</t>
        </is>
      </c>
      <c r="D3" s="63" t="n">
        <v>46011</v>
      </c>
      <c r="E3" s="63" t="n">
        <v>46067</v>
      </c>
      <c r="F3">
        <f>IF(E3&lt;TODAY(),"EXPIRED",IF(E3&lt;=TODAY()+30,"DUE_SOON","OK"))</f>
        <v/>
      </c>
      <c r="G3">
        <f>IF(E3&lt;TODAY(),"EXPIRED",IF(E3&lt;=TODAY()+30,"DUE_SOON","OK"))</f>
        <v/>
      </c>
      <c r="H3" t="inlineStr">
        <is>
          <t>YES</t>
        </is>
      </c>
    </row>
    <row r="4">
      <c r="A4" t="inlineStr">
        <is>
          <t>T-103</t>
        </is>
      </c>
      <c r="B4" t="inlineStr">
        <is>
          <t>DRV-006</t>
        </is>
      </c>
      <c r="C4" t="inlineStr">
        <is>
          <t>Marcus Chen</t>
        </is>
      </c>
      <c r="D4" s="63" t="n">
        <v>45781</v>
      </c>
      <c r="E4" s="63" t="n">
        <v>46095</v>
      </c>
      <c r="F4">
        <f>IF(E4&lt;TODAY(),"EXPIRED",IF(E4&lt;=TODAY()+30,"DUE_SOON","OK"))</f>
        <v/>
      </c>
      <c r="G4">
        <f>IF(E4&lt;TODAY(),"EXPIRED",IF(E4&lt;=TODAY()+30,"DUE_SOON","OK"))</f>
        <v/>
      </c>
      <c r="H4" t="inlineStr">
        <is>
          <t>YES</t>
        </is>
      </c>
    </row>
    <row r="5">
      <c r="A5" t="inlineStr">
        <is>
          <t>T-104</t>
        </is>
      </c>
      <c r="B5" t="inlineStr">
        <is>
          <t>DRV-005</t>
        </is>
      </c>
      <c r="C5" t="inlineStr">
        <is>
          <t>Kenji Tanaka</t>
        </is>
      </c>
      <c r="D5" s="63" t="n">
        <v>45726</v>
      </c>
      <c r="E5" s="63" t="n">
        <v>46077</v>
      </c>
      <c r="F5">
        <f>IF(E5&lt;TODAY(),"EXPIRED",IF(E5&lt;=TODAY()+30,"DUE_SOON","OK"))</f>
        <v/>
      </c>
      <c r="G5">
        <f>IF(E5&lt;TODAY(),"EXPIRED",IF(E5&lt;=TODAY()+30,"DUE_SOON","OK"))</f>
        <v/>
      </c>
      <c r="H5" t="inlineStr">
        <is>
          <t>YES</t>
        </is>
      </c>
    </row>
    <row r="6">
      <c r="A6" t="inlineStr">
        <is>
          <t>T-105</t>
        </is>
      </c>
      <c r="B6" t="inlineStr">
        <is>
          <t>DRV-010</t>
        </is>
      </c>
      <c r="C6" t="inlineStr">
        <is>
          <t>Noah Wilson</t>
        </is>
      </c>
      <c r="D6" s="63" t="n">
        <v>45747</v>
      </c>
      <c r="E6" s="63" t="n">
        <v>46165</v>
      </c>
      <c r="F6">
        <f>IF(E6&lt;TODAY(),"EXPIRED",IF(E6&lt;=TODAY()+30,"DUE_SOON","OK"))</f>
        <v/>
      </c>
      <c r="G6">
        <f>IF(E6&lt;TODAY(),"EXPIRED",IF(E6&lt;=TODAY()+30,"DUE_SOON","OK"))</f>
        <v/>
      </c>
      <c r="H6" t="inlineStr">
        <is>
          <t>YES</t>
        </is>
      </c>
    </row>
    <row r="7">
      <c r="A7" t="inlineStr">
        <is>
          <t>T-106</t>
        </is>
      </c>
      <c r="B7" t="inlineStr">
        <is>
          <t>DRV-008</t>
        </is>
      </c>
      <c r="C7" t="inlineStr">
        <is>
          <t>Liam Smith</t>
        </is>
      </c>
      <c r="D7" s="63" t="n">
        <v>45662</v>
      </c>
      <c r="E7" s="63" t="n">
        <v>46105</v>
      </c>
      <c r="F7">
        <f>IF(E7&lt;TODAY(),"EXPIRED",IF(E7&lt;=TODAY()+30,"DUE_SOON","OK"))</f>
        <v/>
      </c>
      <c r="G7">
        <f>IF(E7&lt;TODAY(),"EXPIRED",IF(E7&lt;=TODAY()+30,"DUE_SOON","OK"))</f>
        <v/>
      </c>
      <c r="H7" t="inlineStr">
        <is>
          <t>YES</t>
        </is>
      </c>
    </row>
    <row r="8">
      <c r="A8" t="inlineStr">
        <is>
          <t>T-107</t>
        </is>
      </c>
      <c r="B8" t="inlineStr">
        <is>
          <t>DRV-003</t>
        </is>
      </c>
      <c r="C8" t="inlineStr">
        <is>
          <t>Alex Kim</t>
        </is>
      </c>
      <c r="D8" s="63" t="n">
        <v>45821</v>
      </c>
      <c r="E8" s="63" t="n">
        <v>46067</v>
      </c>
      <c r="F8">
        <f>IF(E8&lt;TODAY(),"EXPIRED",IF(E8&lt;=TODAY()+30,"DUE_SOON","OK"))</f>
        <v/>
      </c>
      <c r="G8">
        <f>IF(E8&lt;TODAY(),"EXPIRED",IF(E8&lt;=TODAY()+30,"DUE_SOON","OK"))</f>
        <v/>
      </c>
      <c r="H8" t="inlineStr">
        <is>
          <t>YES</t>
        </is>
      </c>
    </row>
    <row r="9">
      <c r="A9" t="inlineStr">
        <is>
          <t>T-108</t>
        </is>
      </c>
      <c r="B9" t="inlineStr">
        <is>
          <t>DRV-004</t>
        </is>
      </c>
      <c r="C9" t="inlineStr">
        <is>
          <t>Priya Patel</t>
        </is>
      </c>
      <c r="D9" s="63" t="n">
        <v>45764</v>
      </c>
      <c r="E9" s="63" t="n">
        <v>46127</v>
      </c>
      <c r="F9">
        <f>IF(E9&lt;TODAY(),"EXPIRED",IF(E9&lt;=TODAY()+30,"DUE_SOON","OK"))</f>
        <v/>
      </c>
      <c r="G9">
        <f>IF(E9&lt;TODAY(),"EXPIRED",IF(E9&lt;=TODAY()+30,"DUE_SOON","OK"))</f>
        <v/>
      </c>
      <c r="H9" t="inlineStr">
        <is>
          <t>YES</t>
        </is>
      </c>
    </row>
    <row r="10">
      <c r="A10" t="inlineStr">
        <is>
          <t>T-109</t>
        </is>
      </c>
      <c r="B10" t="inlineStr">
        <is>
          <t>DRV-009</t>
        </is>
      </c>
      <c r="C10" t="inlineStr">
        <is>
          <t>Emma Brown</t>
        </is>
      </c>
      <c r="D10" s="63" t="n">
        <v>45879</v>
      </c>
      <c r="E10" s="63" t="n">
        <v>46062</v>
      </c>
      <c r="F10">
        <f>IF(E10&lt;TODAY(),"EXPIRED",IF(E10&lt;=TODAY()+30,"DUE_SOON","OK"))</f>
        <v/>
      </c>
      <c r="G10">
        <f>IF(E10&lt;TODAY(),"EXPIRED",IF(E10&lt;=TODAY()+30,"DUE_SOON","OK"))</f>
        <v/>
      </c>
      <c r="H10" t="inlineStr">
        <is>
          <t>YES</t>
        </is>
      </c>
    </row>
    <row r="11">
      <c r="A11" t="inlineStr">
        <is>
          <t>T-110</t>
        </is>
      </c>
      <c r="B11" t="inlineStr">
        <is>
          <t>DRV-004</t>
        </is>
      </c>
      <c r="C11" t="inlineStr">
        <is>
          <t>Priya Patel</t>
        </is>
      </c>
      <c r="D11" s="63" t="n">
        <v>45997</v>
      </c>
      <c r="E11" s="63" t="n">
        <v>46096</v>
      </c>
      <c r="F11">
        <f>IF(E11&lt;TODAY(),"EXPIRED",IF(E11&lt;=TODAY()+30,"DUE_SOON","OK"))</f>
        <v/>
      </c>
      <c r="G11">
        <f>IF(E11&lt;TODAY(),"EXPIRED",IF(E11&lt;=TODAY()+30,"DUE_SOON","OK"))</f>
        <v/>
      </c>
      <c r="H11" t="inlineStr">
        <is>
          <t>YES</t>
        </is>
      </c>
    </row>
    <row r="12">
      <c r="A12" t="inlineStr">
        <is>
          <t>T-111</t>
        </is>
      </c>
      <c r="B12" t="inlineStr">
        <is>
          <t>DRV-007</t>
        </is>
      </c>
      <c r="C12" t="inlineStr">
        <is>
          <t>Sofia Gomez</t>
        </is>
      </c>
      <c r="D12" s="63" t="n">
        <v>46012</v>
      </c>
      <c r="E12" s="63" t="n">
        <v>46158</v>
      </c>
      <c r="F12">
        <f>IF(E12&lt;TODAY(),"EXPIRED",IF(E12&lt;=TODAY()+30,"DUE_SOON","OK"))</f>
        <v/>
      </c>
      <c r="G12">
        <f>IF(E12&lt;TODAY(),"EXPIRED",IF(E12&lt;=TODAY()+30,"DUE_SOON","OK"))</f>
        <v/>
      </c>
      <c r="H12" t="inlineStr">
        <is>
          <t>YES</t>
        </is>
      </c>
    </row>
    <row r="13">
      <c r="A13" t="inlineStr">
        <is>
          <t>T-112</t>
        </is>
      </c>
      <c r="B13" t="inlineStr">
        <is>
          <t>DRV-005</t>
        </is>
      </c>
      <c r="C13" t="inlineStr">
        <is>
          <t>Kenji Tanaka</t>
        </is>
      </c>
      <c r="D13" s="63" t="n">
        <v>46021</v>
      </c>
      <c r="E13" s="63" t="n">
        <v>46171</v>
      </c>
      <c r="F13">
        <f>IF(E13&lt;TODAY(),"EXPIRED",IF(E13&lt;=TODAY()+30,"DUE_SOON","OK"))</f>
        <v/>
      </c>
      <c r="G13">
        <f>IF(E13&lt;TODAY(),"EXPIRED",IF(E13&lt;=TODAY()+30,"DUE_SOON","OK"))</f>
        <v/>
      </c>
      <c r="H13" t="inlineStr">
        <is>
          <t>YES</t>
        </is>
      </c>
    </row>
    <row r="14">
      <c r="A14" t="inlineStr">
        <is>
          <t>T-113</t>
        </is>
      </c>
      <c r="B14" t="inlineStr">
        <is>
          <t>DRV-004</t>
        </is>
      </c>
      <c r="C14" t="inlineStr">
        <is>
          <t>Priya Patel</t>
        </is>
      </c>
      <c r="D14" s="63" t="n">
        <v>45907</v>
      </c>
      <c r="E14" s="63" t="n">
        <v>46090</v>
      </c>
      <c r="F14">
        <f>IF(E14&lt;TODAY(),"EXPIRED",IF(E14&lt;=TODAY()+30,"DUE_SOON","OK"))</f>
        <v/>
      </c>
      <c r="G14">
        <f>IF(E14&lt;TODAY(),"EXPIRED",IF(E14&lt;=TODAY()+30,"DUE_SOON","OK"))</f>
        <v/>
      </c>
      <c r="H14" t="inlineStr">
        <is>
          <t>YES</t>
        </is>
      </c>
    </row>
    <row r="15">
      <c r="A15" t="inlineStr">
        <is>
          <t>T-114</t>
        </is>
      </c>
      <c r="B15" t="inlineStr">
        <is>
          <t>DRV-011</t>
        </is>
      </c>
      <c r="C15" t="inlineStr">
        <is>
          <t>Olivia Lee</t>
        </is>
      </c>
      <c r="D15" s="63" t="n">
        <v>45916</v>
      </c>
      <c r="E15" s="63" t="n">
        <v>46171</v>
      </c>
      <c r="F15">
        <f>IF(E15&lt;TODAY(),"EXPIRED",IF(E15&lt;=TODAY()+30,"DUE_SOON","OK"))</f>
        <v/>
      </c>
      <c r="G15">
        <f>IF(E15&lt;TODAY(),"EXPIRED",IF(E15&lt;=TODAY()+30,"DUE_SOON","OK"))</f>
        <v/>
      </c>
      <c r="H15" t="inlineStr">
        <is>
          <t>YES</t>
        </is>
      </c>
    </row>
    <row r="16">
      <c r="A16" t="inlineStr">
        <is>
          <t>T-115</t>
        </is>
      </c>
      <c r="B16" t="inlineStr">
        <is>
          <t>DRV-012</t>
        </is>
      </c>
      <c r="D16" s="63" t="n">
        <v>45848</v>
      </c>
      <c r="E16" s="63" t="n">
        <v>46100</v>
      </c>
      <c r="F16">
        <f>IF(E16&lt;TODAY(),"EXPIRED",IF(E16&lt;=TODAY()+30,"DUE_SOON","OK"))</f>
        <v/>
      </c>
      <c r="G16">
        <f>IF(E16&lt;TODAY(),"EXPIRED",IF(E16&lt;=TODAY()+30,"DUE_SOON","OK"))</f>
        <v/>
      </c>
      <c r="H16" t="inlineStr">
        <is>
          <t>YES</t>
        </is>
      </c>
    </row>
    <row r="17">
      <c r="A17" t="inlineStr">
        <is>
          <t>T-116</t>
        </is>
      </c>
      <c r="B17" t="inlineStr">
        <is>
          <t>DRV-004</t>
        </is>
      </c>
      <c r="C17" t="inlineStr">
        <is>
          <t>Priya Patel</t>
        </is>
      </c>
      <c r="D17" s="63" t="n">
        <v>45681</v>
      </c>
      <c r="E17" s="63" t="n">
        <v>46166</v>
      </c>
      <c r="F17">
        <f>IF(E17&lt;TODAY(),"EXPIRED",IF(E17&lt;=TODAY()+30,"DUE_SOON","OK"))</f>
        <v/>
      </c>
      <c r="G17">
        <f>IF(E17&lt;TODAY(),"EXPIRED",IF(E17&lt;=TODAY()+30,"DUE_SOON","OK"))</f>
        <v/>
      </c>
      <c r="H17" t="inlineStr">
        <is>
          <t>YES</t>
        </is>
      </c>
    </row>
    <row r="18">
      <c r="A18" t="inlineStr">
        <is>
          <t>T-117</t>
        </is>
      </c>
      <c r="B18" t="inlineStr">
        <is>
          <t>DRV-006</t>
        </is>
      </c>
      <c r="C18" t="inlineStr">
        <is>
          <t>Marcus Chen</t>
        </is>
      </c>
      <c r="D18" s="63" t="n">
        <v>45785</v>
      </c>
      <c r="E18" s="63" t="n">
        <v>46069</v>
      </c>
      <c r="F18">
        <f>IF(E18&lt;TODAY(),"EXPIRED",IF(E18&lt;=TODAY()+30,"DUE_SOON","OK"))</f>
        <v/>
      </c>
      <c r="G18">
        <f>IF(E18&lt;TODAY(),"EXPIRED",IF(E18&lt;=TODAY()+30,"DUE_SOON","OK"))</f>
        <v/>
      </c>
      <c r="H18" t="inlineStr">
        <is>
          <t>YES</t>
        </is>
      </c>
    </row>
    <row r="19">
      <c r="A19" t="inlineStr">
        <is>
          <t>T-118</t>
        </is>
      </c>
      <c r="B19" t="inlineStr">
        <is>
          <t>DRV-011</t>
        </is>
      </c>
      <c r="C19" t="inlineStr">
        <is>
          <t>Olivia Lee</t>
        </is>
      </c>
      <c r="D19" s="63" t="n">
        <v>45916</v>
      </c>
      <c r="E19" s="63" t="n">
        <v>46134</v>
      </c>
      <c r="F19">
        <f>IF(E19&lt;TODAY(),"EXPIRED",IF(E19&lt;=TODAY()+30,"DUE_SOON","OK"))</f>
        <v/>
      </c>
      <c r="G19">
        <f>IF(E19&lt;TODAY(),"EXPIRED",IF(E19&lt;=TODAY()+30,"DUE_SOON","OK"))</f>
        <v/>
      </c>
      <c r="H19" t="inlineStr">
        <is>
          <t>YES</t>
        </is>
      </c>
    </row>
    <row r="20">
      <c r="A20" t="inlineStr">
        <is>
          <t>T-119</t>
        </is>
      </c>
      <c r="B20" t="inlineStr">
        <is>
          <t>DRV-006</t>
        </is>
      </c>
      <c r="C20" t="inlineStr">
        <is>
          <t>Marcus Chen</t>
        </is>
      </c>
      <c r="D20" s="63" t="n">
        <v>45959</v>
      </c>
      <c r="E20" s="63" t="n">
        <v>46129</v>
      </c>
      <c r="F20">
        <f>IF(E20&lt;TODAY(),"EXPIRED",IF(E20&lt;=TODAY()+30,"DUE_SOON","OK"))</f>
        <v/>
      </c>
      <c r="G20">
        <f>IF(E20&lt;TODAY(),"EXPIRED",IF(E20&lt;=TODAY()+30,"DUE_SOON","OK"))</f>
        <v/>
      </c>
      <c r="H20" t="inlineStr">
        <is>
          <t>YES</t>
        </is>
      </c>
    </row>
    <row r="21">
      <c r="A21" t="inlineStr">
        <is>
          <t>T-120</t>
        </is>
      </c>
      <c r="B21" t="inlineStr">
        <is>
          <t>DRV-008</t>
        </is>
      </c>
      <c r="C21" t="inlineStr">
        <is>
          <t>Liam Smith</t>
        </is>
      </c>
      <c r="D21" s="63" t="n">
        <v>45986</v>
      </c>
      <c r="E21" s="63" t="n">
        <v>46098</v>
      </c>
      <c r="F21">
        <f>IF(E21&lt;TODAY(),"EXPIRED",IF(E21&lt;=TODAY()+30,"DUE_SOON","OK"))</f>
        <v/>
      </c>
      <c r="G21">
        <f>IF(E21&lt;TODAY(),"EXPIRED",IF(E21&lt;=TODAY()+30,"DUE_SOON","OK"))</f>
        <v/>
      </c>
      <c r="H21" t="inlineStr">
        <is>
          <t>YES</t>
        </is>
      </c>
    </row>
    <row r="22">
      <c r="A22" t="inlineStr">
        <is>
          <t>T-121</t>
        </is>
      </c>
      <c r="B22" t="inlineStr">
        <is>
          <t>DRV-001</t>
        </is>
      </c>
      <c r="C22" t="inlineStr">
        <is>
          <t>John Carter</t>
        </is>
      </c>
      <c r="D22" s="63" t="n">
        <v>45743</v>
      </c>
      <c r="E22" s="63" t="n">
        <v>46064</v>
      </c>
      <c r="F22">
        <f>IF(E22&lt;TODAY(),"EXPIRED",IF(E22&lt;=TODAY()+30,"DUE_SOON","OK"))</f>
        <v/>
      </c>
      <c r="G22">
        <f>IF(E22&lt;TODAY(),"EXPIRED",IF(E22&lt;=TODAY()+30,"DUE_SOON","OK"))</f>
        <v/>
      </c>
      <c r="H22" t="inlineStr">
        <is>
          <t>YES</t>
        </is>
      </c>
    </row>
    <row r="23">
      <c r="A23" t="inlineStr">
        <is>
          <t>T-122</t>
        </is>
      </c>
      <c r="B23" t="inlineStr">
        <is>
          <t>DRV-002</t>
        </is>
      </c>
      <c r="C23" t="inlineStr">
        <is>
          <t>Maria Lopez</t>
        </is>
      </c>
      <c r="D23" s="63" t="n">
        <v>45843</v>
      </c>
      <c r="E23" s="63" t="n">
        <v>46106</v>
      </c>
      <c r="F23">
        <f>IF(E23&lt;TODAY(),"EXPIRED",IF(E23&lt;=TODAY()+30,"DUE_SOON","OK"))</f>
        <v/>
      </c>
      <c r="G23">
        <f>IF(E23&lt;TODAY(),"EXPIRED",IF(E23&lt;=TODAY()+30,"DUE_SOON","OK"))</f>
        <v/>
      </c>
      <c r="H23" t="inlineStr">
        <is>
          <t>YES</t>
        </is>
      </c>
    </row>
    <row r="24">
      <c r="A24" t="inlineStr">
        <is>
          <t>T-123</t>
        </is>
      </c>
      <c r="B24" t="inlineStr">
        <is>
          <t>DRV-003</t>
        </is>
      </c>
      <c r="C24" t="inlineStr">
        <is>
          <t>Alex Kim</t>
        </is>
      </c>
      <c r="D24" s="63" t="n">
        <v>45951</v>
      </c>
      <c r="E24" s="63" t="n">
        <v>46100</v>
      </c>
      <c r="F24">
        <f>IF(E24&lt;TODAY(),"EXPIRED",IF(E24&lt;=TODAY()+30,"DUE_SOON","OK"))</f>
        <v/>
      </c>
      <c r="G24">
        <f>IF(E24&lt;TODAY(),"EXPIRED",IF(E24&lt;=TODAY()+30,"DUE_SOON","OK"))</f>
        <v/>
      </c>
      <c r="H24" t="inlineStr">
        <is>
          <t>YES</t>
        </is>
      </c>
    </row>
    <row r="25">
      <c r="A25" t="inlineStr">
        <is>
          <t>T-124</t>
        </is>
      </c>
      <c r="B25" t="inlineStr">
        <is>
          <t>DRV-002</t>
        </is>
      </c>
      <c r="C25" t="inlineStr">
        <is>
          <t>Maria Lopez</t>
        </is>
      </c>
      <c r="D25" s="63" t="n">
        <v>45873</v>
      </c>
      <c r="E25" s="63" t="n">
        <v>46102</v>
      </c>
      <c r="F25">
        <f>IF(E25&lt;TODAY(),"EXPIRED",IF(E25&lt;=TODAY()+30,"DUE_SOON","OK"))</f>
        <v/>
      </c>
      <c r="G25">
        <f>IF(E25&lt;TODAY(),"EXPIRED",IF(E25&lt;=TODAY()+30,"DUE_SOON","OK"))</f>
        <v/>
      </c>
      <c r="H25" t="inlineStr">
        <is>
          <t>YES</t>
        </is>
      </c>
    </row>
    <row r="26">
      <c r="A26" t="inlineStr">
        <is>
          <t>T-125</t>
        </is>
      </c>
      <c r="B26" t="inlineStr">
        <is>
          <t>DRV-002</t>
        </is>
      </c>
      <c r="C26" t="inlineStr">
        <is>
          <t>Maria Lopez</t>
        </is>
      </c>
      <c r="D26" s="63" t="n">
        <v>45773</v>
      </c>
      <c r="E26" s="63" t="n">
        <v>46084</v>
      </c>
      <c r="F26">
        <f>IF(E26&lt;TODAY(),"EXPIRED",IF(E26&lt;=TODAY()+30,"DUE_SOON","OK"))</f>
        <v/>
      </c>
      <c r="G26">
        <f>IF(E26&lt;TODAY(),"EXPIRED",IF(E26&lt;=TODAY()+30,"DUE_SOON","OK"))</f>
        <v/>
      </c>
      <c r="H26" t="inlineStr">
        <is>
          <t>YES</t>
        </is>
      </c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G13"/>
  <sheetViews>
    <sheetView showGridLines="0" workbookViewId="0">
      <selection activeCell="A1" sqref="A1"/>
    </sheetView>
  </sheetViews>
  <sheetFormatPr baseColWidth="8" defaultRowHeight="15"/>
  <cols>
    <col width="10" customWidth="1" style="24" min="1" max="1"/>
    <col width="11" customWidth="1" style="24" min="2" max="2"/>
    <col width="14" customWidth="1" style="24" min="3" max="3"/>
    <col width="10" customWidth="1" style="24" min="4" max="4"/>
    <col width="10" customWidth="1" style="24" min="5" max="5"/>
    <col width="14" customWidth="1" style="24" min="6" max="6"/>
    <col width="19" customWidth="1" style="24" min="7" max="7"/>
    <col width="13" customWidth="1" style="24" min="8" max="8"/>
    <col width="27" customWidth="1" style="24" min="9" max="9"/>
    <col width="22" customWidth="1" style="24" min="10" max="10"/>
    <col width="21" customWidth="1" style="24" min="11" max="11"/>
    <col width="24" customWidth="1" style="24" min="12" max="12"/>
    <col width="23" customWidth="1" style="24" min="13" max="13"/>
    <col width="28" customWidth="1" style="24" min="14" max="14"/>
    <col width="28" customWidth="1" style="24" min="15" max="15"/>
    <col width="26" customWidth="1" style="24" min="16" max="16"/>
    <col width="28" customWidth="1" style="24" min="17" max="17"/>
    <col width="28" customWidth="1" style="24" min="18" max="18"/>
    <col width="23" customWidth="1" style="24" min="19" max="19"/>
    <col width="17" customWidth="1" style="24" min="20" max="20"/>
    <col width="15" customWidth="1" style="24" min="21" max="21"/>
    <col width="18" customWidth="1" style="24" min="22" max="22"/>
    <col width="16" customWidth="1" style="24" min="23" max="23"/>
    <col width="20" customWidth="1" style="24" min="24" max="24"/>
    <col width="30" customWidth="1" style="24" min="25" max="25"/>
    <col width="30" customWidth="1" style="24" min="26" max="26"/>
    <col width="30" customWidth="1" style="24" min="27" max="27"/>
    <col width="30" customWidth="1" style="24" min="28" max="28"/>
    <col width="30" customWidth="1" style="24" min="29" max="29"/>
    <col width="18" customWidth="1" style="24" min="30" max="30"/>
    <col width="20" customWidth="1" style="24" min="31" max="31"/>
    <col width="22" customWidth="1" style="24" min="32" max="32"/>
    <col width="20" customWidth="1" style="24" min="33" max="33"/>
  </cols>
  <sheetData>
    <row r="1">
      <c r="A1" s="49" t="inlineStr">
        <is>
          <t>Load ID</t>
        </is>
      </c>
      <c r="B1" s="49" t="inlineStr">
        <is>
          <t>Driver ID</t>
        </is>
      </c>
      <c r="C1" s="49" t="inlineStr">
        <is>
          <t>Driver Name</t>
        </is>
      </c>
      <c r="D1" s="49" t="inlineStr">
        <is>
          <t>Asset ID</t>
        </is>
      </c>
      <c r="E1" s="49" t="inlineStr">
        <is>
          <t>Revenue</t>
        </is>
      </c>
      <c r="F1" s="49" t="inlineStr">
        <is>
          <t>Backhaul Pay</t>
        </is>
      </c>
      <c r="G1" s="49" t="inlineStr">
        <is>
          <t>Driver Signature?</t>
        </is>
      </c>
      <c r="H1" s="49" t="inlineStr">
        <is>
          <t>Load Status</t>
        </is>
      </c>
      <c r="I1" s="49" t="inlineStr">
        <is>
          <t>Reason for Pending Status</t>
        </is>
      </c>
      <c r="J1" s="49" t="inlineStr">
        <is>
          <t>Seal Number (Pickup)</t>
        </is>
      </c>
      <c r="K1" s="49" t="inlineStr">
        <is>
          <t>Seal Photo (Pickup)</t>
        </is>
      </c>
      <c r="L1" s="49" t="inlineStr">
        <is>
          <t>Seal Number (Delivery)</t>
        </is>
      </c>
      <c r="M1" s="49" t="inlineStr">
        <is>
          <t>Seal Photo (Delivery)</t>
        </is>
      </c>
      <c r="N1" s="49" t="inlineStr">
        <is>
          <t>Seal Status</t>
        </is>
      </c>
      <c r="O1" s="49" t="inlineStr">
        <is>
          <t>Exception Flag</t>
        </is>
      </c>
      <c r="P1" s="49" t="inlineStr">
        <is>
          <t>Override Reason</t>
        </is>
      </c>
      <c r="Q1" s="49" t="inlineStr">
        <is>
          <t>Audit Log</t>
        </is>
      </c>
      <c r="R1" s="49" t="inlineStr">
        <is>
          <t>Compliance Lock</t>
        </is>
      </c>
      <c r="S1" s="49" t="inlineStr">
        <is>
          <t>Seal Issue Type</t>
        </is>
      </c>
      <c r="T1" s="49" t="inlineStr">
        <is>
          <t>Photo Required?</t>
        </is>
      </c>
      <c r="U1" s="49" t="inlineStr">
        <is>
          <t>Review Status</t>
        </is>
      </c>
      <c r="V1" s="49" t="inlineStr">
        <is>
          <t>Legacy Driver ID</t>
        </is>
      </c>
      <c r="W1" s="49" t="inlineStr">
        <is>
          <t>Revenue Status</t>
        </is>
      </c>
      <c r="X1" s="49" t="inlineStr">
        <is>
          <t>Export Load Status</t>
        </is>
      </c>
      <c r="Y1" s="49" t="inlineStr">
        <is>
          <t>Rate Confirmation URL</t>
        </is>
      </c>
      <c r="Z1" s="49" t="inlineStr">
        <is>
          <t>BOL URL</t>
        </is>
      </c>
      <c r="AA1" s="49" t="inlineStr">
        <is>
          <t>Pickup Seal Photo URL</t>
        </is>
      </c>
      <c r="AB1" s="49" t="inlineStr">
        <is>
          <t>Delivery Seal Photo URL</t>
        </is>
      </c>
      <c r="AC1" s="49" t="inlineStr">
        <is>
          <t>Driver Photo URL</t>
        </is>
      </c>
      <c r="AD1" s="49" t="inlineStr">
        <is>
          <t>POD Image URL</t>
        </is>
      </c>
      <c r="AE1" s="49" t="inlineStr">
        <is>
          <t>Pickup Image URL</t>
        </is>
      </c>
      <c r="AF1" s="49" t="inlineStr">
        <is>
          <t>Delivery Image URL</t>
        </is>
      </c>
      <c r="AG1" s="49" t="inlineStr">
        <is>
          <t>Lumper Image URL</t>
        </is>
      </c>
    </row>
    <row r="2">
      <c r="A2" t="inlineStr">
        <is>
          <t>L-501</t>
        </is>
      </c>
      <c r="B2" t="inlineStr">
        <is>
          <t>DRV-001</t>
        </is>
      </c>
      <c r="C2" t="inlineStr">
        <is>
          <t>John Carter</t>
        </is>
      </c>
      <c r="D2" t="inlineStr">
        <is>
          <t>T-102</t>
        </is>
      </c>
      <c r="E2" s="64" t="n">
        <v>2000</v>
      </c>
      <c r="F2" s="64" t="n">
        <v>65</v>
      </c>
      <c r="G2" t="inlineStr">
        <is>
          <t>NO</t>
        </is>
      </c>
      <c r="H2" t="inlineStr">
        <is>
          <t>DELIVERED</t>
        </is>
      </c>
      <c r="J2" t="inlineStr">
        <is>
          <t>SEAL-83921</t>
        </is>
      </c>
      <c r="K2" t="inlineStr">
        <is>
          <t>pickup_photo_01.jpg</t>
        </is>
      </c>
      <c r="L2" t="inlineStr">
        <is>
          <t>SEAL-83920</t>
        </is>
      </c>
      <c r="M2" t="inlineStr">
        <is>
          <t>delivery_photo_01.jpg</t>
        </is>
      </c>
      <c r="N2">
        <f>IF(L2="","PENDING",IF(L2&lt;&gt;J2,"MISMATCH","VERIFIED"))</f>
        <v/>
      </c>
      <c r="O2">
        <f>IF(N2="MISMATCH","SEAL_MISMATCH",IF(OR(K2="",M2=""),"PHOTO_MISSING",""))</f>
        <v/>
      </c>
      <c r="Q2">
        <f>IF(O2="","",CONCAT("Pickup:",J2," | Delivery:",L2," | Override:",IF(P2="","NONE",P2)))</f>
        <v/>
      </c>
      <c r="R2">
        <f>IF(O2="","CLEAR",IF(P2="","LOCKED","OVERRIDDEN"))</f>
        <v/>
      </c>
      <c r="S2" t="inlineStr">
        <is>
          <t>SEAL_MISMATCH</t>
        </is>
      </c>
      <c r="T2" t="inlineStr">
        <is>
          <t>YES</t>
        </is>
      </c>
      <c r="U2" t="inlineStr">
        <is>
          <t>OPEN</t>
        </is>
      </c>
      <c r="V2" t="inlineStr">
        <is>
          <t>Driver 1</t>
        </is>
      </c>
      <c r="W2" t="inlineStr">
        <is>
          <t>READY</t>
        </is>
      </c>
      <c r="X2" t="inlineStr">
        <is>
          <t>DELIVERED</t>
        </is>
      </c>
      <c r="Y2" t="inlineStr">
        <is>
          <t>/documents/loads/L-501_RC.pdf</t>
        </is>
      </c>
      <c r="Z2" t="inlineStr">
        <is>
          <t>/documents/loads/L-501_BOL.pdf</t>
        </is>
      </c>
      <c r="AA2" t="inlineStr">
        <is>
          <t>/documents/loads/L-501_PICKUP_SEAL.jpg</t>
        </is>
      </c>
      <c r="AB2" t="inlineStr">
        <is>
          <t>/documents/loads/L-501_DELIVERY_SEAL.jpg</t>
        </is>
      </c>
      <c r="AC2" t="inlineStr">
        <is>
          <t>/drivers/DRV-001.jpg</t>
        </is>
      </c>
      <c r="AD2" t="inlineStr">
        <is>
          <t>/images/pod/L-501_POD.jpg</t>
        </is>
      </c>
      <c r="AE2" t="inlineStr">
        <is>
          <t>/images/pickup/L-501_PICKUP.jpg</t>
        </is>
      </c>
      <c r="AF2" t="inlineStr">
        <is>
          <t>/images/delivery/L-501_DELIVERY.jpg</t>
        </is>
      </c>
      <c r="AG2" t="inlineStr">
        <is>
          <t>/images/lumper/L-501_LUMPER.jpg</t>
        </is>
      </c>
    </row>
    <row r="3">
      <c r="A3" t="inlineStr">
        <is>
          <t>L-502</t>
        </is>
      </c>
      <c r="B3" t="inlineStr">
        <is>
          <t>DRV-002</t>
        </is>
      </c>
      <c r="C3" t="inlineStr">
        <is>
          <t>Maria Lopez</t>
        </is>
      </c>
      <c r="D3" t="inlineStr">
        <is>
          <t>T-101</t>
        </is>
      </c>
      <c r="E3" s="64" t="n">
        <v>1800</v>
      </c>
      <c r="F3" s="64" t="n">
        <v>95</v>
      </c>
      <c r="G3" t="inlineStr">
        <is>
          <t>NO</t>
        </is>
      </c>
      <c r="H3" t="inlineStr">
        <is>
          <t>IN_TRANSIT</t>
        </is>
      </c>
      <c r="J3" t="inlineStr">
        <is>
          <t>SEAL-55219</t>
        </is>
      </c>
      <c r="K3" t="inlineStr">
        <is>
          <t>pickup_photo_02.jpg</t>
        </is>
      </c>
      <c r="L3" t="inlineStr">
        <is>
          <t>SEAL-55219</t>
        </is>
      </c>
      <c r="M3" t="inlineStr">
        <is>
          <t>delivery_photo_02.jpg</t>
        </is>
      </c>
      <c r="N3">
        <f>IF(L3="","PENDING",IF(L3&lt;&gt;J3,"MISMATCH","VERIFIED"))</f>
        <v/>
      </c>
      <c r="O3">
        <f>IF(N3="MISMATCH","SEAL_MISMATCH",IF(OR(K3="",M3=""),"PHOTO_MISSING",""))</f>
        <v/>
      </c>
      <c r="Q3">
        <f>IF(O3="","",CONCAT("Pickup:",J3," | Delivery:",L3," | Override:",IF(P3="","NONE",P3)))</f>
        <v/>
      </c>
      <c r="R3">
        <f>IF(O3="","CLEAR",IF(P3="","LOCKED","OVERRIDDEN"))</f>
        <v/>
      </c>
      <c r="S3" t="inlineStr">
        <is>
          <t>VERIFIED</t>
        </is>
      </c>
      <c r="T3" t="inlineStr">
        <is>
          <t>NO</t>
        </is>
      </c>
      <c r="U3" t="inlineStr">
        <is>
          <t>CLOSED</t>
        </is>
      </c>
      <c r="V3" t="inlineStr">
        <is>
          <t>Driver 2</t>
        </is>
      </c>
      <c r="W3" t="inlineStr">
        <is>
          <t>PENDING</t>
        </is>
      </c>
      <c r="X3" t="inlineStr">
        <is>
          <t>IN_TRANSIT</t>
        </is>
      </c>
      <c r="Y3" t="inlineStr">
        <is>
          <t>/documents/loads/L-502_RC.pdf</t>
        </is>
      </c>
      <c r="Z3" t="inlineStr">
        <is>
          <t>/documents/loads/L-502_BOL.pdf</t>
        </is>
      </c>
      <c r="AA3" t="inlineStr">
        <is>
          <t>/documents/loads/L-502_PICKUP_SEAL.jpg</t>
        </is>
      </c>
      <c r="AB3" t="inlineStr">
        <is>
          <t>/documents/loads/L-502_DELIVERY_SEAL.jpg</t>
        </is>
      </c>
      <c r="AC3" t="inlineStr">
        <is>
          <t>/drivers/DRV-002.jpg</t>
        </is>
      </c>
      <c r="AD3" t="inlineStr">
        <is>
          <t>/images/pod/L-502_POD.jpg</t>
        </is>
      </c>
      <c r="AE3" t="inlineStr">
        <is>
          <t>/images/pickup/L-502_PICKUP.jpg</t>
        </is>
      </c>
      <c r="AF3" t="inlineStr">
        <is>
          <t>/images/delivery/L-502_DELIVERY.jpg</t>
        </is>
      </c>
      <c r="AG3" t="inlineStr">
        <is>
          <t>/images/lumper/L-502_LUMPER.jpg</t>
        </is>
      </c>
    </row>
    <row r="4">
      <c r="A4" t="inlineStr">
        <is>
          <t>L-503</t>
        </is>
      </c>
      <c r="B4" t="inlineStr">
        <is>
          <t>DRV-003</t>
        </is>
      </c>
      <c r="C4" t="inlineStr">
        <is>
          <t>Alex Kim</t>
        </is>
      </c>
      <c r="D4" t="inlineStr">
        <is>
          <t>T-107</t>
        </is>
      </c>
      <c r="E4" s="64" t="n">
        <v>2100</v>
      </c>
      <c r="F4" s="64" t="n">
        <v>45</v>
      </c>
      <c r="G4" t="inlineStr">
        <is>
          <t>NO</t>
        </is>
      </c>
      <c r="H4" t="inlineStr">
        <is>
          <t>DELIVERED</t>
        </is>
      </c>
      <c r="J4" t="inlineStr">
        <is>
          <t>SEAL-77102</t>
        </is>
      </c>
      <c r="K4" t="inlineStr">
        <is>
          <t>pickup_photo_03.jpg</t>
        </is>
      </c>
      <c r="N4">
        <f>IF(L4="","PENDING",IF(L4&lt;&gt;J4,"MISMATCH","VERIFIED"))</f>
        <v/>
      </c>
      <c r="O4">
        <f>IF(N4="MISMATCH","SEAL_MISMATCH",IF(OR(K4="",M4=""),"PHOTO_MISSING",""))</f>
        <v/>
      </c>
      <c r="Q4">
        <f>IF(O4="","",CONCAT("Pickup:",J4," | Delivery:",L4," | Override:",IF(P4="","NONE",P4)))</f>
        <v/>
      </c>
      <c r="R4">
        <f>IF(O4="","CLEAR",IF(P4="","LOCKED","OVERRIDDEN"))</f>
        <v/>
      </c>
      <c r="S4" t="inlineStr">
        <is>
          <t>MISSING_DELIVERY_SEAL</t>
        </is>
      </c>
      <c r="T4" t="inlineStr">
        <is>
          <t>YES</t>
        </is>
      </c>
      <c r="U4" t="inlineStr">
        <is>
          <t>OPEN</t>
        </is>
      </c>
      <c r="V4" t="inlineStr">
        <is>
          <t>Driver 3</t>
        </is>
      </c>
      <c r="W4" t="inlineStr">
        <is>
          <t>READY</t>
        </is>
      </c>
      <c r="X4" t="inlineStr">
        <is>
          <t>DELIVERED</t>
        </is>
      </c>
      <c r="Y4" t="inlineStr">
        <is>
          <t>/documents/loads/L-503_RC.pdf</t>
        </is>
      </c>
      <c r="Z4" t="inlineStr">
        <is>
          <t>/documents/loads/L-503_BOL.pdf</t>
        </is>
      </c>
      <c r="AA4" t="inlineStr">
        <is>
          <t>/documents/loads/L-503_PICKUP_SEAL.jpg</t>
        </is>
      </c>
      <c r="AB4" t="inlineStr">
        <is>
          <t>/documents/loads/L-503_DELIVERY_SEAL.jpg</t>
        </is>
      </c>
      <c r="AC4" t="inlineStr">
        <is>
          <t>/drivers/DRV-003.jpg</t>
        </is>
      </c>
      <c r="AD4" t="inlineStr">
        <is>
          <t>/images/pod/L-503_POD.jpg</t>
        </is>
      </c>
      <c r="AE4" t="inlineStr">
        <is>
          <t>/images/pickup/L-503_PICKUP.jpg</t>
        </is>
      </c>
      <c r="AF4" t="inlineStr">
        <is>
          <t>/images/delivery/L-503_DELIVERY.jpg</t>
        </is>
      </c>
      <c r="AG4" t="inlineStr">
        <is>
          <t>/images/lumper/L-503_LUMPER.jpg</t>
        </is>
      </c>
    </row>
    <row r="5">
      <c r="A5" t="inlineStr">
        <is>
          <t>L-504</t>
        </is>
      </c>
      <c r="B5" t="inlineStr">
        <is>
          <t>DRV-004</t>
        </is>
      </c>
      <c r="C5" t="inlineStr">
        <is>
          <t>Priya Patel</t>
        </is>
      </c>
      <c r="D5" t="inlineStr">
        <is>
          <t>T-108</t>
        </is>
      </c>
      <c r="E5" s="64" t="n">
        <v>1950</v>
      </c>
      <c r="F5" s="64" t="n">
        <v>88</v>
      </c>
      <c r="G5" t="inlineStr">
        <is>
          <t>YES</t>
        </is>
      </c>
      <c r="H5" t="inlineStr">
        <is>
          <t>PENDING</t>
        </is>
      </c>
      <c r="I5" t="inlineStr">
        <is>
          <t>Awaiting POD</t>
        </is>
      </c>
      <c r="J5" t="inlineStr">
        <is>
          <t>SEAL-61044</t>
        </is>
      </c>
      <c r="K5" t="inlineStr">
        <is>
          <t>pickup_photo_04.jpg</t>
        </is>
      </c>
      <c r="L5" t="inlineStr">
        <is>
          <t>SEAL-61043</t>
        </is>
      </c>
      <c r="M5" t="inlineStr">
        <is>
          <t>delivery_photo_04.jpg</t>
        </is>
      </c>
      <c r="N5">
        <f>IF(L5="","PENDING",IF(L5&lt;&gt;J5,"MISMATCH","VERIFIED"))</f>
        <v/>
      </c>
      <c r="O5">
        <f>IF(N5="MISMATCH","SEAL_MISMATCH",IF(OR(K5="",M5=""),"PHOTO_MISSING",""))</f>
        <v/>
      </c>
      <c r="P5" t="inlineStr">
        <is>
          <t>Dock supervisor approved</t>
        </is>
      </c>
      <c r="Q5">
        <f>IF(O5="","",CONCAT("Pickup:",J5," | Delivery:",L5," | Override:",IF(P5="","NONE",P5)))</f>
        <v/>
      </c>
      <c r="R5">
        <f>IF(O5="","CLEAR",IF(P5="","LOCKED","OVERRIDDEN"))</f>
        <v/>
      </c>
      <c r="S5" t="inlineStr">
        <is>
          <t>SEAL_MISMATCH</t>
        </is>
      </c>
      <c r="T5" t="inlineStr">
        <is>
          <t>YES</t>
        </is>
      </c>
      <c r="U5" t="inlineStr">
        <is>
          <t>OPEN</t>
        </is>
      </c>
      <c r="V5" t="inlineStr">
        <is>
          <t>Driver 4</t>
        </is>
      </c>
      <c r="W5" t="inlineStr">
        <is>
          <t>PENDING</t>
        </is>
      </c>
      <c r="X5" t="inlineStr">
        <is>
          <t>PENDING</t>
        </is>
      </c>
      <c r="Y5" t="inlineStr">
        <is>
          <t>/documents/loads/L-504_RC.pdf</t>
        </is>
      </c>
      <c r="Z5" t="inlineStr">
        <is>
          <t>/documents/loads/L-504_BOL.pdf</t>
        </is>
      </c>
      <c r="AA5" t="inlineStr">
        <is>
          <t>/documents/loads/L-504_PICKUP_SEAL.jpg</t>
        </is>
      </c>
      <c r="AB5" t="inlineStr">
        <is>
          <t>/documents/loads/L-504_DELIVERY_SEAL.jpg</t>
        </is>
      </c>
      <c r="AC5" t="inlineStr">
        <is>
          <t>/drivers/DRV-004.jpg</t>
        </is>
      </c>
      <c r="AD5" t="inlineStr">
        <is>
          <t>/images/pod/L-504_POD.jpg</t>
        </is>
      </c>
      <c r="AE5" t="inlineStr">
        <is>
          <t>/images/pickup/L-504_PICKUP.jpg</t>
        </is>
      </c>
      <c r="AF5" t="inlineStr">
        <is>
          <t>/images/delivery/L-504_DELIVERY.jpg</t>
        </is>
      </c>
      <c r="AG5" t="inlineStr">
        <is>
          <t>/images/lumper/L-504_LUMPER.jpg</t>
        </is>
      </c>
    </row>
    <row r="6">
      <c r="A6" t="inlineStr">
        <is>
          <t>L-505</t>
        </is>
      </c>
      <c r="B6" t="inlineStr">
        <is>
          <t>DRV-005</t>
        </is>
      </c>
      <c r="C6" t="inlineStr">
        <is>
          <t>Kenji Tanaka</t>
        </is>
      </c>
      <c r="D6" t="inlineStr">
        <is>
          <t>T-104</t>
        </is>
      </c>
      <c r="E6" s="64" t="n">
        <v>2200</v>
      </c>
      <c r="F6" s="64" t="n">
        <v>45</v>
      </c>
      <c r="G6" t="inlineStr">
        <is>
          <t>NO</t>
        </is>
      </c>
      <c r="H6" t="inlineStr">
        <is>
          <t>DELIVERED</t>
        </is>
      </c>
      <c r="J6" t="inlineStr">
        <is>
          <t>SEAL-44018</t>
        </is>
      </c>
      <c r="K6" t="inlineStr">
        <is>
          <t>pickup_photo_05.jpg</t>
        </is>
      </c>
      <c r="L6" t="inlineStr">
        <is>
          <t>SEAL-44018</t>
        </is>
      </c>
      <c r="M6" t="inlineStr">
        <is>
          <t>delivery_photo_05.jpg</t>
        </is>
      </c>
      <c r="N6">
        <f>IF(L6="","PENDING",IF(L6&lt;&gt;J6,"MISMATCH","VERIFIED"))</f>
        <v/>
      </c>
      <c r="O6">
        <f>IF(N6="MISMATCH","SEAL_MISMATCH",IF(OR(K6="",M6=""),"PHOTO_MISSING",""))</f>
        <v/>
      </c>
      <c r="Q6">
        <f>IF(O6="","",CONCAT("Pickup:",J6," | Delivery:",L6," | Override:",IF(P6="","NONE",P6)))</f>
        <v/>
      </c>
      <c r="R6">
        <f>IF(O6="","CLEAR",IF(P6="","LOCKED","OVERRIDDEN"))</f>
        <v/>
      </c>
      <c r="S6" t="inlineStr">
        <is>
          <t>VERIFIED</t>
        </is>
      </c>
      <c r="T6" t="inlineStr">
        <is>
          <t>NO</t>
        </is>
      </c>
      <c r="U6" t="inlineStr">
        <is>
          <t>CLOSED</t>
        </is>
      </c>
      <c r="V6" t="inlineStr">
        <is>
          <t>Driver 5</t>
        </is>
      </c>
      <c r="W6" t="inlineStr">
        <is>
          <t>READY</t>
        </is>
      </c>
      <c r="X6" t="inlineStr">
        <is>
          <t>DELIVERED</t>
        </is>
      </c>
      <c r="Y6" t="inlineStr">
        <is>
          <t>/documents/loads/L-505_RC.pdf</t>
        </is>
      </c>
      <c r="Z6" t="inlineStr">
        <is>
          <t>/documents/loads/L-505_BOL.pdf</t>
        </is>
      </c>
      <c r="AA6" t="inlineStr">
        <is>
          <t>/documents/loads/L-505_PICKUP_SEAL.jpg</t>
        </is>
      </c>
      <c r="AB6" t="inlineStr">
        <is>
          <t>/documents/loads/L-505_DELIVERY_SEAL.jpg</t>
        </is>
      </c>
      <c r="AC6" t="inlineStr">
        <is>
          <t>/drivers/DRV-005.jpg</t>
        </is>
      </c>
      <c r="AD6" t="inlineStr">
        <is>
          <t>/images/pod/L-505_POD.jpg</t>
        </is>
      </c>
      <c r="AE6" t="inlineStr">
        <is>
          <t>/images/pickup/L-505_PICKUP.jpg</t>
        </is>
      </c>
      <c r="AF6" t="inlineStr">
        <is>
          <t>/images/delivery/L-505_DELIVERY.jpg</t>
        </is>
      </c>
      <c r="AG6" t="inlineStr">
        <is>
          <t>/images/lumper/L-505_LUMPER.jpg</t>
        </is>
      </c>
    </row>
    <row r="7">
      <c r="A7" t="inlineStr">
        <is>
          <t>L-506</t>
        </is>
      </c>
      <c r="B7" t="inlineStr">
        <is>
          <t>DRV-006</t>
        </is>
      </c>
      <c r="C7" t="inlineStr">
        <is>
          <t>Marcus Chen</t>
        </is>
      </c>
      <c r="D7" t="inlineStr">
        <is>
          <t>T-103</t>
        </is>
      </c>
      <c r="E7" s="64" t="n">
        <v>2050</v>
      </c>
      <c r="F7" s="64" t="n">
        <v>72</v>
      </c>
      <c r="G7" t="inlineStr">
        <is>
          <t>YES</t>
        </is>
      </c>
      <c r="H7" t="inlineStr">
        <is>
          <t>DELIVERED</t>
        </is>
      </c>
      <c r="J7" t="inlineStr">
        <is>
          <t>SEAL-99871</t>
        </is>
      </c>
      <c r="K7" t="inlineStr">
        <is>
          <t>pickup_photo_06.jpg</t>
        </is>
      </c>
      <c r="N7">
        <f>IF(L7="","PENDING",IF(L7&lt;&gt;J7,"MISMATCH","VERIFIED"))</f>
        <v/>
      </c>
      <c r="O7">
        <f>IF(N7="MISMATCH","SEAL_MISMATCH",IF(OR(K7="",M7=""),"PHOTO_MISSING",""))</f>
        <v/>
      </c>
      <c r="Q7">
        <f>IF(O7="","",CONCAT("Pickup:",J7," | Delivery:",L7," | Override:",IF(P7="","NONE",P7)))</f>
        <v/>
      </c>
      <c r="R7">
        <f>IF(O7="","CLEAR",IF(P7="","LOCKED","OVERRIDDEN"))</f>
        <v/>
      </c>
      <c r="S7" t="inlineStr">
        <is>
          <t>MISSING_DELIVERY_SEAL</t>
        </is>
      </c>
      <c r="T7" t="inlineStr">
        <is>
          <t>YES</t>
        </is>
      </c>
      <c r="U7" t="inlineStr">
        <is>
          <t>OPEN</t>
        </is>
      </c>
      <c r="V7" t="inlineStr">
        <is>
          <t>Driver 6</t>
        </is>
      </c>
      <c r="W7" t="inlineStr">
        <is>
          <t>READY</t>
        </is>
      </c>
      <c r="X7" t="inlineStr">
        <is>
          <t>DELIVERED</t>
        </is>
      </c>
      <c r="Y7" t="inlineStr">
        <is>
          <t>/documents/loads/L-506_RC.pdf</t>
        </is>
      </c>
      <c r="Z7" t="inlineStr">
        <is>
          <t>/documents/loads/L-506_BOL.pdf</t>
        </is>
      </c>
      <c r="AA7" t="inlineStr">
        <is>
          <t>/documents/loads/L-506_PICKUP_SEAL.jpg</t>
        </is>
      </c>
      <c r="AB7" t="inlineStr">
        <is>
          <t>/documents/loads/L-506_DELIVERY_SEAL.jpg</t>
        </is>
      </c>
      <c r="AC7" t="inlineStr">
        <is>
          <t>/drivers/DRV-006.jpg</t>
        </is>
      </c>
      <c r="AD7" t="inlineStr">
        <is>
          <t>/images/pod/L-506_POD.jpg</t>
        </is>
      </c>
      <c r="AE7" t="inlineStr">
        <is>
          <t>/images/pickup/L-506_PICKUP.jpg</t>
        </is>
      </c>
      <c r="AF7" t="inlineStr">
        <is>
          <t>/images/delivery/L-506_DELIVERY.jpg</t>
        </is>
      </c>
      <c r="AG7" t="inlineStr">
        <is>
          <t>/images/lumper/L-506_LUMPER.jpg</t>
        </is>
      </c>
    </row>
    <row r="8">
      <c r="A8" t="inlineStr">
        <is>
          <t>L-507</t>
        </is>
      </c>
      <c r="B8" t="inlineStr">
        <is>
          <t>DRV-007</t>
        </is>
      </c>
      <c r="C8" t="inlineStr">
        <is>
          <t>Sofia Gomez</t>
        </is>
      </c>
      <c r="D8" t="inlineStr">
        <is>
          <t>T-109</t>
        </is>
      </c>
      <c r="E8" s="64" t="n">
        <v>2300</v>
      </c>
      <c r="F8" s="64" t="n">
        <v>58</v>
      </c>
      <c r="G8" t="inlineStr">
        <is>
          <t>NO</t>
        </is>
      </c>
      <c r="H8" t="inlineStr">
        <is>
          <t>IN_TRANSIT</t>
        </is>
      </c>
      <c r="J8" t="inlineStr">
        <is>
          <t>SEAL-73005</t>
        </is>
      </c>
      <c r="K8" t="inlineStr">
        <is>
          <t>pickup_photo_07.jpg</t>
        </is>
      </c>
      <c r="L8" t="inlineStr">
        <is>
          <t>SEAL-73099</t>
        </is>
      </c>
      <c r="M8" t="inlineStr">
        <is>
          <t>delivery_photo_07.jpg</t>
        </is>
      </c>
      <c r="N8">
        <f>IF(L8="","PENDING",IF(L8&lt;&gt;J8,"MISMATCH","VERIFIED"))</f>
        <v/>
      </c>
      <c r="O8">
        <f>IF(N8="MISMATCH","SEAL_MISMATCH",IF(OR(K8="",M8=""),"PHOTO_MISSING",""))</f>
        <v/>
      </c>
      <c r="Q8">
        <f>IF(O8="","",CONCAT("Pickup:",J8," | Delivery:",L8," | Override:",IF(P8="","NONE",P8)))</f>
        <v/>
      </c>
      <c r="R8">
        <f>IF(O8="","CLEAR",IF(P8="","LOCKED","OVERRIDDEN"))</f>
        <v/>
      </c>
      <c r="S8" t="inlineStr">
        <is>
          <t>SEAL_MISMATCH</t>
        </is>
      </c>
      <c r="T8" t="inlineStr">
        <is>
          <t>YES</t>
        </is>
      </c>
      <c r="U8" t="inlineStr">
        <is>
          <t>OPEN</t>
        </is>
      </c>
      <c r="V8" t="inlineStr">
        <is>
          <t>Driver 7</t>
        </is>
      </c>
      <c r="W8" t="inlineStr">
        <is>
          <t>PENDING</t>
        </is>
      </c>
      <c r="X8" t="inlineStr">
        <is>
          <t>IN_TRANSIT</t>
        </is>
      </c>
      <c r="Y8" t="inlineStr">
        <is>
          <t>/documents/loads/L-507_RC.pdf</t>
        </is>
      </c>
      <c r="Z8" t="inlineStr">
        <is>
          <t>/documents/loads/L-507_BOL.pdf</t>
        </is>
      </c>
      <c r="AA8" t="inlineStr">
        <is>
          <t>/documents/loads/L-507_PICKUP_SEAL.jpg</t>
        </is>
      </c>
      <c r="AB8" t="inlineStr">
        <is>
          <t>/documents/loads/L-507_DELIVERY_SEAL.jpg</t>
        </is>
      </c>
      <c r="AC8" t="inlineStr">
        <is>
          <t>/drivers/DRV-007.jpg</t>
        </is>
      </c>
      <c r="AD8" t="inlineStr">
        <is>
          <t>/images/pod/L-507_POD.jpg</t>
        </is>
      </c>
      <c r="AE8" t="inlineStr">
        <is>
          <t>/images/pickup/L-507_PICKUP.jpg</t>
        </is>
      </c>
      <c r="AF8" t="inlineStr">
        <is>
          <t>/images/delivery/L-507_DELIVERY.jpg</t>
        </is>
      </c>
      <c r="AG8" t="inlineStr">
        <is>
          <t>/images/lumper/L-507_LUMPER.jpg</t>
        </is>
      </c>
    </row>
    <row r="9">
      <c r="A9" t="inlineStr">
        <is>
          <t>L-508</t>
        </is>
      </c>
      <c r="B9" t="inlineStr">
        <is>
          <t>DRV-008</t>
        </is>
      </c>
      <c r="C9" t="inlineStr">
        <is>
          <t>Liam Smith</t>
        </is>
      </c>
      <c r="D9" t="inlineStr">
        <is>
          <t>T-110</t>
        </is>
      </c>
      <c r="E9" s="64" t="n">
        <v>1750</v>
      </c>
      <c r="F9" s="64" t="n">
        <v>81</v>
      </c>
      <c r="G9" t="inlineStr">
        <is>
          <t>YES</t>
        </is>
      </c>
      <c r="H9" t="inlineStr">
        <is>
          <t>DELIVERED</t>
        </is>
      </c>
      <c r="J9" t="inlineStr">
        <is>
          <t>SEAL-18542</t>
        </is>
      </c>
      <c r="K9" t="inlineStr">
        <is>
          <t>pickup_photo_08.jpg</t>
        </is>
      </c>
      <c r="L9" t="inlineStr">
        <is>
          <t>SEAL-18542</t>
        </is>
      </c>
      <c r="M9" t="inlineStr">
        <is>
          <t>delivery_photo_08.jpg</t>
        </is>
      </c>
      <c r="N9">
        <f>IF(L9="","PENDING",IF(L9&lt;&gt;J9,"MISMATCH","VERIFIED"))</f>
        <v/>
      </c>
      <c r="O9">
        <f>IF(N9="MISMATCH","SEAL_MISMATCH",IF(OR(K9="",M9=""),"PHOTO_MISSING",""))</f>
        <v/>
      </c>
      <c r="Q9">
        <f>IF(O9="","",CONCAT("Pickup:",J9," | Delivery:",L9," | Override:",IF(P9="","NONE",P9)))</f>
        <v/>
      </c>
      <c r="R9">
        <f>IF(O9="","CLEAR",IF(P9="","LOCKED","OVERRIDDEN"))</f>
        <v/>
      </c>
      <c r="S9" t="inlineStr">
        <is>
          <t>VERIFIED</t>
        </is>
      </c>
      <c r="T9" t="inlineStr">
        <is>
          <t>NO</t>
        </is>
      </c>
      <c r="U9" t="inlineStr">
        <is>
          <t>CLOSED</t>
        </is>
      </c>
      <c r="V9" t="inlineStr">
        <is>
          <t>Driver 8</t>
        </is>
      </c>
      <c r="W9" t="inlineStr">
        <is>
          <t>READY</t>
        </is>
      </c>
      <c r="X9" t="inlineStr">
        <is>
          <t>DELIVERED</t>
        </is>
      </c>
      <c r="Y9" t="inlineStr">
        <is>
          <t>/documents/loads/L-508_RC.pdf</t>
        </is>
      </c>
      <c r="Z9" t="inlineStr">
        <is>
          <t>/documents/loads/L-508_BOL.pdf</t>
        </is>
      </c>
      <c r="AA9" t="inlineStr">
        <is>
          <t>/documents/loads/L-508_PICKUP_SEAL.jpg</t>
        </is>
      </c>
      <c r="AB9" t="inlineStr">
        <is>
          <t>/documents/loads/L-508_DELIVERY_SEAL.jpg</t>
        </is>
      </c>
      <c r="AC9" t="inlineStr">
        <is>
          <t>/drivers/DRV-008.jpg</t>
        </is>
      </c>
      <c r="AD9" t="inlineStr">
        <is>
          <t>/images/pod/L-508_POD.jpg</t>
        </is>
      </c>
      <c r="AE9" t="inlineStr">
        <is>
          <t>/images/pickup/L-508_PICKUP.jpg</t>
        </is>
      </c>
      <c r="AF9" t="inlineStr">
        <is>
          <t>/images/delivery/L-508_DELIVERY.jpg</t>
        </is>
      </c>
      <c r="AG9" t="inlineStr">
        <is>
          <t>/images/lumper/L-508_LUMPER.jpg</t>
        </is>
      </c>
    </row>
    <row r="10">
      <c r="A10" t="inlineStr">
        <is>
          <t>L-509</t>
        </is>
      </c>
      <c r="B10" t="inlineStr">
        <is>
          <t>DRV-009</t>
        </is>
      </c>
      <c r="C10" t="inlineStr">
        <is>
          <t>Emma Brown</t>
        </is>
      </c>
      <c r="D10" t="inlineStr">
        <is>
          <t>T-111</t>
        </is>
      </c>
      <c r="E10" s="64" t="n">
        <v>2400</v>
      </c>
      <c r="F10" s="64" t="n">
        <v>49</v>
      </c>
      <c r="G10" t="inlineStr">
        <is>
          <t>NO</t>
        </is>
      </c>
      <c r="H10" t="inlineStr">
        <is>
          <t>PENDING</t>
        </is>
      </c>
      <c r="I10" t="inlineStr">
        <is>
          <t>Customer hold</t>
        </is>
      </c>
      <c r="J10" t="inlineStr">
        <is>
          <t>SEAL-26790</t>
        </is>
      </c>
      <c r="K10" t="inlineStr">
        <is>
          <t>pickup_photo_09.jpg</t>
        </is>
      </c>
      <c r="L10" t="inlineStr">
        <is>
          <t>SEAL-26791</t>
        </is>
      </c>
      <c r="M10" t="inlineStr">
        <is>
          <t>delivery_photo_09.jpg</t>
        </is>
      </c>
      <c r="N10">
        <f>IF(L10="","PENDING",IF(L10&lt;&gt;J10,"MISMATCH","VERIFIED"))</f>
        <v/>
      </c>
      <c r="O10">
        <f>IF(N10="MISMATCH","SEAL_MISMATCH",IF(OR(K10="",M10=""),"PHOTO_MISSING",""))</f>
        <v/>
      </c>
      <c r="P10" t="inlineStr">
        <is>
          <t>Carrier note logged</t>
        </is>
      </c>
      <c r="Q10">
        <f>IF(O10="","",CONCAT("Pickup:",J10," | Delivery:",L10," | Override:",IF(P10="","NONE",P10)))</f>
        <v/>
      </c>
      <c r="R10">
        <f>IF(O10="","CLEAR",IF(P10="","LOCKED","OVERRIDDEN"))</f>
        <v/>
      </c>
      <c r="S10" t="inlineStr">
        <is>
          <t>SEAL_MISMATCH</t>
        </is>
      </c>
      <c r="T10" t="inlineStr">
        <is>
          <t>YES</t>
        </is>
      </c>
      <c r="U10" t="inlineStr">
        <is>
          <t>OPEN</t>
        </is>
      </c>
      <c r="V10" t="inlineStr">
        <is>
          <t>Driver 9</t>
        </is>
      </c>
      <c r="W10" t="inlineStr">
        <is>
          <t>PENDING</t>
        </is>
      </c>
      <c r="X10" t="inlineStr">
        <is>
          <t>PENDING</t>
        </is>
      </c>
      <c r="Y10" t="inlineStr">
        <is>
          <t>/documents/loads/L-509_RC.pdf</t>
        </is>
      </c>
      <c r="Z10" t="inlineStr">
        <is>
          <t>/documents/loads/L-509_BOL.pdf</t>
        </is>
      </c>
      <c r="AA10" t="inlineStr">
        <is>
          <t>/documents/loads/L-509_PICKUP_SEAL.jpg</t>
        </is>
      </c>
      <c r="AB10" t="inlineStr">
        <is>
          <t>/documents/loads/L-509_DELIVERY_SEAL.jpg</t>
        </is>
      </c>
      <c r="AC10" t="inlineStr">
        <is>
          <t>/drivers/DRV-009.jpg</t>
        </is>
      </c>
      <c r="AD10" t="inlineStr">
        <is>
          <t>/images/pod/L-509_POD.jpg</t>
        </is>
      </c>
      <c r="AE10" t="inlineStr">
        <is>
          <t>/images/pickup/L-509_PICKUP.jpg</t>
        </is>
      </c>
      <c r="AF10" t="inlineStr">
        <is>
          <t>/images/delivery/L-509_DELIVERY.jpg</t>
        </is>
      </c>
      <c r="AG10" t="inlineStr">
        <is>
          <t>/images/lumper/L-509_LUMPER.jpg</t>
        </is>
      </c>
    </row>
    <row r="11">
      <c r="A11" t="inlineStr">
        <is>
          <t>L-510</t>
        </is>
      </c>
      <c r="B11" t="inlineStr">
        <is>
          <t>DRV-010</t>
        </is>
      </c>
      <c r="C11" t="inlineStr">
        <is>
          <t>Noah Wilson</t>
        </is>
      </c>
      <c r="D11" t="inlineStr">
        <is>
          <t>T-105</t>
        </is>
      </c>
      <c r="E11" s="64" t="n">
        <v>1900</v>
      </c>
      <c r="F11" s="64" t="n">
        <v>77</v>
      </c>
      <c r="G11" t="inlineStr">
        <is>
          <t>YES</t>
        </is>
      </c>
      <c r="H11" t="inlineStr">
        <is>
          <t>DELIVERED</t>
        </is>
      </c>
      <c r="J11" t="inlineStr">
        <is>
          <t>SEAL-48113</t>
        </is>
      </c>
      <c r="K11" t="inlineStr">
        <is>
          <t>pickup_photo_10.jpg</t>
        </is>
      </c>
      <c r="N11">
        <f>IF(L11="","PENDING",IF(L11&lt;&gt;J11,"MISMATCH","VERIFIED"))</f>
        <v/>
      </c>
      <c r="O11">
        <f>IF(N11="MISMATCH","SEAL_MISMATCH",IF(OR(K11="",M11=""),"PHOTO_MISSING",""))</f>
        <v/>
      </c>
      <c r="Q11">
        <f>IF(O11="","",CONCAT("Pickup:",J11," | Delivery:",L11," | Override:",IF(P11="","NONE",P11)))</f>
        <v/>
      </c>
      <c r="R11">
        <f>IF(O11="","CLEAR",IF(P11="","LOCKED","OVERRIDDEN"))</f>
        <v/>
      </c>
      <c r="S11" t="inlineStr">
        <is>
          <t>MISSING_DELIVERY_SEAL</t>
        </is>
      </c>
      <c r="T11" t="inlineStr">
        <is>
          <t>YES</t>
        </is>
      </c>
      <c r="U11" t="inlineStr">
        <is>
          <t>OPEN</t>
        </is>
      </c>
      <c r="V11" t="inlineStr">
        <is>
          <t>Driver 10</t>
        </is>
      </c>
      <c r="W11" t="inlineStr">
        <is>
          <t>READY</t>
        </is>
      </c>
      <c r="X11" t="inlineStr">
        <is>
          <t>DELIVERED</t>
        </is>
      </c>
      <c r="Y11" t="inlineStr">
        <is>
          <t>/documents/loads/L-510_RC.pdf</t>
        </is>
      </c>
      <c r="Z11" t="inlineStr">
        <is>
          <t>/documents/loads/L-510_BOL.pdf</t>
        </is>
      </c>
      <c r="AA11" t="inlineStr">
        <is>
          <t>/documents/loads/L-510_PICKUP_SEAL.jpg</t>
        </is>
      </c>
      <c r="AB11" t="inlineStr">
        <is>
          <t>/documents/loads/L-510_DELIVERY_SEAL.jpg</t>
        </is>
      </c>
      <c r="AC11" t="inlineStr">
        <is>
          <t>/drivers/DRV-010.jpg</t>
        </is>
      </c>
      <c r="AD11" t="inlineStr">
        <is>
          <t>/images/pod/L-510_POD.jpg</t>
        </is>
      </c>
      <c r="AE11" t="inlineStr">
        <is>
          <t>/images/pickup/L-510_PICKUP.jpg</t>
        </is>
      </c>
      <c r="AF11" t="inlineStr">
        <is>
          <t>/images/delivery/L-510_DELIVERY.jpg</t>
        </is>
      </c>
      <c r="AG11" t="inlineStr">
        <is>
          <t>/images/lumper/L-510_LUMPER.jpg</t>
        </is>
      </c>
    </row>
    <row r="12">
      <c r="A12" t="inlineStr">
        <is>
          <t>L-511</t>
        </is>
      </c>
      <c r="B12" t="inlineStr">
        <is>
          <t>DRV-011</t>
        </is>
      </c>
      <c r="C12" t="inlineStr">
        <is>
          <t>Olivia Lee</t>
        </is>
      </c>
      <c r="D12" t="inlineStr">
        <is>
          <t>T-112</t>
        </is>
      </c>
      <c r="E12" s="64" t="n">
        <v>2250</v>
      </c>
      <c r="F12" s="64" t="n">
        <v>63</v>
      </c>
      <c r="G12" t="inlineStr">
        <is>
          <t>NO</t>
        </is>
      </c>
      <c r="H12" t="inlineStr">
        <is>
          <t>IN_TRANSIT</t>
        </is>
      </c>
      <c r="J12" t="inlineStr">
        <is>
          <t>SEAL-91420</t>
        </is>
      </c>
      <c r="K12" t="inlineStr">
        <is>
          <t>pickup_photo_11.jpg</t>
        </is>
      </c>
      <c r="L12" t="inlineStr">
        <is>
          <t>SEAL-91420</t>
        </is>
      </c>
      <c r="M12" t="inlineStr">
        <is>
          <t>delivery_photo_11.jpg</t>
        </is>
      </c>
      <c r="N12">
        <f>IF(L12="","PENDING",IF(L12&lt;&gt;J12,"MISMATCH","VERIFIED"))</f>
        <v/>
      </c>
      <c r="O12">
        <f>IF(N12="MISMATCH","SEAL_MISMATCH",IF(OR(K12="",M12=""),"PHOTO_MISSING",""))</f>
        <v/>
      </c>
      <c r="Q12">
        <f>IF(O12="","",CONCAT("Pickup:",J12," | Delivery:",L12," | Override:",IF(P12="","NONE",P12)))</f>
        <v/>
      </c>
      <c r="R12">
        <f>IF(O12="","CLEAR",IF(P12="","LOCKED","OVERRIDDEN"))</f>
        <v/>
      </c>
      <c r="S12" t="inlineStr">
        <is>
          <t>VERIFIED</t>
        </is>
      </c>
      <c r="T12" t="inlineStr">
        <is>
          <t>NO</t>
        </is>
      </c>
      <c r="U12" t="inlineStr">
        <is>
          <t>CLOSED</t>
        </is>
      </c>
      <c r="V12" t="inlineStr">
        <is>
          <t>Driver 11</t>
        </is>
      </c>
      <c r="W12" t="inlineStr">
        <is>
          <t>PENDING</t>
        </is>
      </c>
      <c r="X12" t="inlineStr">
        <is>
          <t>IN_TRANSIT</t>
        </is>
      </c>
      <c r="Y12" t="inlineStr">
        <is>
          <t>/documents/loads/L-511_RC.pdf</t>
        </is>
      </c>
      <c r="Z12" t="inlineStr">
        <is>
          <t>/documents/loads/L-511_BOL.pdf</t>
        </is>
      </c>
      <c r="AA12" t="inlineStr">
        <is>
          <t>/documents/loads/L-511_PICKUP_SEAL.jpg</t>
        </is>
      </c>
      <c r="AB12" t="inlineStr">
        <is>
          <t>/documents/loads/L-511_DELIVERY_SEAL.jpg</t>
        </is>
      </c>
      <c r="AC12" t="inlineStr">
        <is>
          <t>/drivers/DRV-011.jpg</t>
        </is>
      </c>
      <c r="AD12" t="inlineStr">
        <is>
          <t>/images/pod/L-511_POD.jpg</t>
        </is>
      </c>
      <c r="AE12" t="inlineStr">
        <is>
          <t>/images/pickup/L-511_PICKUP.jpg</t>
        </is>
      </c>
      <c r="AF12" t="inlineStr">
        <is>
          <t>/images/delivery/L-511_DELIVERY.jpg</t>
        </is>
      </c>
      <c r="AG12" t="inlineStr">
        <is>
          <t>/images/lumper/L-511_LUMPER.jpg</t>
        </is>
      </c>
    </row>
    <row r="13">
      <c r="A13" t="inlineStr">
        <is>
          <t>L-512</t>
        </is>
      </c>
      <c r="B13" t="inlineStr">
        <is>
          <t>DRV-012</t>
        </is>
      </c>
      <c r="D13" t="inlineStr">
        <is>
          <t>T-106</t>
        </is>
      </c>
      <c r="E13" s="64" t="n">
        <v>2150</v>
      </c>
      <c r="F13" s="64" t="n">
        <v>69</v>
      </c>
      <c r="G13" t="inlineStr">
        <is>
          <t>YES</t>
        </is>
      </c>
      <c r="H13" t="inlineStr">
        <is>
          <t>DELIVERED</t>
        </is>
      </c>
      <c r="J13" t="inlineStr">
        <is>
          <t>SEAL-35864</t>
        </is>
      </c>
      <c r="K13" t="inlineStr">
        <is>
          <t>pickup_photo_12.jpg</t>
        </is>
      </c>
      <c r="L13" t="inlineStr">
        <is>
          <t>SEAL-35860</t>
        </is>
      </c>
      <c r="M13" t="inlineStr">
        <is>
          <t>delivery_photo_12.jpg</t>
        </is>
      </c>
      <c r="N13">
        <f>IF(L13="","PENDING",IF(L13&lt;&gt;J13,"MISMATCH","VERIFIED"))</f>
        <v/>
      </c>
      <c r="O13">
        <f>IF(N13="MISMATCH","SEAL_MISMATCH",IF(OR(K13="",M13=""),"PHOTO_MISSING",""))</f>
        <v/>
      </c>
      <c r="Q13">
        <f>IF(O13="","",CONCAT("Pickup:",J13," | Delivery:",L13," | Override:",IF(P13="","NONE",P13)))</f>
        <v/>
      </c>
      <c r="R13">
        <f>IF(O13="","CLEAR",IF(P13="","LOCKED","OVERRIDDEN"))</f>
        <v/>
      </c>
      <c r="S13" t="inlineStr">
        <is>
          <t>SEAL_MISMATCH</t>
        </is>
      </c>
      <c r="T13" t="inlineStr">
        <is>
          <t>YES</t>
        </is>
      </c>
      <c r="U13" t="inlineStr">
        <is>
          <t>OPEN</t>
        </is>
      </c>
      <c r="V13" t="inlineStr">
        <is>
          <t>Driver 12</t>
        </is>
      </c>
      <c r="W13" t="inlineStr">
        <is>
          <t>READY</t>
        </is>
      </c>
      <c r="X13" t="inlineStr">
        <is>
          <t>DELIVERED</t>
        </is>
      </c>
      <c r="Y13" t="inlineStr">
        <is>
          <t>/documents/loads/L-512_RC.pdf</t>
        </is>
      </c>
      <c r="Z13" t="inlineStr">
        <is>
          <t>/documents/loads/L-512_BOL.pdf</t>
        </is>
      </c>
      <c r="AA13" t="inlineStr">
        <is>
          <t>/documents/loads/L-512_PICKUP_SEAL.jpg</t>
        </is>
      </c>
      <c r="AB13" t="inlineStr">
        <is>
          <t>/documents/loads/L-512_DELIVERY_SEAL.jpg</t>
        </is>
      </c>
      <c r="AC13" t="inlineStr">
        <is>
          <t>/drivers/DRV-012.jpg</t>
        </is>
      </c>
      <c r="AD13" t="inlineStr">
        <is>
          <t>/images/pod/L-512_POD.jpg</t>
        </is>
      </c>
      <c r="AE13" t="inlineStr">
        <is>
          <t>/images/pickup/L-512_PICKUP.jpg</t>
        </is>
      </c>
      <c r="AF13" t="inlineStr">
        <is>
          <t>/images/delivery/L-512_DELIVERY.jpg</t>
        </is>
      </c>
      <c r="AG13" t="inlineStr">
        <is>
          <t>/images/lumper/L-512_LUMPER.jpg</t>
        </is>
      </c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13"/>
  <sheetViews>
    <sheetView showGridLines="0" workbookViewId="0">
      <selection activeCell="A1" sqref="A1"/>
    </sheetView>
  </sheetViews>
  <sheetFormatPr baseColWidth="8" defaultRowHeight="15"/>
  <cols>
    <col width="11" customWidth="1" style="24" min="1" max="1"/>
    <col width="14" customWidth="1" style="24" min="2" max="2"/>
    <col width="11" customWidth="1" style="24" min="3" max="3"/>
    <col width="15" customWidth="1" style="24" min="4" max="4"/>
    <col width="14" customWidth="1" style="24" min="5" max="5"/>
    <col width="11" customWidth="1" style="24" min="6" max="6"/>
    <col width="12" customWidth="1" style="24" min="7" max="7"/>
    <col width="13" customWidth="1" style="24" min="8" max="8"/>
    <col width="21" customWidth="1" style="24" min="9" max="9"/>
    <col width="19" customWidth="1" style="24" min="10" max="10"/>
    <col width="13" customWidth="1" style="24" min="11" max="11"/>
    <col width="13" customWidth="1" style="24" min="12" max="12"/>
    <col width="16" customWidth="1" style="24" min="13" max="13"/>
    <col width="20" customWidth="1" style="24" min="14" max="14"/>
    <col width="27" customWidth="1" style="24" min="15" max="15"/>
    <col width="21" customWidth="1" style="24" min="16" max="16"/>
    <col width="26" customWidth="1" style="24" min="17" max="17"/>
    <col width="27" customWidth="1" style="24" min="18" max="18"/>
    <col width="26" customWidth="1" style="24" min="19" max="19"/>
    <col width="18" customWidth="1" style="24" min="20" max="20"/>
    <col width="13" customWidth="1" style="24" min="21" max="21"/>
    <col width="14" customWidth="1" style="24" min="22" max="22"/>
    <col width="10" customWidth="1" style="24" min="23" max="23"/>
    <col width="19" customWidth="1" style="24" min="24" max="24"/>
    <col width="13" customWidth="1" style="24" min="25" max="25"/>
    <col width="18" customWidth="1" style="24" min="26" max="26"/>
    <col width="15" customWidth="1" style="24" min="27" max="27"/>
    <col width="15" customWidth="1" style="24" min="28" max="28"/>
    <col width="30" customWidth="1" style="24" min="29" max="29"/>
    <col width="30" customWidth="1" style="24" min="30" max="30"/>
  </cols>
  <sheetData>
    <row r="1">
      <c r="A1" s="49" t="inlineStr">
        <is>
          <t>Driver ID</t>
        </is>
      </c>
      <c r="B1" s="49" t="inlineStr">
        <is>
          <t>Full Name</t>
        </is>
      </c>
      <c r="C1" s="49" t="inlineStr">
        <is>
          <t>Driver</t>
        </is>
      </c>
      <c r="D1" s="49" t="inlineStr">
        <is>
          <t>Base Earnings</t>
        </is>
      </c>
      <c r="E1" s="49" t="inlineStr">
        <is>
          <t>Backhaul Pay</t>
        </is>
      </c>
      <c r="F1" s="49" t="inlineStr">
        <is>
          <t>Gross Pay</t>
        </is>
      </c>
      <c r="G1" s="49" t="inlineStr">
        <is>
          <t>FICA</t>
        </is>
      </c>
      <c r="H1" s="49" t="inlineStr">
        <is>
          <t>OASDI</t>
        </is>
      </c>
      <c r="I1" s="49" t="inlineStr">
        <is>
          <t>Federal Withholding</t>
        </is>
      </c>
      <c r="J1" s="49" t="inlineStr">
        <is>
          <t>State Withholding</t>
        </is>
      </c>
      <c r="K1" s="49" t="inlineStr">
        <is>
          <t>SDI</t>
        </is>
      </c>
      <c r="L1" s="49" t="inlineStr">
        <is>
          <t>FM Leave</t>
        </is>
      </c>
      <c r="M1" s="49" t="inlineStr">
        <is>
          <t>Family Support</t>
        </is>
      </c>
      <c r="N1" s="49" t="inlineStr">
        <is>
          <t>Insurance Premiums</t>
        </is>
      </c>
      <c r="O1" s="49" t="inlineStr">
        <is>
          <t>Credit Union Savings Club</t>
        </is>
      </c>
      <c r="P1" s="49" t="inlineStr">
        <is>
          <t>401(k) Contribution</t>
        </is>
      </c>
      <c r="Q1" s="49" t="inlineStr">
        <is>
          <t>HSA/FSA Health Deduction</t>
        </is>
      </c>
      <c r="R1" s="49" t="inlineStr">
        <is>
          <t>Health Insurance Premiums</t>
        </is>
      </c>
      <c r="S1" s="49" t="inlineStr">
        <is>
          <t>Life Insurance Above 50k</t>
        </is>
      </c>
      <c r="T1" s="49" t="inlineStr">
        <is>
          <t>Total Deductions</t>
        </is>
      </c>
      <c r="U1" s="49" t="inlineStr">
        <is>
          <t>Fuel Reimb.</t>
        </is>
      </c>
      <c r="V1" s="49" t="inlineStr">
        <is>
          <t>Net Pay</t>
        </is>
      </c>
      <c r="W1" s="49" t="inlineStr">
        <is>
          <t>Status</t>
        </is>
      </c>
      <c r="X1" s="49" t="inlineStr">
        <is>
          <t>Pending Reason</t>
        </is>
      </c>
      <c r="Y1" s="49" t="inlineStr">
        <is>
          <t>401(k) Rate</t>
        </is>
      </c>
      <c r="Z1" s="49" t="inlineStr">
        <is>
          <t>Legacy Driver ID</t>
        </is>
      </c>
      <c r="AA1" s="49" t="inlineStr">
        <is>
          <t>Settlement ID</t>
        </is>
      </c>
      <c r="AB1" s="49" t="inlineStr">
        <is>
          <t>Export Status</t>
        </is>
      </c>
      <c r="AC1" s="49" t="inlineStr">
        <is>
          <t>Settlement URL</t>
        </is>
      </c>
      <c r="AD1" s="49" t="inlineStr">
        <is>
          <t>Driver Photo URL</t>
        </is>
      </c>
    </row>
    <row r="2">
      <c r="A2" t="inlineStr">
        <is>
          <t>DRV-001</t>
        </is>
      </c>
      <c r="B2" t="inlineStr">
        <is>
          <t>John Carter</t>
        </is>
      </c>
      <c r="C2" t="inlineStr">
        <is>
          <t>J. Carter</t>
        </is>
      </c>
      <c r="D2" s="64" t="n">
        <v>2100</v>
      </c>
      <c r="E2" s="64" t="n">
        <v>65</v>
      </c>
      <c r="F2" s="64">
        <f>D2+E2</f>
        <v/>
      </c>
      <c r="G2">
        <f>0.062*D2</f>
        <v/>
      </c>
      <c r="H2">
        <f>0.0145*D2</f>
        <v/>
      </c>
      <c r="I2">
        <f>0.18*D2</f>
        <v/>
      </c>
      <c r="J2">
        <f>0.035*D2</f>
        <v/>
      </c>
      <c r="K2">
        <f>0.0045*D2</f>
        <v/>
      </c>
      <c r="L2">
        <f>0.0066*D2</f>
        <v/>
      </c>
      <c r="M2" s="56" t="n">
        <v>0</v>
      </c>
      <c r="N2" s="56" t="n">
        <v>214.92</v>
      </c>
      <c r="O2" s="56" t="n">
        <v>0</v>
      </c>
      <c r="P2">
        <f>D2*Y2</f>
        <v/>
      </c>
      <c r="Q2" s="56" t="n">
        <v>114.79</v>
      </c>
      <c r="R2" s="56" t="n">
        <v>0</v>
      </c>
      <c r="S2" s="56" t="n">
        <v>0</v>
      </c>
      <c r="T2" s="64">
        <f>SUM(G2:S2)</f>
        <v/>
      </c>
      <c r="U2" s="64" t="n">
        <v>0</v>
      </c>
      <c r="V2" s="64">
        <f>F2-T2+U2</f>
        <v/>
      </c>
      <c r="W2" t="inlineStr">
        <is>
          <t>PAID</t>
        </is>
      </c>
      <c r="Y2" s="56" t="n">
        <v>0.03</v>
      </c>
      <c r="Z2" t="inlineStr">
        <is>
          <t>Driver 1</t>
        </is>
      </c>
      <c r="AA2" t="inlineStr">
        <is>
          <t>STL-001</t>
        </is>
      </c>
      <c r="AB2" t="inlineStr">
        <is>
          <t>READY</t>
        </is>
      </c>
      <c r="AC2" t="inlineStr">
        <is>
          <t>/documents/settlements/DRV-001_SETTLEMENT.pdf</t>
        </is>
      </c>
      <c r="AD2" t="inlineStr">
        <is>
          <t>/drivers/DRV-001.jpg</t>
        </is>
      </c>
    </row>
    <row r="3">
      <c r="A3" t="inlineStr">
        <is>
          <t>DRV-002</t>
        </is>
      </c>
      <c r="B3" t="inlineStr">
        <is>
          <t>Maria Lopez</t>
        </is>
      </c>
      <c r="C3" t="inlineStr">
        <is>
          <t>M. Lopez</t>
        </is>
      </c>
      <c r="D3" s="64" t="n">
        <v>1910</v>
      </c>
      <c r="E3" s="64" t="n">
        <v>95</v>
      </c>
      <c r="F3" s="64">
        <f>D3+E3</f>
        <v/>
      </c>
      <c r="G3">
        <f>0.062*D3</f>
        <v/>
      </c>
      <c r="H3">
        <f>0.0145*D3</f>
        <v/>
      </c>
      <c r="I3">
        <f>0.18*D3</f>
        <v/>
      </c>
      <c r="J3">
        <f>0.035*D3</f>
        <v/>
      </c>
      <c r="K3">
        <f>0.0045*D3</f>
        <v/>
      </c>
      <c r="L3">
        <f>0.0066*D3</f>
        <v/>
      </c>
      <c r="M3" s="56" t="n">
        <v>79.68000000000001</v>
      </c>
      <c r="N3" s="56" t="n">
        <v>0</v>
      </c>
      <c r="O3" s="56" t="n">
        <v>42.09</v>
      </c>
      <c r="P3">
        <f>D3*Y3</f>
        <v/>
      </c>
      <c r="Q3" s="56" t="n">
        <v>69.33</v>
      </c>
      <c r="R3" s="56" t="n">
        <v>0</v>
      </c>
      <c r="S3" s="56" t="n">
        <v>0</v>
      </c>
      <c r="T3" s="64">
        <f>SUM(G3:S3)</f>
        <v/>
      </c>
      <c r="U3" s="64" t="n">
        <v>120</v>
      </c>
      <c r="V3" s="64">
        <f>F3-T3+U3</f>
        <v/>
      </c>
      <c r="W3" t="inlineStr">
        <is>
          <t>PENDING</t>
        </is>
      </c>
      <c r="X3" t="inlineStr">
        <is>
          <t>Awaiting Receipts</t>
        </is>
      </c>
      <c r="Y3" s="56" t="n">
        <v>0</v>
      </c>
      <c r="Z3" t="inlineStr">
        <is>
          <t>Driver 2</t>
        </is>
      </c>
      <c r="AA3" t="inlineStr">
        <is>
          <t>STL-002</t>
        </is>
      </c>
      <c r="AB3" t="inlineStr">
        <is>
          <t>READY</t>
        </is>
      </c>
      <c r="AC3" t="inlineStr">
        <is>
          <t>/documents/settlements/DRV-002_SETTLEMENT.pdf</t>
        </is>
      </c>
      <c r="AD3" t="inlineStr">
        <is>
          <t>/drivers/DRV-002.jpg</t>
        </is>
      </c>
    </row>
    <row r="4">
      <c r="A4" t="inlineStr">
        <is>
          <t>DRV-003</t>
        </is>
      </c>
      <c r="B4" t="inlineStr">
        <is>
          <t>Alex Kim</t>
        </is>
      </c>
      <c r="C4" t="inlineStr">
        <is>
          <t>A. Kim</t>
        </is>
      </c>
      <c r="D4" s="64" t="n">
        <v>2155</v>
      </c>
      <c r="E4" s="64" t="n">
        <v>45</v>
      </c>
      <c r="F4" s="64">
        <f>D4+E4</f>
        <v/>
      </c>
      <c r="G4">
        <f>0.062*D4</f>
        <v/>
      </c>
      <c r="H4">
        <f>0.0145*D4</f>
        <v/>
      </c>
      <c r="I4">
        <f>0.18*D4</f>
        <v/>
      </c>
      <c r="J4">
        <f>0.035*D4</f>
        <v/>
      </c>
      <c r="K4">
        <f>0.0045*D4</f>
        <v/>
      </c>
      <c r="L4">
        <f>0.0066*D4</f>
        <v/>
      </c>
      <c r="M4" s="56" t="n">
        <v>0</v>
      </c>
      <c r="N4" s="56" t="n">
        <v>0</v>
      </c>
      <c r="O4" s="56" t="n">
        <v>30.98</v>
      </c>
      <c r="P4">
        <f>D4*Y4</f>
        <v/>
      </c>
      <c r="Q4" s="56" t="n">
        <v>0</v>
      </c>
      <c r="R4" s="56" t="n">
        <v>0</v>
      </c>
      <c r="S4" s="56" t="n">
        <v>0</v>
      </c>
      <c r="T4" s="64">
        <f>SUM(G4:S4)</f>
        <v/>
      </c>
      <c r="U4" s="64" t="n">
        <v>0</v>
      </c>
      <c r="V4" s="64">
        <f>F4-T4+U4</f>
        <v/>
      </c>
      <c r="W4" t="inlineStr">
        <is>
          <t>PAID</t>
        </is>
      </c>
      <c r="Y4" s="56" t="n">
        <v>0.06</v>
      </c>
      <c r="Z4" t="inlineStr">
        <is>
          <t>Driver 3</t>
        </is>
      </c>
      <c r="AA4" t="inlineStr">
        <is>
          <t>STL-003</t>
        </is>
      </c>
      <c r="AB4" t="inlineStr">
        <is>
          <t>READY</t>
        </is>
      </c>
      <c r="AC4" t="inlineStr">
        <is>
          <t>/documents/settlements/DRV-003_SETTLEMENT.pdf</t>
        </is>
      </c>
      <c r="AD4" t="inlineStr">
        <is>
          <t>/drivers/DRV-003.jpg</t>
        </is>
      </c>
    </row>
    <row r="5">
      <c r="A5" t="inlineStr">
        <is>
          <t>DRV-004</t>
        </is>
      </c>
      <c r="B5" t="inlineStr">
        <is>
          <t>Priya Patel</t>
        </is>
      </c>
      <c r="C5" t="inlineStr">
        <is>
          <t>P. Patel</t>
        </is>
      </c>
      <c r="D5" s="64" t="n">
        <v>2020</v>
      </c>
      <c r="E5" s="64" t="n">
        <v>88</v>
      </c>
      <c r="F5" s="64">
        <f>D5+E5</f>
        <v/>
      </c>
      <c r="G5">
        <f>0.062*D5</f>
        <v/>
      </c>
      <c r="H5">
        <f>0.0145*D5</f>
        <v/>
      </c>
      <c r="I5">
        <f>0.18*D5</f>
        <v/>
      </c>
      <c r="J5">
        <f>0.035*D5</f>
        <v/>
      </c>
      <c r="K5">
        <f>0.0045*D5</f>
        <v/>
      </c>
      <c r="L5">
        <f>0.0066*D5</f>
        <v/>
      </c>
      <c r="M5" s="56" t="n">
        <v>0</v>
      </c>
      <c r="N5" s="56" t="n">
        <v>0</v>
      </c>
      <c r="O5" s="56" t="n">
        <v>32.58</v>
      </c>
      <c r="P5">
        <f>D5*Y5</f>
        <v/>
      </c>
      <c r="Q5" s="56" t="n">
        <v>0</v>
      </c>
      <c r="R5" s="56" t="n">
        <v>0</v>
      </c>
      <c r="S5" s="56" t="n">
        <v>0</v>
      </c>
      <c r="T5" s="64">
        <f>SUM(G5:S5)</f>
        <v/>
      </c>
      <c r="U5" s="64" t="n">
        <v>150</v>
      </c>
      <c r="V5" s="64">
        <f>F5-T5+U5</f>
        <v/>
      </c>
      <c r="W5" t="inlineStr">
        <is>
          <t>PENDING</t>
        </is>
      </c>
      <c r="X5" t="inlineStr">
        <is>
          <t>Awaiting Receipts</t>
        </is>
      </c>
      <c r="Y5" s="56" t="n">
        <v>0</v>
      </c>
      <c r="Z5" t="inlineStr">
        <is>
          <t>Driver 4</t>
        </is>
      </c>
      <c r="AA5" t="inlineStr">
        <is>
          <t>STL-004</t>
        </is>
      </c>
      <c r="AB5" t="inlineStr">
        <is>
          <t>READY</t>
        </is>
      </c>
      <c r="AC5" t="inlineStr">
        <is>
          <t>/documents/settlements/DRV-004_SETTLEMENT.pdf</t>
        </is>
      </c>
      <c r="AD5" t="inlineStr">
        <is>
          <t>/drivers/DRV-004.jpg</t>
        </is>
      </c>
    </row>
    <row r="6">
      <c r="A6" t="inlineStr">
        <is>
          <t>DRV-005</t>
        </is>
      </c>
      <c r="B6" t="inlineStr">
        <is>
          <t>Kenji Tanaka</t>
        </is>
      </c>
      <c r="C6" t="inlineStr">
        <is>
          <t>K. Tanaka</t>
        </is>
      </c>
      <c r="D6" s="64" t="n">
        <v>2280</v>
      </c>
      <c r="E6" s="64" t="n">
        <v>45</v>
      </c>
      <c r="F6" s="64">
        <f>D6+E6</f>
        <v/>
      </c>
      <c r="G6">
        <f>0.062*D6</f>
        <v/>
      </c>
      <c r="H6">
        <f>0.0145*D6</f>
        <v/>
      </c>
      <c r="I6">
        <f>0.18*D6</f>
        <v/>
      </c>
      <c r="J6">
        <f>0.035*D6</f>
        <v/>
      </c>
      <c r="K6">
        <f>0.0045*D6</f>
        <v/>
      </c>
      <c r="L6">
        <f>0.0066*D6</f>
        <v/>
      </c>
      <c r="M6" s="56" t="n">
        <v>187.05</v>
      </c>
      <c r="N6" s="56" t="n">
        <v>0</v>
      </c>
      <c r="O6" s="56" t="n">
        <v>72.68000000000001</v>
      </c>
      <c r="P6">
        <f>D6*Y6</f>
        <v/>
      </c>
      <c r="Q6" s="56" t="n">
        <v>26.5</v>
      </c>
      <c r="R6" s="56" t="n">
        <v>0</v>
      </c>
      <c r="S6" s="56" t="n">
        <v>0</v>
      </c>
      <c r="T6" s="64">
        <f>SUM(G6:S6)</f>
        <v/>
      </c>
      <c r="U6" s="64" t="n">
        <v>0</v>
      </c>
      <c r="V6" s="64">
        <f>F6-T6+U6</f>
        <v/>
      </c>
      <c r="W6" t="inlineStr">
        <is>
          <t>PENDING</t>
        </is>
      </c>
      <c r="X6" t="inlineStr">
        <is>
          <t>Load Verification</t>
        </is>
      </c>
      <c r="Y6" s="56" t="n">
        <v>0.03</v>
      </c>
      <c r="Z6" t="inlineStr">
        <is>
          <t>Driver 5</t>
        </is>
      </c>
      <c r="AA6" t="inlineStr">
        <is>
          <t>STL-005</t>
        </is>
      </c>
      <c r="AB6" t="inlineStr">
        <is>
          <t>READY</t>
        </is>
      </c>
      <c r="AC6" t="inlineStr">
        <is>
          <t>/documents/settlements/DRV-005_SETTLEMENT.pdf</t>
        </is>
      </c>
      <c r="AD6" t="inlineStr">
        <is>
          <t>/drivers/DRV-005.jpg</t>
        </is>
      </c>
    </row>
    <row r="7">
      <c r="A7" t="inlineStr">
        <is>
          <t>DRV-006</t>
        </is>
      </c>
      <c r="B7" t="inlineStr">
        <is>
          <t>Marcus Chen</t>
        </is>
      </c>
      <c r="C7" t="inlineStr">
        <is>
          <t>M. Chen</t>
        </is>
      </c>
      <c r="D7" s="64" t="n">
        <v>2090</v>
      </c>
      <c r="E7" s="64" t="n">
        <v>72</v>
      </c>
      <c r="F7" s="64">
        <f>D7+E7</f>
        <v/>
      </c>
      <c r="G7">
        <f>0.062*D7</f>
        <v/>
      </c>
      <c r="H7">
        <f>0.0145*D7</f>
        <v/>
      </c>
      <c r="I7">
        <f>0.18*D7</f>
        <v/>
      </c>
      <c r="J7">
        <f>0.035*D7</f>
        <v/>
      </c>
      <c r="K7">
        <f>0.0045*D7</f>
        <v/>
      </c>
      <c r="L7">
        <f>0.0066*D7</f>
        <v/>
      </c>
      <c r="M7" s="56" t="n">
        <v>0</v>
      </c>
      <c r="N7" s="56" t="n">
        <v>0</v>
      </c>
      <c r="O7" s="56" t="n">
        <v>0</v>
      </c>
      <c r="P7">
        <f>D7*Y7</f>
        <v/>
      </c>
      <c r="Q7" s="56" t="n">
        <v>0</v>
      </c>
      <c r="R7" s="56" t="n">
        <v>0</v>
      </c>
      <c r="S7" s="56" t="n">
        <v>24.94</v>
      </c>
      <c r="T7" s="64">
        <f>SUM(G7:S7)</f>
        <v/>
      </c>
      <c r="U7" s="64" t="n">
        <v>0</v>
      </c>
      <c r="V7" s="64">
        <f>F7-T7+U7</f>
        <v/>
      </c>
      <c r="W7" t="inlineStr">
        <is>
          <t>PAID</t>
        </is>
      </c>
      <c r="Y7" s="56" t="n">
        <v>0.03</v>
      </c>
      <c r="Z7" t="inlineStr">
        <is>
          <t>Driver 6</t>
        </is>
      </c>
      <c r="AA7" t="inlineStr">
        <is>
          <t>STL-006</t>
        </is>
      </c>
      <c r="AB7" t="inlineStr">
        <is>
          <t>READY</t>
        </is>
      </c>
      <c r="AC7" t="inlineStr">
        <is>
          <t>/documents/settlements/DRV-006_SETTLEMENT.pdf</t>
        </is>
      </c>
      <c r="AD7" t="inlineStr">
        <is>
          <t>/drivers/DRV-006.jpg</t>
        </is>
      </c>
    </row>
    <row r="8">
      <c r="A8" t="inlineStr">
        <is>
          <t>DRV-007</t>
        </is>
      </c>
      <c r="B8" t="inlineStr">
        <is>
          <t>Sofia Gomez</t>
        </is>
      </c>
      <c r="C8" t="inlineStr">
        <is>
          <t>S. Gomez</t>
        </is>
      </c>
      <c r="D8" s="64" t="n">
        <v>1975</v>
      </c>
      <c r="E8" s="64" t="n">
        <v>58</v>
      </c>
      <c r="F8" s="64">
        <f>D8+E8</f>
        <v/>
      </c>
      <c r="G8">
        <f>0.062*D8</f>
        <v/>
      </c>
      <c r="H8">
        <f>0.0145*D8</f>
        <v/>
      </c>
      <c r="I8">
        <f>0.18*D8</f>
        <v/>
      </c>
      <c r="J8">
        <f>0.035*D8</f>
        <v/>
      </c>
      <c r="K8">
        <f>0.0045*D8</f>
        <v/>
      </c>
      <c r="L8">
        <f>0.0066*D8</f>
        <v/>
      </c>
      <c r="M8" s="56" t="n">
        <v>246.6</v>
      </c>
      <c r="N8" s="56" t="n">
        <v>146.97</v>
      </c>
      <c r="O8" s="56" t="n">
        <v>0</v>
      </c>
      <c r="P8">
        <f>D8*Y8</f>
        <v/>
      </c>
      <c r="Q8" s="56" t="n">
        <v>0</v>
      </c>
      <c r="R8" s="56" t="n">
        <v>0</v>
      </c>
      <c r="S8" s="56" t="n">
        <v>7.04</v>
      </c>
      <c r="T8" s="64">
        <f>SUM(G8:S8)</f>
        <v/>
      </c>
      <c r="U8" s="64" t="n">
        <v>0</v>
      </c>
      <c r="V8" s="64">
        <f>F8-T8+U8</f>
        <v/>
      </c>
      <c r="W8" t="inlineStr">
        <is>
          <t>PAID</t>
        </is>
      </c>
      <c r="Y8" s="56" t="n">
        <v>0.05</v>
      </c>
      <c r="Z8" t="inlineStr">
        <is>
          <t>Driver 7</t>
        </is>
      </c>
      <c r="AA8" t="inlineStr">
        <is>
          <t>STL-007</t>
        </is>
      </c>
      <c r="AB8" t="inlineStr">
        <is>
          <t>READY</t>
        </is>
      </c>
      <c r="AC8" t="inlineStr">
        <is>
          <t>/documents/settlements/DRV-007_SETTLEMENT.pdf</t>
        </is>
      </c>
      <c r="AD8" t="inlineStr">
        <is>
          <t>/drivers/DRV-007.jpg</t>
        </is>
      </c>
    </row>
    <row r="9">
      <c r="A9" t="inlineStr">
        <is>
          <t>DRV-008</t>
        </is>
      </c>
      <c r="B9" t="inlineStr">
        <is>
          <t>Liam Smith</t>
        </is>
      </c>
      <c r="C9" t="inlineStr">
        <is>
          <t>L. Smith</t>
        </is>
      </c>
      <c r="D9" s="64" t="n">
        <v>2165</v>
      </c>
      <c r="E9" s="64" t="n">
        <v>81</v>
      </c>
      <c r="F9" s="64">
        <f>D9+E9</f>
        <v/>
      </c>
      <c r="G9">
        <f>0.062*D9</f>
        <v/>
      </c>
      <c r="H9">
        <f>0.0145*D9</f>
        <v/>
      </c>
      <c r="I9">
        <f>0.18*D9</f>
        <v/>
      </c>
      <c r="J9">
        <f>0.035*D9</f>
        <v/>
      </c>
      <c r="K9">
        <f>0.0045*D9</f>
        <v/>
      </c>
      <c r="L9">
        <f>0.0066*D9</f>
        <v/>
      </c>
      <c r="M9" s="56" t="n">
        <v>0</v>
      </c>
      <c r="N9" s="56" t="n">
        <v>0</v>
      </c>
      <c r="O9" s="56" t="n">
        <v>45.02</v>
      </c>
      <c r="P9">
        <f>D9*Y9</f>
        <v/>
      </c>
      <c r="Q9" s="56" t="n">
        <v>0</v>
      </c>
      <c r="R9" s="56" t="n">
        <v>111.66</v>
      </c>
      <c r="S9" s="56" t="n">
        <v>0</v>
      </c>
      <c r="T9" s="64">
        <f>SUM(G9:S9)</f>
        <v/>
      </c>
      <c r="U9" s="64" t="n">
        <v>0</v>
      </c>
      <c r="V9" s="64">
        <f>F9-T9+U9</f>
        <v/>
      </c>
      <c r="W9" t="inlineStr">
        <is>
          <t>PENDING</t>
        </is>
      </c>
      <c r="X9" t="inlineStr">
        <is>
          <t>Load Verification</t>
        </is>
      </c>
      <c r="Y9" s="56" t="n">
        <v>0</v>
      </c>
      <c r="Z9" t="inlineStr">
        <is>
          <t>Driver 8</t>
        </is>
      </c>
      <c r="AA9" t="inlineStr">
        <is>
          <t>STL-008</t>
        </is>
      </c>
      <c r="AB9" t="inlineStr">
        <is>
          <t>READY</t>
        </is>
      </c>
      <c r="AC9" t="inlineStr">
        <is>
          <t>/documents/settlements/DRV-008_SETTLEMENT.pdf</t>
        </is>
      </c>
      <c r="AD9" t="inlineStr">
        <is>
          <t>/drivers/DRV-008.jpg</t>
        </is>
      </c>
    </row>
    <row r="10">
      <c r="A10" t="inlineStr">
        <is>
          <t>DRV-009</t>
        </is>
      </c>
      <c r="B10" t="inlineStr">
        <is>
          <t>Emma Brown</t>
        </is>
      </c>
      <c r="C10" t="inlineStr">
        <is>
          <t>E. Brown</t>
        </is>
      </c>
      <c r="D10" s="64" t="n">
        <v>2110</v>
      </c>
      <c r="E10" s="64" t="n">
        <v>49</v>
      </c>
      <c r="F10" s="64">
        <f>D10+E10</f>
        <v/>
      </c>
      <c r="G10">
        <f>0.062*D10</f>
        <v/>
      </c>
      <c r="H10">
        <f>0.0145*D10</f>
        <v/>
      </c>
      <c r="I10">
        <f>0.18*D10</f>
        <v/>
      </c>
      <c r="J10">
        <f>0.035*D10</f>
        <v/>
      </c>
      <c r="K10">
        <f>0.0045*D10</f>
        <v/>
      </c>
      <c r="L10">
        <f>0.0066*D10</f>
        <v/>
      </c>
      <c r="M10" s="56" t="n">
        <v>67.76000000000001</v>
      </c>
      <c r="N10" s="56" t="n">
        <v>0</v>
      </c>
      <c r="O10" s="56" t="n">
        <v>0</v>
      </c>
      <c r="P10">
        <f>D10*Y10</f>
        <v/>
      </c>
      <c r="Q10" s="56" t="n">
        <v>24.17</v>
      </c>
      <c r="R10" s="56" t="n">
        <v>0</v>
      </c>
      <c r="S10" s="56" t="n">
        <v>0</v>
      </c>
      <c r="T10" s="64">
        <f>SUM(G10:S10)</f>
        <v/>
      </c>
      <c r="U10" s="64" t="n">
        <v>0</v>
      </c>
      <c r="V10" s="64">
        <f>F10-T10+U10</f>
        <v/>
      </c>
      <c r="W10" t="inlineStr">
        <is>
          <t>PAID</t>
        </is>
      </c>
      <c r="Y10" s="56" t="n">
        <v>0</v>
      </c>
      <c r="Z10" t="inlineStr">
        <is>
          <t>Driver 9</t>
        </is>
      </c>
      <c r="AA10" t="inlineStr">
        <is>
          <t>STL-009</t>
        </is>
      </c>
      <c r="AB10" t="inlineStr">
        <is>
          <t>READY</t>
        </is>
      </c>
      <c r="AC10" t="inlineStr">
        <is>
          <t>/documents/settlements/DRV-009_SETTLEMENT.pdf</t>
        </is>
      </c>
      <c r="AD10" t="inlineStr">
        <is>
          <t>/drivers/DRV-009.jpg</t>
        </is>
      </c>
    </row>
    <row r="11">
      <c r="A11" t="inlineStr">
        <is>
          <t>DRV-010</t>
        </is>
      </c>
      <c r="B11" t="inlineStr">
        <is>
          <t>Noah Wilson</t>
        </is>
      </c>
      <c r="C11" t="inlineStr">
        <is>
          <t>N. Wilson</t>
        </is>
      </c>
      <c r="D11" s="64" t="n">
        <v>2080</v>
      </c>
      <c r="E11" s="64" t="n">
        <v>77</v>
      </c>
      <c r="F11" s="64">
        <f>D11+E11</f>
        <v/>
      </c>
      <c r="G11">
        <f>0.062*D11</f>
        <v/>
      </c>
      <c r="H11">
        <f>0.0145*D11</f>
        <v/>
      </c>
      <c r="I11">
        <f>0.18*D11</f>
        <v/>
      </c>
      <c r="J11">
        <f>0.035*D11</f>
        <v/>
      </c>
      <c r="K11">
        <f>0.0045*D11</f>
        <v/>
      </c>
      <c r="L11">
        <f>0.0066*D11</f>
        <v/>
      </c>
      <c r="M11" s="56" t="n">
        <v>0</v>
      </c>
      <c r="N11" s="56" t="n">
        <v>0</v>
      </c>
      <c r="O11" s="56" t="n">
        <v>0</v>
      </c>
      <c r="P11">
        <f>D11*Y11</f>
        <v/>
      </c>
      <c r="Q11" s="56" t="n">
        <v>0</v>
      </c>
      <c r="R11" s="56" t="n">
        <v>196.15</v>
      </c>
      <c r="S11" s="56" t="n">
        <v>0</v>
      </c>
      <c r="T11" s="64">
        <f>SUM(G11:S11)</f>
        <v/>
      </c>
      <c r="U11" s="64" t="n">
        <v>0</v>
      </c>
      <c r="V11" s="64">
        <f>F11-T11+U11</f>
        <v/>
      </c>
      <c r="W11" t="inlineStr">
        <is>
          <t>PAID</t>
        </is>
      </c>
      <c r="Y11" s="56" t="n">
        <v>0.02</v>
      </c>
      <c r="Z11" t="inlineStr">
        <is>
          <t>Driver 10</t>
        </is>
      </c>
      <c r="AA11" t="inlineStr">
        <is>
          <t>STL-010</t>
        </is>
      </c>
      <c r="AB11" t="inlineStr">
        <is>
          <t>READY</t>
        </is>
      </c>
      <c r="AC11" t="inlineStr">
        <is>
          <t>/documents/settlements/DRV-010_SETTLEMENT.pdf</t>
        </is>
      </c>
      <c r="AD11" t="inlineStr">
        <is>
          <t>/drivers/DRV-010.jpg</t>
        </is>
      </c>
    </row>
    <row r="12">
      <c r="A12" t="inlineStr">
        <is>
          <t>DRV-011</t>
        </is>
      </c>
      <c r="B12" t="inlineStr">
        <is>
          <t>Olivia Lee</t>
        </is>
      </c>
      <c r="C12" t="inlineStr">
        <is>
          <t>O. Lee</t>
        </is>
      </c>
      <c r="D12" s="64" t="n">
        <v>2010</v>
      </c>
      <c r="E12" s="64" t="n">
        <v>63</v>
      </c>
      <c r="F12" s="64">
        <f>D12+E12</f>
        <v/>
      </c>
      <c r="G12">
        <f>0.062*D12</f>
        <v/>
      </c>
      <c r="H12">
        <f>0.0145*D12</f>
        <v/>
      </c>
      <c r="I12">
        <f>0.18*D12</f>
        <v/>
      </c>
      <c r="J12">
        <f>0.035*D12</f>
        <v/>
      </c>
      <c r="K12">
        <f>0.0045*D12</f>
        <v/>
      </c>
      <c r="L12">
        <f>0.0066*D12</f>
        <v/>
      </c>
      <c r="M12" s="56" t="n">
        <v>50.51</v>
      </c>
      <c r="N12" s="56" t="n">
        <v>0</v>
      </c>
      <c r="O12" s="56" t="n">
        <v>0</v>
      </c>
      <c r="P12">
        <f>D12*Y12</f>
        <v/>
      </c>
      <c r="Q12" s="56" t="n">
        <v>47.43</v>
      </c>
      <c r="R12" s="56" t="n">
        <v>0</v>
      </c>
      <c r="S12" s="56" t="n">
        <v>0</v>
      </c>
      <c r="T12" s="64">
        <f>SUM(G12:S12)</f>
        <v/>
      </c>
      <c r="U12" s="64" t="n">
        <v>0</v>
      </c>
      <c r="V12" s="64">
        <f>F12-T12+U12</f>
        <v/>
      </c>
      <c r="W12" t="inlineStr">
        <is>
          <t>PAID</t>
        </is>
      </c>
      <c r="Y12" s="56" t="n">
        <v>0</v>
      </c>
      <c r="Z12" t="inlineStr">
        <is>
          <t>Driver 11</t>
        </is>
      </c>
      <c r="AA12" t="inlineStr">
        <is>
          <t>STL-011</t>
        </is>
      </c>
      <c r="AB12" t="inlineStr">
        <is>
          <t>READY</t>
        </is>
      </c>
      <c r="AC12" t="inlineStr">
        <is>
          <t>/documents/settlements/DRV-011_SETTLEMENT.pdf</t>
        </is>
      </c>
      <c r="AD12" t="inlineStr">
        <is>
          <t>/drivers/DRV-011.jpg</t>
        </is>
      </c>
    </row>
    <row r="13">
      <c r="A13" t="inlineStr">
        <is>
          <t>DRV-012</t>
        </is>
      </c>
      <c r="B13" t="inlineStr">
        <is>
          <t>Robert Johnson</t>
        </is>
      </c>
      <c r="C13" t="inlineStr">
        <is>
          <t>R. Johnson</t>
        </is>
      </c>
      <c r="D13" s="64" t="n">
        <v>2230</v>
      </c>
      <c r="E13" s="64" t="n">
        <v>69</v>
      </c>
      <c r="F13" s="64">
        <f>D13+E13</f>
        <v/>
      </c>
      <c r="G13">
        <f>0.062*D13</f>
        <v/>
      </c>
      <c r="H13">
        <f>0.0145*D13</f>
        <v/>
      </c>
      <c r="I13">
        <f>0.18*D13</f>
        <v/>
      </c>
      <c r="J13">
        <f>0.035*D13</f>
        <v/>
      </c>
      <c r="K13">
        <f>0.0045*D13</f>
        <v/>
      </c>
      <c r="L13">
        <f>0.0066*D13</f>
        <v/>
      </c>
      <c r="M13" s="56" t="n">
        <v>0</v>
      </c>
      <c r="N13" s="56" t="n">
        <v>0</v>
      </c>
      <c r="O13" s="56" t="n">
        <v>0</v>
      </c>
      <c r="P13">
        <f>D13*Y13</f>
        <v/>
      </c>
      <c r="Q13" s="56" t="n">
        <v>48.75</v>
      </c>
      <c r="R13" s="56" t="n">
        <v>0</v>
      </c>
      <c r="S13" s="56" t="n">
        <v>0</v>
      </c>
      <c r="T13" s="64">
        <f>SUM(G13:S13)</f>
        <v/>
      </c>
      <c r="U13" s="64" t="n">
        <v>0</v>
      </c>
      <c r="V13" s="64">
        <f>F13-T13+U13</f>
        <v/>
      </c>
      <c r="W13" t="inlineStr">
        <is>
          <t>PENDING</t>
        </is>
      </c>
      <c r="X13" t="inlineStr">
        <is>
          <t>Document Review</t>
        </is>
      </c>
      <c r="Y13" s="56" t="n">
        <v>0.03</v>
      </c>
      <c r="Z13" t="inlineStr">
        <is>
          <t>Driver 12</t>
        </is>
      </c>
      <c r="AA13" t="inlineStr">
        <is>
          <t>STL-012</t>
        </is>
      </c>
      <c r="AB13" t="inlineStr">
        <is>
          <t>READY</t>
        </is>
      </c>
      <c r="AC13" t="inlineStr">
        <is>
          <t>/documents/settlements/DRV-012_SETTLEMENT.pdf</t>
        </is>
      </c>
      <c r="AD13" t="inlineStr">
        <is>
          <t>/drivers/DRV-012.jpg</t>
        </is>
      </c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5"/>
  <sheetViews>
    <sheetView showGridLines="0" workbookViewId="0">
      <selection activeCell="A1" sqref="A1"/>
    </sheetView>
  </sheetViews>
  <sheetFormatPr baseColWidth="8" defaultRowHeight="15"/>
  <cols>
    <col width="10" customWidth="1" style="24" min="1" max="1"/>
    <col width="11" customWidth="1" style="24" min="2" max="2"/>
    <col width="13" customWidth="1" style="24" min="3" max="3"/>
    <col width="15" customWidth="1" style="24" min="4" max="4"/>
    <col width="10" customWidth="1" style="24" min="5" max="5"/>
    <col width="10" customWidth="1" style="24" min="6" max="6"/>
    <col width="21" customWidth="1" style="24" min="7" max="7"/>
    <col width="10" customWidth="1" style="24" min="8" max="8"/>
    <col width="25" customWidth="1" style="24" min="9" max="9"/>
    <col width="28" customWidth="1" style="24" min="10" max="10"/>
    <col width="22" customWidth="1" style="24" min="11" max="11"/>
    <col width="15" customWidth="1" style="24" min="12" max="12"/>
    <col width="19" customWidth="1" style="24" min="13" max="13"/>
  </cols>
  <sheetData>
    <row r="1">
      <c r="A1" s="49" t="inlineStr">
        <is>
          <t>Event ID</t>
        </is>
      </c>
      <c r="B1" s="49" t="inlineStr">
        <is>
          <t>Driver ID</t>
        </is>
      </c>
      <c r="C1" s="49" t="inlineStr">
        <is>
          <t>Driver Name</t>
        </is>
      </c>
      <c r="D1" s="49" t="inlineStr">
        <is>
          <t>Event Type</t>
        </is>
      </c>
      <c r="E1" s="49" t="inlineStr">
        <is>
          <t>Severity</t>
        </is>
      </c>
      <c r="F1" s="49" t="inlineStr">
        <is>
          <t>Status</t>
        </is>
      </c>
      <c r="G1" s="49" t="inlineStr">
        <is>
          <t>Timestamp</t>
        </is>
      </c>
      <c r="H1" s="49" t="inlineStr">
        <is>
          <t>Unit</t>
        </is>
      </c>
      <c r="I1" s="49" t="inlineStr">
        <is>
          <t>Location</t>
        </is>
      </c>
      <c r="J1" s="49" t="inlineStr">
        <is>
          <t>Details</t>
        </is>
      </c>
      <c r="K1" s="49" t="inlineStr">
        <is>
          <t>Driver Photo URL</t>
        </is>
      </c>
      <c r="L1" s="49" t="inlineStr">
        <is>
          <t>Export Status</t>
        </is>
      </c>
      <c r="M1" s="49" t="inlineStr">
        <is>
          <t>Event Photo URL</t>
        </is>
      </c>
    </row>
    <row r="2">
      <c r="A2" t="inlineStr">
        <is>
          <t>EVT-001</t>
        </is>
      </c>
      <c r="B2" t="inlineStr">
        <is>
          <t>DRV-010</t>
        </is>
      </c>
      <c r="C2" t="inlineStr">
        <is>
          <t>Noah Wilson</t>
        </is>
      </c>
      <c r="D2" t="inlineStr">
        <is>
          <t>HOS Violation</t>
        </is>
      </c>
      <c r="E2" t="inlineStr">
        <is>
          <t>CRITICAL</t>
        </is>
      </c>
      <c r="F2" t="inlineStr">
        <is>
          <t>OPEN</t>
        </is>
      </c>
      <c r="G2" s="65" t="n">
        <v>46103.34305555555</v>
      </c>
      <c r="H2" t="inlineStr">
        <is>
          <t>T-110</t>
        </is>
      </c>
      <c r="I2" t="inlineStr">
        <is>
          <t>I-40 near Nashville, TN</t>
        </is>
      </c>
      <c r="J2" t="inlineStr">
        <is>
          <t>Exceeded 11-hour driving limit</t>
        </is>
      </c>
      <c r="K2" t="inlineStr">
        <is>
          <t>/drivers/DRV-010.jpg</t>
        </is>
      </c>
      <c r="L2" t="inlineStr">
        <is>
          <t>READY</t>
        </is>
      </c>
      <c r="M2" t="inlineStr">
        <is>
          <t>/images/safety/EVT-001.jpg</t>
        </is>
      </c>
    </row>
    <row r="3">
      <c r="A3" t="inlineStr">
        <is>
          <t>EVT-002</t>
        </is>
      </c>
      <c r="B3" t="inlineStr">
        <is>
          <t>DRV-006</t>
        </is>
      </c>
      <c r="C3" t="inlineStr">
        <is>
          <t>Marcus Chen</t>
        </is>
      </c>
      <c r="D3" t="inlineStr">
        <is>
          <t>Harsh Braking</t>
        </is>
      </c>
      <c r="E3" t="inlineStr">
        <is>
          <t>WARNING</t>
        </is>
      </c>
      <c r="F3" t="inlineStr">
        <is>
          <t>OPEN</t>
        </is>
      </c>
      <c r="G3" s="65" t="n">
        <v>46103.43819444445</v>
      </c>
      <c r="H3" t="inlineStr">
        <is>
          <t>T-111</t>
        </is>
      </c>
      <c r="I3" t="inlineStr">
        <is>
          <t>Mile Marker 212</t>
        </is>
      </c>
      <c r="J3" t="inlineStr">
        <is>
          <t>Sudden hard stop detected</t>
        </is>
      </c>
      <c r="K3" t="inlineStr">
        <is>
          <t>/drivers/DRV-006.jpg</t>
        </is>
      </c>
      <c r="L3" t="inlineStr">
        <is>
          <t>READY</t>
        </is>
      </c>
      <c r="M3" t="inlineStr">
        <is>
          <t>/images/safety/EVT-002.jpg</t>
        </is>
      </c>
    </row>
    <row r="4">
      <c r="A4" t="inlineStr">
        <is>
          <t>EVT-003</t>
        </is>
      </c>
      <c r="B4" t="inlineStr">
        <is>
          <t>DRV-004</t>
        </is>
      </c>
      <c r="C4" t="inlineStr">
        <is>
          <t>Priya Patel</t>
        </is>
      </c>
      <c r="D4" t="inlineStr">
        <is>
          <t>Speeding</t>
        </is>
      </c>
      <c r="E4" t="inlineStr">
        <is>
          <t>CRITICAL</t>
        </is>
      </c>
      <c r="F4" t="inlineStr">
        <is>
          <t>OPEN</t>
        </is>
      </c>
      <c r="G4" s="65" t="n">
        <v>46103.45972222222</v>
      </c>
      <c r="H4" t="inlineStr">
        <is>
          <t>T-108</t>
        </is>
      </c>
      <c r="I4" t="inlineStr">
        <is>
          <t>Memphis, TN</t>
        </is>
      </c>
      <c r="J4" t="inlineStr">
        <is>
          <t>78 MPH in 55 MPH zone</t>
        </is>
      </c>
      <c r="K4" t="inlineStr">
        <is>
          <t>/drivers/DRV-004.jpg</t>
        </is>
      </c>
      <c r="L4" t="inlineStr">
        <is>
          <t>READY</t>
        </is>
      </c>
      <c r="M4" t="inlineStr">
        <is>
          <t>/images/safety/EVT-003.jpg</t>
        </is>
      </c>
    </row>
    <row r="5">
      <c r="A5" t="inlineStr">
        <is>
          <t>EVT-004</t>
        </is>
      </c>
      <c r="B5" t="inlineStr">
        <is>
          <t>DRV-002</t>
        </is>
      </c>
      <c r="C5" t="inlineStr">
        <is>
          <t>Maria Lopez</t>
        </is>
      </c>
      <c r="D5" t="inlineStr">
        <is>
          <t>Geofence Exit</t>
        </is>
      </c>
      <c r="E5" t="inlineStr">
        <is>
          <t>WARNING</t>
        </is>
      </c>
      <c r="F5" t="inlineStr">
        <is>
          <t>REVIEWED</t>
        </is>
      </c>
      <c r="G5" s="65" t="n">
        <v>46103.49166666667</v>
      </c>
      <c r="H5" t="inlineStr">
        <is>
          <t>T-101</t>
        </is>
      </c>
      <c r="I5" t="inlineStr">
        <is>
          <t>Cleveland Yard</t>
        </is>
      </c>
      <c r="J5" t="inlineStr">
        <is>
          <t>Exited designated yard area</t>
        </is>
      </c>
      <c r="K5" t="inlineStr">
        <is>
          <t>/drivers/DRV-002.jpg</t>
        </is>
      </c>
      <c r="L5" t="inlineStr">
        <is>
          <t>READY</t>
        </is>
      </c>
      <c r="M5" t="inlineStr">
        <is>
          <t>/images/safety/EVT-004.jpg</t>
        </is>
      </c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0" workbookViewId="0">
      <selection activeCell="A1" sqref="A1"/>
    </sheetView>
  </sheetViews>
  <sheetFormatPr baseColWidth="8" defaultRowHeight="15"/>
  <cols>
    <col width="10" customWidth="1" style="24" min="1" max="1"/>
    <col width="11" customWidth="1" style="24" min="2" max="2"/>
    <col width="13" customWidth="1" style="24" min="3" max="3"/>
    <col width="23" customWidth="1" style="24" min="4" max="4"/>
    <col width="10" customWidth="1" style="24" min="5" max="5"/>
    <col width="10" customWidth="1" style="24" min="6" max="6"/>
    <col width="21" customWidth="1" style="24" min="7" max="7"/>
    <col width="28" customWidth="1" style="24" min="8" max="8"/>
    <col width="22" customWidth="1" style="24" min="9" max="9"/>
    <col width="15" customWidth="1" style="24" min="10" max="10"/>
    <col width="22" customWidth="1" style="24" min="11" max="11"/>
  </cols>
  <sheetData>
    <row r="1">
      <c r="A1" s="49" t="inlineStr">
        <is>
          <t>Event ID</t>
        </is>
      </c>
      <c r="B1" s="49" t="inlineStr">
        <is>
          <t>Driver ID</t>
        </is>
      </c>
      <c r="C1" s="49" t="inlineStr">
        <is>
          <t>Driver Name</t>
        </is>
      </c>
      <c r="D1" s="49" t="inlineStr">
        <is>
          <t>Event Type</t>
        </is>
      </c>
      <c r="E1" s="49" t="inlineStr">
        <is>
          <t>Severity</t>
        </is>
      </c>
      <c r="F1" s="49" t="inlineStr">
        <is>
          <t>Status</t>
        </is>
      </c>
      <c r="G1" s="49" t="inlineStr">
        <is>
          <t>Due Date</t>
        </is>
      </c>
      <c r="H1" s="49" t="inlineStr">
        <is>
          <t>Details</t>
        </is>
      </c>
      <c r="I1" s="49" t="inlineStr">
        <is>
          <t>Driver Photo URL</t>
        </is>
      </c>
      <c r="J1" s="49" t="inlineStr">
        <is>
          <t>Export Status</t>
        </is>
      </c>
      <c r="K1" s="49" t="inlineStr">
        <is>
          <t>Evidence Image URL</t>
        </is>
      </c>
    </row>
    <row r="2">
      <c r="A2" t="inlineStr">
        <is>
          <t>CMP-001</t>
        </is>
      </c>
      <c r="B2" t="inlineStr">
        <is>
          <t>DRV-002</t>
        </is>
      </c>
      <c r="C2" t="inlineStr">
        <is>
          <t>Maria Lopez</t>
        </is>
      </c>
      <c r="D2" t="inlineStr">
        <is>
          <t>Medical Card Expiring</t>
        </is>
      </c>
      <c r="E2" t="inlineStr">
        <is>
          <t>DUE_SOON</t>
        </is>
      </c>
      <c r="F2" t="inlineStr">
        <is>
          <t>OPEN</t>
        </is>
      </c>
      <c r="G2" s="63" t="n">
        <v>46115</v>
      </c>
      <c r="H2" t="inlineStr">
        <is>
          <t>Expires in 12 days</t>
        </is>
      </c>
      <c r="I2" t="inlineStr">
        <is>
          <t>/drivers/DRV-002.jpg</t>
        </is>
      </c>
      <c r="J2" t="inlineStr">
        <is>
          <t>READY</t>
        </is>
      </c>
      <c r="K2" t="inlineStr">
        <is>
          <t>/images/compliance/DRV-002_MEDICAL_CARD_EXPIRING.jpg</t>
        </is>
      </c>
    </row>
    <row r="3">
      <c r="A3" t="inlineStr">
        <is>
          <t>CMP-002</t>
        </is>
      </c>
      <c r="B3" t="inlineStr">
        <is>
          <t>DRV-009</t>
        </is>
      </c>
      <c r="C3" t="inlineStr">
        <is>
          <t>Emma Brown</t>
        </is>
      </c>
      <c r="D3" t="inlineStr">
        <is>
          <t>Medical Card Expiring</t>
        </is>
      </c>
      <c r="E3" t="inlineStr">
        <is>
          <t>DUE_SOON</t>
        </is>
      </c>
      <c r="F3" t="inlineStr">
        <is>
          <t>OPEN</t>
        </is>
      </c>
      <c r="G3" s="63" t="n">
        <v>46111</v>
      </c>
      <c r="H3" t="inlineStr">
        <is>
          <t>Expires in 8 days</t>
        </is>
      </c>
      <c r="I3" t="inlineStr">
        <is>
          <t>/drivers/DRV-009.jpg</t>
        </is>
      </c>
      <c r="J3" t="inlineStr">
        <is>
          <t>READY</t>
        </is>
      </c>
      <c r="K3" t="inlineStr">
        <is>
          <t>/images/compliance/DRV-009_MEDICAL_CARD_EXPIRING.jpg</t>
        </is>
      </c>
    </row>
    <row r="4">
      <c r="A4" t="inlineStr">
        <is>
          <t>CMP-003</t>
        </is>
      </c>
      <c r="B4" t="inlineStr">
        <is>
          <t>DRV-004</t>
        </is>
      </c>
      <c r="C4" t="inlineStr">
        <is>
          <t>Priya Patel</t>
        </is>
      </c>
      <c r="D4" t="inlineStr">
        <is>
          <t>MVR Review Required</t>
        </is>
      </c>
      <c r="E4" t="inlineStr">
        <is>
          <t>CRITICAL</t>
        </is>
      </c>
      <c r="F4" t="inlineStr">
        <is>
          <t>OPEN</t>
        </is>
      </c>
      <c r="G4" s="63" t="n">
        <v>46105</v>
      </c>
      <c r="H4" t="inlineStr">
        <is>
          <t>Recent event requires manager review</t>
        </is>
      </c>
      <c r="I4" t="inlineStr">
        <is>
          <t>/drivers/DRV-004.jpg</t>
        </is>
      </c>
      <c r="J4" t="inlineStr">
        <is>
          <t>READY</t>
        </is>
      </c>
      <c r="K4" t="inlineStr">
        <is>
          <t>/images/compliance/DRV-004_MVR_REVIEW_REQUIRED.jpg</t>
        </is>
      </c>
    </row>
    <row r="5">
      <c r="A5" t="inlineStr">
        <is>
          <t>CMP-004</t>
        </is>
      </c>
      <c r="B5" t="inlineStr">
        <is>
          <t>DRV-010</t>
        </is>
      </c>
      <c r="C5" t="inlineStr">
        <is>
          <t>Noah Wilson</t>
        </is>
      </c>
      <c r="D5" t="inlineStr">
        <is>
          <t>MVR Review Required</t>
        </is>
      </c>
      <c r="E5" t="inlineStr">
        <is>
          <t>CRITICAL</t>
        </is>
      </c>
      <c r="F5" t="inlineStr">
        <is>
          <t>OPEN</t>
        </is>
      </c>
      <c r="G5" s="63" t="n">
        <v>46105</v>
      </c>
      <c r="H5" t="inlineStr">
        <is>
          <t>Violation linked to safety event</t>
        </is>
      </c>
      <c r="I5" t="inlineStr">
        <is>
          <t>/drivers/DRV-010.jpg</t>
        </is>
      </c>
      <c r="J5" t="inlineStr">
        <is>
          <t>READY</t>
        </is>
      </c>
      <c r="K5" t="inlineStr">
        <is>
          <t>/images/compliance/DRV-010_MVR_REVIEW_REQUIRED.jpg</t>
        </is>
      </c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9" customWidth="1" style="24" min="1" max="1"/>
    <col width="15" customWidth="1" style="24" min="2" max="2"/>
    <col width="28" customWidth="1" style="24" min="3" max="3"/>
  </cols>
  <sheetData>
    <row r="1">
      <c r="A1" s="49" t="inlineStr">
        <is>
          <t>Category</t>
        </is>
      </c>
      <c r="B1" s="49" t="inlineStr">
        <is>
          <t>Allowed Value</t>
        </is>
      </c>
      <c r="C1" s="49" t="inlineStr">
        <is>
          <t>Notes</t>
        </is>
      </c>
    </row>
    <row r="2">
      <c r="A2" t="inlineStr">
        <is>
          <t>Load Status</t>
        </is>
      </c>
      <c r="B2" t="inlineStr">
        <is>
          <t>UNASSIGNED</t>
        </is>
      </c>
      <c r="C2" t="inlineStr">
        <is>
          <t>No driver assigned</t>
        </is>
      </c>
    </row>
    <row r="3">
      <c r="A3" t="inlineStr">
        <is>
          <t>Load Status</t>
        </is>
      </c>
      <c r="B3" t="inlineStr">
        <is>
          <t>ASSIGNED</t>
        </is>
      </c>
      <c r="C3" t="inlineStr">
        <is>
          <t>Driver assigned, not yet moving</t>
        </is>
      </c>
    </row>
    <row r="4">
      <c r="A4" t="inlineStr">
        <is>
          <t>Load Status</t>
        </is>
      </c>
      <c r="B4" t="inlineStr">
        <is>
          <t>IN_TRANSIT</t>
        </is>
      </c>
      <c r="C4" t="inlineStr">
        <is>
          <t>Load moving</t>
        </is>
      </c>
    </row>
    <row r="5">
      <c r="A5" t="inlineStr">
        <is>
          <t>Load Status</t>
        </is>
      </c>
      <c r="B5" t="inlineStr">
        <is>
          <t>DELIVERED</t>
        </is>
      </c>
      <c r="C5" t="inlineStr">
        <is>
          <t>Delivered complete</t>
        </is>
      </c>
    </row>
    <row r="6">
      <c r="A6" t="inlineStr">
        <is>
          <t>Load Status</t>
        </is>
      </c>
      <c r="B6" t="inlineStr">
        <is>
          <t>PENDING</t>
        </is>
      </c>
      <c r="C6" t="inlineStr">
        <is>
          <t>Waiting on POD or review</t>
        </is>
      </c>
    </row>
    <row r="7">
      <c r="A7" t="inlineStr">
        <is>
          <t>Settlement Status</t>
        </is>
      </c>
      <c r="B7" t="inlineStr">
        <is>
          <t>PAID</t>
        </is>
      </c>
      <c r="C7" t="inlineStr">
        <is>
          <t>Processed and complete</t>
        </is>
      </c>
    </row>
    <row r="8">
      <c r="A8" t="inlineStr">
        <is>
          <t>Settlement Status</t>
        </is>
      </c>
      <c r="B8" t="inlineStr">
        <is>
          <t>PENDING</t>
        </is>
      </c>
      <c r="C8" t="inlineStr">
        <is>
          <t>Open for processing</t>
        </is>
      </c>
    </row>
    <row r="9">
      <c r="A9" t="inlineStr">
        <is>
          <t>Settlement Status</t>
        </is>
      </c>
      <c r="B9" t="inlineStr">
        <is>
          <t>ON_HOLD</t>
        </is>
      </c>
      <c r="C9" t="inlineStr">
        <is>
          <t>Blocked by issue</t>
        </is>
      </c>
    </row>
    <row r="10">
      <c r="A10" t="inlineStr">
        <is>
          <t>Doc Status</t>
        </is>
      </c>
      <c r="B10" t="inlineStr">
        <is>
          <t>VALID</t>
        </is>
      </c>
      <c r="C10" t="inlineStr">
        <is>
          <t>No issue</t>
        </is>
      </c>
    </row>
    <row r="11">
      <c r="A11" t="inlineStr">
        <is>
          <t>Doc Status</t>
        </is>
      </c>
      <c r="B11" t="inlineStr">
        <is>
          <t>EXPIRING_SOON</t>
        </is>
      </c>
      <c r="C11" t="inlineStr">
        <is>
          <t>Within 30 days</t>
        </is>
      </c>
    </row>
    <row r="12">
      <c r="A12" t="inlineStr">
        <is>
          <t>Doc Status</t>
        </is>
      </c>
      <c r="B12" t="inlineStr">
        <is>
          <t>EXPIRED</t>
        </is>
      </c>
      <c r="C12" t="inlineStr">
        <is>
          <t>Past due</t>
        </is>
      </c>
    </row>
    <row r="13">
      <c r="A13" t="inlineStr">
        <is>
          <t>Review Status</t>
        </is>
      </c>
      <c r="B13" t="inlineStr">
        <is>
          <t>OPEN</t>
        </is>
      </c>
      <c r="C13" t="inlineStr">
        <is>
          <t>Needs review</t>
        </is>
      </c>
    </row>
    <row r="14">
      <c r="A14" t="inlineStr">
        <is>
          <t>Review Status</t>
        </is>
      </c>
      <c r="B14" t="inlineStr">
        <is>
          <t>REVIEWED</t>
        </is>
      </c>
      <c r="C14" t="inlineStr">
        <is>
          <t>Reviewed by ops</t>
        </is>
      </c>
    </row>
    <row r="15">
      <c r="A15" t="inlineStr">
        <is>
          <t>Review Status</t>
        </is>
      </c>
      <c r="B15" t="inlineStr">
        <is>
          <t>CLOSED</t>
        </is>
      </c>
      <c r="C15" t="inlineStr">
        <is>
          <t>Resolved</t>
        </is>
      </c>
    </row>
    <row r="16">
      <c r="A16" t="inlineStr">
        <is>
          <t>Compliance Status</t>
        </is>
      </c>
      <c r="B16" t="inlineStr">
        <is>
          <t>COMPLIANT</t>
        </is>
      </c>
      <c r="C16" t="inlineStr">
        <is>
          <t>No active issue</t>
        </is>
      </c>
    </row>
    <row r="17">
      <c r="A17" t="inlineStr">
        <is>
          <t>Compliance Status</t>
        </is>
      </c>
      <c r="B17" t="inlineStr">
        <is>
          <t>WATCH</t>
        </is>
      </c>
      <c r="C17" t="inlineStr">
        <is>
          <t>Needs attention soon</t>
        </is>
      </c>
    </row>
    <row r="18">
      <c r="A18" t="inlineStr">
        <is>
          <t>Compliance Status</t>
        </is>
      </c>
      <c r="B18" t="inlineStr">
        <is>
          <t>NON_COMPLIANT</t>
        </is>
      </c>
      <c r="C18" t="inlineStr">
        <is>
          <t>Action required</t>
        </is>
      </c>
    </row>
    <row r="19">
      <c r="A19" t="inlineStr">
        <is>
          <t>Safety Severity</t>
        </is>
      </c>
      <c r="B19" t="inlineStr">
        <is>
          <t>CRITICAL</t>
        </is>
      </c>
      <c r="C19" t="inlineStr">
        <is>
          <t>Red</t>
        </is>
      </c>
    </row>
    <row r="20">
      <c r="A20" t="inlineStr">
        <is>
          <t>Safety Severity</t>
        </is>
      </c>
      <c r="B20" t="inlineStr">
        <is>
          <t>WARNING</t>
        </is>
      </c>
      <c r="C20" t="inlineStr">
        <is>
          <t>Amber</t>
        </is>
      </c>
    </row>
    <row r="21">
      <c r="A21" t="inlineStr">
        <is>
          <t>Safety Severity</t>
        </is>
      </c>
      <c r="B21" t="inlineStr">
        <is>
          <t>NORMAL</t>
        </is>
      </c>
      <c r="C21" t="inlineStr">
        <is>
          <t>Teal/green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11" customWidth="1" style="24" min="1" max="1"/>
    <col width="14" customWidth="1" style="24" min="2" max="2"/>
    <col width="20" customWidth="1" style="24" min="3" max="3"/>
    <col width="15" customWidth="1" style="24" min="4" max="4"/>
    <col width="17" customWidth="1" style="24" min="5" max="5"/>
    <col width="21" customWidth="1" style="24" min="6" max="6"/>
    <col width="25" customWidth="1" style="24" min="7" max="7"/>
    <col width="21" customWidth="1" style="24" min="8" max="8"/>
    <col width="34" customWidth="1" style="24" min="9" max="9"/>
    <col width="34" customWidth="1" style="24" min="10" max="10"/>
    <col width="34" customWidth="1" style="24" min="11" max="11"/>
    <col width="34" customWidth="1" style="24" min="12" max="12"/>
    <col width="34" customWidth="1" style="24" min="13" max="13"/>
    <col width="34" customWidth="1" style="24" min="14" max="14"/>
    <col width="34" customWidth="1" style="24" min="15" max="15"/>
    <col width="28" customWidth="1" style="24" min="16" max="16"/>
  </cols>
  <sheetData>
    <row r="1">
      <c r="A1" s="66" t="inlineStr">
        <is>
          <t>Driver ID</t>
        </is>
      </c>
      <c r="B1" s="66" t="inlineStr">
        <is>
          <t>Full Name</t>
        </is>
      </c>
      <c r="C1" s="66" t="inlineStr">
        <is>
          <t>Photo URL</t>
        </is>
      </c>
      <c r="D1" s="66" t="inlineStr">
        <is>
          <t>Primary Truck</t>
        </is>
      </c>
      <c r="E1" s="66" t="inlineStr">
        <is>
          <t>Compliance Tier</t>
        </is>
      </c>
      <c r="F1" s="66" t="inlineStr">
        <is>
          <t>CDL Expiration Date</t>
        </is>
      </c>
      <c r="G1" s="66" t="inlineStr">
        <is>
          <t>Medical Card Expiration</t>
        </is>
      </c>
      <c r="H1" s="66" t="inlineStr">
        <is>
          <t>MVR Expiration</t>
        </is>
      </c>
      <c r="I1" s="66" t="inlineStr">
        <is>
          <t>CDL URL</t>
        </is>
      </c>
      <c r="J1" s="66" t="inlineStr">
        <is>
          <t>MVR URL</t>
        </is>
      </c>
      <c r="K1" s="66" t="inlineStr">
        <is>
          <t>Medical URL</t>
        </is>
      </c>
      <c r="L1" s="66" t="inlineStr">
        <is>
          <t>W9 URL</t>
        </is>
      </c>
      <c r="M1" s="66" t="inlineStr">
        <is>
          <t>I9 URL</t>
        </is>
      </c>
      <c r="N1" s="66" t="inlineStr">
        <is>
          <t>FMCSA URL</t>
        </is>
      </c>
      <c r="O1" s="66" t="inlineStr">
        <is>
          <t>Bank Info URL</t>
        </is>
      </c>
      <c r="P1" s="66" t="inlineStr">
        <is>
          <t>Compliance Status</t>
        </is>
      </c>
    </row>
    <row r="2">
      <c r="A2" t="inlineStr">
        <is>
          <t>DRV-001</t>
        </is>
      </c>
      <c r="B2" t="inlineStr">
        <is>
          <t>John Carter</t>
        </is>
      </c>
      <c r="C2" t="inlineStr">
        <is>
          <t>/drivers/DRV-001.jpg</t>
        </is>
      </c>
      <c r="D2" t="inlineStr">
        <is>
          <t>T-102</t>
        </is>
      </c>
      <c r="E2" t="inlineStr">
        <is>
          <t>NON_COMPLIANT</t>
        </is>
      </c>
      <c r="F2" s="63" t="n">
        <v>46621</v>
      </c>
      <c r="G2" s="63" t="n">
        <v>46094</v>
      </c>
      <c r="H2" s="63" t="n">
        <v>46080</v>
      </c>
      <c r="I2" s="63" t="inlineStr">
        <is>
          <t>/documents/drivers/DRV-001_CDL.pdf</t>
        </is>
      </c>
      <c r="J2" s="63" t="inlineStr">
        <is>
          <t>/documents/drivers/DRV-001_MVR.pdf</t>
        </is>
      </c>
      <c r="K2" s="63" t="inlineStr">
        <is>
          <t>/documents/drivers/DRV-001_MEDICAL.pdf</t>
        </is>
      </c>
      <c r="L2" s="63" t="inlineStr">
        <is>
          <t>/documents/drivers/DRV-001_W9.pdf</t>
        </is>
      </c>
      <c r="M2" s="63" t="inlineStr">
        <is>
          <t>/documents/drivers/DRV-001_I9.pdf</t>
        </is>
      </c>
      <c r="N2" s="63" t="inlineStr">
        <is>
          <t>/documents/drivers/DRV-001_FMCSA.pdf</t>
        </is>
      </c>
      <c r="O2" s="63" t="inlineStr">
        <is>
          <t>/documents/drivers/DRV-001_BANK_INFO.pdf</t>
        </is>
      </c>
      <c r="P2" s="63" t="inlineStr">
        <is>
          <t>❌ MED CARD EXPIRED | MVR EXPIRED | TRUCK NEEDS SERVICE</t>
        </is>
      </c>
    </row>
    <row r="3">
      <c r="A3" t="inlineStr">
        <is>
          <t>DRV-002</t>
        </is>
      </c>
      <c r="B3" t="inlineStr">
        <is>
          <t>Maria Lopez</t>
        </is>
      </c>
      <c r="C3" t="inlineStr">
        <is>
          <t>/drivers/DRV-002.jpg</t>
        </is>
      </c>
      <c r="D3" t="inlineStr">
        <is>
          <t>T-122</t>
        </is>
      </c>
      <c r="E3" t="inlineStr">
        <is>
          <t>NON_COMPLIANT</t>
        </is>
      </c>
      <c r="F3" s="63" t="n">
        <v>46518</v>
      </c>
      <c r="G3" s="63" t="n">
        <v>46596</v>
      </c>
      <c r="H3" s="63" t="n">
        <v>46465.5</v>
      </c>
      <c r="I3" s="63" t="inlineStr">
        <is>
          <t>/documents/drivers/DRV-002_CDL.pdf</t>
        </is>
      </c>
      <c r="J3" s="63" t="inlineStr">
        <is>
          <t>/documents/drivers/DRV-002_MVR.pdf</t>
        </is>
      </c>
      <c r="K3" s="63" t="inlineStr">
        <is>
          <t>/documents/drivers/DRV-002_MEDICAL.pdf</t>
        </is>
      </c>
      <c r="L3" s="63" t="inlineStr">
        <is>
          <t>/documents/drivers/DRV-002_W9.pdf</t>
        </is>
      </c>
      <c r="M3" s="63" t="inlineStr">
        <is>
          <t>/documents/drivers/DRV-002_I9.pdf</t>
        </is>
      </c>
      <c r="N3" s="63" t="inlineStr">
        <is>
          <t>/documents/drivers/DRV-002_FMCSA.pdf</t>
        </is>
      </c>
      <c r="O3" s="63" t="inlineStr">
        <is>
          <t>/documents/drivers/DRV-002_BANK_INFO.pdf</t>
        </is>
      </c>
      <c r="P3" s="63" t="inlineStr">
        <is>
          <t>❌ TRUCK NEEDS SERVICE</t>
        </is>
      </c>
    </row>
    <row r="4">
      <c r="A4" t="inlineStr">
        <is>
          <t>DRV-003</t>
        </is>
      </c>
      <c r="B4" t="inlineStr">
        <is>
          <t>Alex Kim</t>
        </is>
      </c>
      <c r="C4" t="inlineStr">
        <is>
          <t>/drivers/DRV-003.jpg</t>
        </is>
      </c>
      <c r="D4" t="inlineStr">
        <is>
          <t>T-107</t>
        </is>
      </c>
      <c r="E4" t="inlineStr">
        <is>
          <t>NON_COMPLIANT</t>
        </is>
      </c>
      <c r="F4" s="63" t="n">
        <v>46420</v>
      </c>
      <c r="G4" s="63" t="n">
        <v>46659</v>
      </c>
      <c r="H4" s="63" t="n">
        <v>46465.5</v>
      </c>
      <c r="I4" s="63" t="inlineStr">
        <is>
          <t>/documents/drivers/DRV-003_CDL.pdf</t>
        </is>
      </c>
      <c r="J4" s="63" t="inlineStr">
        <is>
          <t>/documents/drivers/DRV-003_MVR.pdf</t>
        </is>
      </c>
      <c r="K4" s="63" t="inlineStr">
        <is>
          <t>/documents/drivers/DRV-003_MEDICAL.pdf</t>
        </is>
      </c>
      <c r="L4" s="63" t="inlineStr">
        <is>
          <t>/documents/drivers/DRV-003_W9.pdf</t>
        </is>
      </c>
      <c r="M4" s="63" t="inlineStr">
        <is>
          <t>/documents/drivers/DRV-003_I9.pdf</t>
        </is>
      </c>
      <c r="N4" s="63" t="inlineStr">
        <is>
          <t>/documents/drivers/DRV-003_FMCSA.pdf</t>
        </is>
      </c>
      <c r="O4" s="63" t="inlineStr">
        <is>
          <t>/documents/drivers/DRV-003_BANK_INFO.pdf</t>
        </is>
      </c>
      <c r="P4" s="63" t="inlineStr">
        <is>
          <t>❌ TRUCK NEEDS SERVICE</t>
        </is>
      </c>
    </row>
    <row r="5">
      <c r="A5" t="inlineStr">
        <is>
          <t>DRV-004</t>
        </is>
      </c>
      <c r="B5" t="inlineStr">
        <is>
          <t>Priya Patel</t>
        </is>
      </c>
      <c r="C5" t="inlineStr">
        <is>
          <t>/drivers/DRV-004.jpg</t>
        </is>
      </c>
      <c r="D5" t="inlineStr">
        <is>
          <t>T-108</t>
        </is>
      </c>
      <c r="E5" t="inlineStr">
        <is>
          <t>NON_COMPLIANT</t>
        </is>
      </c>
      <c r="F5" s="63" t="n">
        <v>46739</v>
      </c>
      <c r="G5" s="63" t="n">
        <v>46486</v>
      </c>
      <c r="H5" s="63" t="n">
        <v>46465.5</v>
      </c>
      <c r="I5" s="63" t="inlineStr">
        <is>
          <t>/documents/drivers/DRV-004_CDL.pdf</t>
        </is>
      </c>
      <c r="J5" s="63" t="inlineStr">
        <is>
          <t>/documents/drivers/DRV-004_MVR.pdf</t>
        </is>
      </c>
      <c r="K5" s="63" t="inlineStr">
        <is>
          <t>/documents/drivers/DRV-004_MEDICAL.pdf</t>
        </is>
      </c>
      <c r="L5" s="63" t="inlineStr">
        <is>
          <t>/documents/drivers/DRV-004_W9.pdf</t>
        </is>
      </c>
      <c r="M5" s="63" t="inlineStr">
        <is>
          <t>/documents/drivers/DRV-004_I9.pdf</t>
        </is>
      </c>
      <c r="N5" s="63" t="inlineStr">
        <is>
          <t>/documents/drivers/DRV-004_FMCSA.pdf</t>
        </is>
      </c>
      <c r="O5" s="63" t="inlineStr">
        <is>
          <t>/documents/drivers/DRV-004_BANK_INFO.pdf</t>
        </is>
      </c>
      <c r="P5" s="63" t="inlineStr">
        <is>
          <t>❌ TRUCK NEEDS SERVICE</t>
        </is>
      </c>
    </row>
    <row r="6">
      <c r="A6" t="inlineStr">
        <is>
          <t>DRV-005</t>
        </is>
      </c>
      <c r="B6" t="inlineStr">
        <is>
          <t>Kenji Tanaka</t>
        </is>
      </c>
      <c r="C6" t="inlineStr">
        <is>
          <t>/drivers/DRV-005.jpg</t>
        </is>
      </c>
      <c r="D6" t="inlineStr">
        <is>
          <t>T-104</t>
        </is>
      </c>
      <c r="E6" t="inlineStr">
        <is>
          <t>NON_COMPLIANT</t>
        </is>
      </c>
      <c r="F6" s="63" t="n">
        <v>46577</v>
      </c>
      <c r="G6" s="63" t="n">
        <v>46496</v>
      </c>
      <c r="H6" s="63" t="n">
        <v>46465.5</v>
      </c>
      <c r="I6" s="63" t="inlineStr">
        <is>
          <t>/documents/drivers/DRV-005_CDL.pdf</t>
        </is>
      </c>
      <c r="J6" s="63" t="inlineStr">
        <is>
          <t>/documents/drivers/DRV-005_MVR.pdf</t>
        </is>
      </c>
      <c r="K6" s="63" t="inlineStr">
        <is>
          <t>/documents/drivers/DRV-005_MEDICAL.pdf</t>
        </is>
      </c>
      <c r="L6" s="63" t="inlineStr">
        <is>
          <t>/documents/drivers/DRV-005_W9.pdf</t>
        </is>
      </c>
      <c r="M6" s="63" t="inlineStr">
        <is>
          <t>/documents/drivers/DRV-005_I9.pdf</t>
        </is>
      </c>
      <c r="N6" s="63" t="inlineStr">
        <is>
          <t>/documents/drivers/DRV-005_FMCSA.pdf</t>
        </is>
      </c>
      <c r="O6" s="63" t="inlineStr">
        <is>
          <t>/documents/drivers/DRV-005_BANK_INFO.pdf</t>
        </is>
      </c>
      <c r="P6" s="63" t="inlineStr">
        <is>
          <t>❌ TRUCK NEEDS SERVICE</t>
        </is>
      </c>
    </row>
    <row r="7">
      <c r="A7" t="inlineStr">
        <is>
          <t>DRV-006</t>
        </is>
      </c>
      <c r="B7" t="inlineStr">
        <is>
          <t>Marcus Chen</t>
        </is>
      </c>
      <c r="C7" t="inlineStr">
        <is>
          <t>/drivers/DRV-006.jpg</t>
        </is>
      </c>
      <c r="D7" t="inlineStr">
        <is>
          <t>T-103</t>
        </is>
      </c>
      <c r="E7" t="inlineStr">
        <is>
          <t>NON_COMPLIANT</t>
        </is>
      </c>
      <c r="F7" s="63" t="n">
        <v>45826</v>
      </c>
      <c r="G7" s="63" t="n">
        <v>46394</v>
      </c>
      <c r="H7" s="63" t="n">
        <v>46465.5</v>
      </c>
      <c r="I7" s="63" t="inlineStr">
        <is>
          <t>/documents/drivers/DRV-006_CDL.pdf</t>
        </is>
      </c>
      <c r="J7" s="63" t="inlineStr">
        <is>
          <t>/documents/drivers/DRV-006_MVR.pdf</t>
        </is>
      </c>
      <c r="K7" s="63" t="inlineStr">
        <is>
          <t>/documents/drivers/DRV-006_MEDICAL.pdf</t>
        </is>
      </c>
      <c r="L7" s="63" t="inlineStr">
        <is>
          <t>/documents/drivers/DRV-006_W9.pdf</t>
        </is>
      </c>
      <c r="M7" s="63" t="inlineStr">
        <is>
          <t>/documents/drivers/DRV-006_I9.pdf</t>
        </is>
      </c>
      <c r="N7" s="63" t="inlineStr">
        <is>
          <t>/documents/drivers/DRV-006_FMCSA.pdf</t>
        </is>
      </c>
      <c r="O7" s="63" t="inlineStr">
        <is>
          <t>/documents/drivers/DRV-006_BANK_INFO.pdf</t>
        </is>
      </c>
      <c r="P7" s="63" t="inlineStr">
        <is>
          <t>❌ CDL EXPIRED | TRUCK NEEDS SERVICE</t>
        </is>
      </c>
    </row>
    <row r="8">
      <c r="A8" t="inlineStr">
        <is>
          <t>DRV-007</t>
        </is>
      </c>
      <c r="B8" t="inlineStr">
        <is>
          <t>Sofia Gomez</t>
        </is>
      </c>
      <c r="C8" t="inlineStr">
        <is>
          <t>/drivers/DRV-007.jpg</t>
        </is>
      </c>
      <c r="D8" t="inlineStr">
        <is>
          <t>T-111</t>
        </is>
      </c>
      <c r="E8" t="inlineStr">
        <is>
          <t>NON_COMPLIANT</t>
        </is>
      </c>
      <c r="F8" s="63" t="n">
        <v>46530</v>
      </c>
      <c r="G8" s="63" t="n">
        <v>45739</v>
      </c>
      <c r="H8" s="63" t="n">
        <v>46465.5</v>
      </c>
      <c r="I8" s="63" t="inlineStr">
        <is>
          <t>/documents/drivers/DRV-007_CDL.pdf</t>
        </is>
      </c>
      <c r="J8" s="63" t="inlineStr">
        <is>
          <t>/documents/drivers/DRV-007_MVR.pdf</t>
        </is>
      </c>
      <c r="K8" s="63" t="inlineStr">
        <is>
          <t>/documents/drivers/DRV-007_MEDICAL.pdf</t>
        </is>
      </c>
      <c r="L8" s="63" t="inlineStr">
        <is>
          <t>/documents/drivers/DRV-007_W9.pdf</t>
        </is>
      </c>
      <c r="M8" s="63" t="inlineStr">
        <is>
          <t>/documents/drivers/DRV-007_I9.pdf</t>
        </is>
      </c>
      <c r="N8" s="63" t="inlineStr">
        <is>
          <t>/documents/drivers/DRV-007_FMCSA.pdf</t>
        </is>
      </c>
      <c r="O8" s="63" t="inlineStr">
        <is>
          <t>/documents/drivers/DRV-007_BANK_INFO.pdf</t>
        </is>
      </c>
      <c r="P8" s="63" t="inlineStr">
        <is>
          <t>❌ MED CARD EXPIRED</t>
        </is>
      </c>
    </row>
    <row r="9">
      <c r="A9" t="inlineStr">
        <is>
          <t>DRV-008</t>
        </is>
      </c>
      <c r="B9" t="inlineStr">
        <is>
          <t>Liam Smith</t>
        </is>
      </c>
      <c r="C9" t="inlineStr">
        <is>
          <t>/drivers/DRV-008.jpg</t>
        </is>
      </c>
      <c r="D9" t="inlineStr">
        <is>
          <t>T-106</t>
        </is>
      </c>
      <c r="E9" t="inlineStr">
        <is>
          <t>NON_COMPLIANT</t>
        </is>
      </c>
      <c r="F9" s="63" t="n">
        <v>46620</v>
      </c>
      <c r="G9" s="63" t="n">
        <v>46670</v>
      </c>
      <c r="H9" s="63" t="n">
        <v>46465.5</v>
      </c>
      <c r="I9" s="63" t="inlineStr">
        <is>
          <t>/documents/drivers/DRV-008_CDL.pdf</t>
        </is>
      </c>
      <c r="J9" s="63" t="inlineStr">
        <is>
          <t>/documents/drivers/DRV-008_MVR.pdf</t>
        </is>
      </c>
      <c r="K9" s="63" t="inlineStr">
        <is>
          <t>/documents/drivers/DRV-008_MEDICAL.pdf</t>
        </is>
      </c>
      <c r="L9" s="63" t="inlineStr">
        <is>
          <t>/documents/drivers/DRV-008_W9.pdf</t>
        </is>
      </c>
      <c r="M9" s="63" t="inlineStr">
        <is>
          <t>/documents/drivers/DRV-008_I9.pdf</t>
        </is>
      </c>
      <c r="N9" s="63" t="inlineStr">
        <is>
          <t>/documents/drivers/DRV-008_FMCSA.pdf</t>
        </is>
      </c>
      <c r="O9" s="63" t="inlineStr">
        <is>
          <t>/documents/drivers/DRV-008_BANK_INFO.pdf</t>
        </is>
      </c>
      <c r="P9" s="63" t="inlineStr">
        <is>
          <t>❌ TRUCK NEEDS SERVICE</t>
        </is>
      </c>
    </row>
    <row r="10">
      <c r="A10" t="inlineStr">
        <is>
          <t>DRV-009</t>
        </is>
      </c>
      <c r="B10" t="inlineStr">
        <is>
          <t>Emma Brown</t>
        </is>
      </c>
      <c r="C10" t="inlineStr">
        <is>
          <t>/drivers/DRV-009.jpg</t>
        </is>
      </c>
      <c r="D10" t="inlineStr">
        <is>
          <t>T-109</t>
        </is>
      </c>
      <c r="E10" t="inlineStr">
        <is>
          <t>NON_COMPLIANT</t>
        </is>
      </c>
      <c r="F10" s="63" t="n">
        <v>46424</v>
      </c>
      <c r="G10" s="63" t="n">
        <v>46645</v>
      </c>
      <c r="H10" s="63" t="n">
        <v>46465.5</v>
      </c>
      <c r="I10" s="63" t="inlineStr">
        <is>
          <t>/documents/drivers/DRV-009_CDL.pdf</t>
        </is>
      </c>
      <c r="J10" s="63" t="inlineStr">
        <is>
          <t>/documents/drivers/DRV-009_MVR.pdf</t>
        </is>
      </c>
      <c r="K10" s="63" t="inlineStr">
        <is>
          <t>/documents/drivers/DRV-009_MEDICAL.pdf</t>
        </is>
      </c>
      <c r="L10" s="63" t="inlineStr">
        <is>
          <t>/documents/drivers/DRV-009_W9.pdf</t>
        </is>
      </c>
      <c r="M10" s="63" t="inlineStr">
        <is>
          <t>/documents/drivers/DRV-009_I9.pdf</t>
        </is>
      </c>
      <c r="N10" s="63" t="inlineStr">
        <is>
          <t>/documents/drivers/DRV-009_FMCSA.pdf</t>
        </is>
      </c>
      <c r="O10" s="63" t="inlineStr">
        <is>
          <t>/documents/drivers/DRV-009_BANK_INFO.pdf</t>
        </is>
      </c>
      <c r="P10" s="63" t="inlineStr">
        <is>
          <t>❌ TRUCK NEEDS SERVICE</t>
        </is>
      </c>
    </row>
    <row r="11">
      <c r="A11" t="inlineStr">
        <is>
          <t>DRV-010</t>
        </is>
      </c>
      <c r="B11" t="inlineStr">
        <is>
          <t>Noah Wilson</t>
        </is>
      </c>
      <c r="C11" t="inlineStr">
        <is>
          <t>/drivers/DRV-010.jpg</t>
        </is>
      </c>
      <c r="D11" t="inlineStr">
        <is>
          <t>T-105</t>
        </is>
      </c>
      <c r="E11" t="inlineStr">
        <is>
          <t>COMPLIANT</t>
        </is>
      </c>
      <c r="F11" s="63" t="n">
        <v>46647</v>
      </c>
      <c r="G11" s="63" t="n">
        <v>46752</v>
      </c>
      <c r="H11" s="63" t="n">
        <v>46465.5</v>
      </c>
      <c r="I11" s="63" t="inlineStr">
        <is>
          <t>/documents/drivers/DRV-010_CDL.pdf</t>
        </is>
      </c>
      <c r="J11" s="63" t="inlineStr">
        <is>
          <t>/documents/drivers/DRV-010_MVR.pdf</t>
        </is>
      </c>
      <c r="K11" s="63" t="inlineStr">
        <is>
          <t>/documents/drivers/DRV-010_MEDICAL.pdf</t>
        </is>
      </c>
      <c r="L11" s="63" t="inlineStr">
        <is>
          <t>/documents/drivers/DRV-010_W9.pdf</t>
        </is>
      </c>
      <c r="M11" s="63" t="inlineStr">
        <is>
          <t>/documents/drivers/DRV-010_I9.pdf</t>
        </is>
      </c>
      <c r="N11" s="63" t="inlineStr">
        <is>
          <t>/documents/drivers/DRV-010_FMCSA.pdf</t>
        </is>
      </c>
      <c r="O11" s="63" t="inlineStr">
        <is>
          <t>/documents/drivers/DRV-010_BANK_INFO.pdf</t>
        </is>
      </c>
      <c r="P11" s="63" t="inlineStr">
        <is>
          <t>✅ COMPLIANT</t>
        </is>
      </c>
    </row>
    <row r="12">
      <c r="A12" t="inlineStr">
        <is>
          <t>DRV-011</t>
        </is>
      </c>
      <c r="B12" t="inlineStr">
        <is>
          <t>Olivia Lee</t>
        </is>
      </c>
      <c r="C12" t="inlineStr">
        <is>
          <t>/drivers/DRV-011.jpg</t>
        </is>
      </c>
      <c r="D12" t="inlineStr">
        <is>
          <t>T-114</t>
        </is>
      </c>
      <c r="E12" t="inlineStr">
        <is>
          <t>COMPLIANT</t>
        </is>
      </c>
      <c r="F12" s="63" t="n">
        <v>46566</v>
      </c>
      <c r="G12" s="63" t="n">
        <v>46499</v>
      </c>
      <c r="H12" s="63" t="n">
        <v>46465.5</v>
      </c>
      <c r="I12" s="63" t="inlineStr">
        <is>
          <t>/documents/drivers/DRV-011_CDL.pdf</t>
        </is>
      </c>
      <c r="J12" s="63" t="inlineStr">
        <is>
          <t>/documents/drivers/DRV-011_MVR.pdf</t>
        </is>
      </c>
      <c r="K12" s="63" t="inlineStr">
        <is>
          <t>/documents/drivers/DRV-011_MEDICAL.pdf</t>
        </is>
      </c>
      <c r="L12" s="63" t="inlineStr">
        <is>
          <t>/documents/drivers/DRV-011_W9.pdf</t>
        </is>
      </c>
      <c r="M12" s="63" t="inlineStr">
        <is>
          <t>/documents/drivers/DRV-011_I9.pdf</t>
        </is>
      </c>
      <c r="N12" s="63" t="inlineStr">
        <is>
          <t>/documents/drivers/DRV-011_FMCSA.pdf</t>
        </is>
      </c>
      <c r="O12" s="63" t="inlineStr">
        <is>
          <t>/documents/drivers/DRV-011_BANK_INFO.pdf</t>
        </is>
      </c>
      <c r="P12" s="63" t="inlineStr">
        <is>
          <t>✅ COMPLIANT</t>
        </is>
      </c>
    </row>
    <row r="13">
      <c r="A13" t="inlineStr">
        <is>
          <t>DRV-012</t>
        </is>
      </c>
      <c r="B13" t="inlineStr">
        <is>
          <t>Robert Johnson</t>
        </is>
      </c>
      <c r="C13" t="inlineStr">
        <is>
          <t>/drivers/DRV-012.jpg</t>
        </is>
      </c>
      <c r="D13" t="inlineStr">
        <is>
          <t>T-106</t>
        </is>
      </c>
      <c r="E13" t="inlineStr">
        <is>
          <t>NON_COMPLIANT</t>
        </is>
      </c>
      <c r="F13" s="63" t="n">
        <v>46135</v>
      </c>
      <c r="G13" s="63" t="n">
        <v>46042</v>
      </c>
      <c r="H13" s="63" t="n">
        <v>45997</v>
      </c>
      <c r="I13" s="63" t="inlineStr">
        <is>
          <t>/documents/drivers/DRV-012_CDL.pdf</t>
        </is>
      </c>
      <c r="J13" s="63" t="inlineStr">
        <is>
          <t>/documents/drivers/DRV-012_MVR.pdf</t>
        </is>
      </c>
      <c r="K13" s="63" t="inlineStr">
        <is>
          <t>/documents/drivers/DRV-012_MEDICAL.pdf</t>
        </is>
      </c>
      <c r="L13" s="63" t="inlineStr">
        <is>
          <t>/documents/drivers/DRV-012_W9.pdf</t>
        </is>
      </c>
      <c r="M13" s="63" t="inlineStr">
        <is>
          <t>/documents/drivers/DRV-012_I9.pdf</t>
        </is>
      </c>
      <c r="N13" s="63" t="inlineStr">
        <is>
          <t>/documents/drivers/DRV-012_FMCSA.pdf</t>
        </is>
      </c>
      <c r="O13" s="63" t="inlineStr">
        <is>
          <t>/documents/drivers/DRV-012_BANK_INFO.pdf</t>
        </is>
      </c>
      <c r="P13" s="63" t="inlineStr">
        <is>
          <t>❌ MED CARD EXPIRED | MVR EXPIRED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5" customWidth="1" style="24" min="1" max="1"/>
    <col width="11" customWidth="1" style="24" min="2" max="2"/>
    <col width="14" customWidth="1" style="24" min="3" max="3"/>
    <col width="11" customWidth="1" style="24" min="4" max="4"/>
    <col width="18" customWidth="1" style="24" min="5" max="5"/>
    <col width="13" customWidth="1" style="24" min="6" max="6"/>
    <col width="14" customWidth="1" style="24" min="7" max="7"/>
    <col width="10" customWidth="1" style="24" min="8" max="8"/>
    <col width="19" customWidth="1" style="24" min="9" max="9"/>
    <col width="15" customWidth="1" style="24" min="10" max="10"/>
    <col width="34" customWidth="1" style="24" min="11" max="11"/>
    <col width="20" customWidth="1" style="24" min="12" max="12"/>
  </cols>
  <sheetData>
    <row r="1">
      <c r="A1" s="66" t="inlineStr">
        <is>
          <t>Settlement ID</t>
        </is>
      </c>
      <c r="B1" s="66" t="inlineStr">
        <is>
          <t>Driver ID</t>
        </is>
      </c>
      <c r="C1" s="66" t="inlineStr">
        <is>
          <t>Full Name</t>
        </is>
      </c>
      <c r="D1" s="66" t="inlineStr">
        <is>
          <t>Gross Pay</t>
        </is>
      </c>
      <c r="E1" s="66" t="inlineStr">
        <is>
          <t>Total Deductions</t>
        </is>
      </c>
      <c r="F1" s="66" t="inlineStr">
        <is>
          <t>Fuel Reimb.</t>
        </is>
      </c>
      <c r="G1" s="66" t="inlineStr">
        <is>
          <t>Net Pay</t>
        </is>
      </c>
      <c r="H1" s="66" t="inlineStr">
        <is>
          <t>Status</t>
        </is>
      </c>
      <c r="I1" s="66" t="inlineStr">
        <is>
          <t>Pending Reason</t>
        </is>
      </c>
      <c r="J1" s="66" t="inlineStr">
        <is>
          <t>Export Status</t>
        </is>
      </c>
      <c r="K1" s="66" t="inlineStr">
        <is>
          <t>Settlement URL</t>
        </is>
      </c>
      <c r="L1" s="66" t="inlineStr">
        <is>
          <t>Driver Photo URL</t>
        </is>
      </c>
    </row>
    <row r="2">
      <c r="A2" t="inlineStr">
        <is>
          <t>STL-001</t>
        </is>
      </c>
      <c r="B2" t="inlineStr">
        <is>
          <t>DRV-001</t>
        </is>
      </c>
      <c r="C2" t="inlineStr">
        <is>
          <t>John Carter</t>
        </is>
      </c>
      <c r="D2" s="64">
        <f>D2+E2</f>
        <v/>
      </c>
      <c r="E2" s="64">
        <f>SUM(G2:S2)</f>
        <v/>
      </c>
      <c r="F2" s="64" t="n">
        <v>0</v>
      </c>
      <c r="G2" s="64">
        <f>F2-T2+U2</f>
        <v/>
      </c>
      <c r="H2" t="inlineStr">
        <is>
          <t>PAID</t>
        </is>
      </c>
      <c r="J2" t="inlineStr">
        <is>
          <t>READY</t>
        </is>
      </c>
      <c r="K2" t="inlineStr">
        <is>
          <t>/documents/settlements/DRV-001_SETTLEMENT.pdf</t>
        </is>
      </c>
      <c r="L2" t="inlineStr">
        <is>
          <t>/drivers/DRV-001.jpg</t>
        </is>
      </c>
    </row>
    <row r="3">
      <c r="A3" t="inlineStr">
        <is>
          <t>STL-002</t>
        </is>
      </c>
      <c r="B3" t="inlineStr">
        <is>
          <t>DRV-002</t>
        </is>
      </c>
      <c r="C3" t="inlineStr">
        <is>
          <t>Maria Lopez</t>
        </is>
      </c>
      <c r="D3" s="64">
        <f>D3+E3</f>
        <v/>
      </c>
      <c r="E3" s="64">
        <f>SUM(G3:S3)</f>
        <v/>
      </c>
      <c r="F3" s="64" t="n">
        <v>120</v>
      </c>
      <c r="G3" s="64">
        <f>F3-T3+U3</f>
        <v/>
      </c>
      <c r="H3" t="inlineStr">
        <is>
          <t>PENDING</t>
        </is>
      </c>
      <c r="I3" t="inlineStr">
        <is>
          <t>Awaiting Receipts</t>
        </is>
      </c>
      <c r="J3" t="inlineStr">
        <is>
          <t>READY</t>
        </is>
      </c>
      <c r="K3" t="inlineStr">
        <is>
          <t>/documents/settlements/DRV-002_SETTLEMENT.pdf</t>
        </is>
      </c>
      <c r="L3" t="inlineStr">
        <is>
          <t>/drivers/DRV-002.jpg</t>
        </is>
      </c>
    </row>
    <row r="4">
      <c r="A4" t="inlineStr">
        <is>
          <t>STL-003</t>
        </is>
      </c>
      <c r="B4" t="inlineStr">
        <is>
          <t>DRV-003</t>
        </is>
      </c>
      <c r="C4" t="inlineStr">
        <is>
          <t>Alex Kim</t>
        </is>
      </c>
      <c r="D4" s="64">
        <f>D4+E4</f>
        <v/>
      </c>
      <c r="E4" s="64">
        <f>SUM(G4:S4)</f>
        <v/>
      </c>
      <c r="F4" s="64" t="n">
        <v>0</v>
      </c>
      <c r="G4" s="64">
        <f>F4-T4+U4</f>
        <v/>
      </c>
      <c r="H4" t="inlineStr">
        <is>
          <t>PAID</t>
        </is>
      </c>
      <c r="J4" t="inlineStr">
        <is>
          <t>READY</t>
        </is>
      </c>
      <c r="K4" t="inlineStr">
        <is>
          <t>/documents/settlements/DRV-003_SETTLEMENT.pdf</t>
        </is>
      </c>
      <c r="L4" t="inlineStr">
        <is>
          <t>/drivers/DRV-003.jpg</t>
        </is>
      </c>
    </row>
    <row r="5">
      <c r="A5" t="inlineStr">
        <is>
          <t>STL-004</t>
        </is>
      </c>
      <c r="B5" t="inlineStr">
        <is>
          <t>DRV-004</t>
        </is>
      </c>
      <c r="C5" t="inlineStr">
        <is>
          <t>Priya Patel</t>
        </is>
      </c>
      <c r="D5" s="64">
        <f>D5+E5</f>
        <v/>
      </c>
      <c r="E5" s="64">
        <f>SUM(G5:S5)</f>
        <v/>
      </c>
      <c r="F5" s="64" t="n">
        <v>150</v>
      </c>
      <c r="G5" s="64">
        <f>F5-T5+U5</f>
        <v/>
      </c>
      <c r="H5" t="inlineStr">
        <is>
          <t>PENDING</t>
        </is>
      </c>
      <c r="I5" t="inlineStr">
        <is>
          <t>Awaiting Receipts</t>
        </is>
      </c>
      <c r="J5" t="inlineStr">
        <is>
          <t>READY</t>
        </is>
      </c>
      <c r="K5" t="inlineStr">
        <is>
          <t>/documents/settlements/DRV-004_SETTLEMENT.pdf</t>
        </is>
      </c>
      <c r="L5" t="inlineStr">
        <is>
          <t>/drivers/DRV-004.jpg</t>
        </is>
      </c>
    </row>
    <row r="6">
      <c r="A6" t="inlineStr">
        <is>
          <t>STL-005</t>
        </is>
      </c>
      <c r="B6" t="inlineStr">
        <is>
          <t>DRV-005</t>
        </is>
      </c>
      <c r="C6" t="inlineStr">
        <is>
          <t>Kenji Tanaka</t>
        </is>
      </c>
      <c r="D6" s="64">
        <f>D6+E6</f>
        <v/>
      </c>
      <c r="E6" s="64">
        <f>SUM(G6:S6)</f>
        <v/>
      </c>
      <c r="F6" s="64" t="n">
        <v>0</v>
      </c>
      <c r="G6" s="64">
        <f>F6-T6+U6</f>
        <v/>
      </c>
      <c r="H6" t="inlineStr">
        <is>
          <t>PENDING</t>
        </is>
      </c>
      <c r="I6" t="inlineStr">
        <is>
          <t>Load Verification</t>
        </is>
      </c>
      <c r="J6" t="inlineStr">
        <is>
          <t>READY</t>
        </is>
      </c>
      <c r="K6" t="inlineStr">
        <is>
          <t>/documents/settlements/DRV-005_SETTLEMENT.pdf</t>
        </is>
      </c>
      <c r="L6" t="inlineStr">
        <is>
          <t>/drivers/DRV-005.jpg</t>
        </is>
      </c>
    </row>
    <row r="7">
      <c r="A7" t="inlineStr">
        <is>
          <t>STL-006</t>
        </is>
      </c>
      <c r="B7" t="inlineStr">
        <is>
          <t>DRV-006</t>
        </is>
      </c>
      <c r="C7" t="inlineStr">
        <is>
          <t>Marcus Chen</t>
        </is>
      </c>
      <c r="D7" s="64">
        <f>D7+E7</f>
        <v/>
      </c>
      <c r="E7" s="64">
        <f>SUM(G7:S7)</f>
        <v/>
      </c>
      <c r="F7" s="64" t="n">
        <v>0</v>
      </c>
      <c r="G7" s="64">
        <f>F7-T7+U7</f>
        <v/>
      </c>
      <c r="H7" t="inlineStr">
        <is>
          <t>PAID</t>
        </is>
      </c>
      <c r="J7" t="inlineStr">
        <is>
          <t>READY</t>
        </is>
      </c>
      <c r="K7" t="inlineStr">
        <is>
          <t>/documents/settlements/DRV-006_SETTLEMENT.pdf</t>
        </is>
      </c>
      <c r="L7" t="inlineStr">
        <is>
          <t>/drivers/DRV-006.jpg</t>
        </is>
      </c>
    </row>
    <row r="8">
      <c r="A8" t="inlineStr">
        <is>
          <t>STL-007</t>
        </is>
      </c>
      <c r="B8" t="inlineStr">
        <is>
          <t>DRV-007</t>
        </is>
      </c>
      <c r="C8" t="inlineStr">
        <is>
          <t>Sofia Gomez</t>
        </is>
      </c>
      <c r="D8" s="64">
        <f>D8+E8</f>
        <v/>
      </c>
      <c r="E8" s="64">
        <f>SUM(G8:S8)</f>
        <v/>
      </c>
      <c r="F8" s="64" t="n">
        <v>0</v>
      </c>
      <c r="G8" s="64">
        <f>F8-T8+U8</f>
        <v/>
      </c>
      <c r="H8" t="inlineStr">
        <is>
          <t>PAID</t>
        </is>
      </c>
      <c r="J8" t="inlineStr">
        <is>
          <t>READY</t>
        </is>
      </c>
      <c r="K8" t="inlineStr">
        <is>
          <t>/documents/settlements/DRV-007_SETTLEMENT.pdf</t>
        </is>
      </c>
      <c r="L8" t="inlineStr">
        <is>
          <t>/drivers/DRV-007.jpg</t>
        </is>
      </c>
    </row>
    <row r="9">
      <c r="A9" t="inlineStr">
        <is>
          <t>STL-008</t>
        </is>
      </c>
      <c r="B9" t="inlineStr">
        <is>
          <t>DRV-008</t>
        </is>
      </c>
      <c r="C9" t="inlineStr">
        <is>
          <t>Liam Smith</t>
        </is>
      </c>
      <c r="D9" s="64">
        <f>D9+E9</f>
        <v/>
      </c>
      <c r="E9" s="64">
        <f>SUM(G9:S9)</f>
        <v/>
      </c>
      <c r="F9" s="64" t="n">
        <v>0</v>
      </c>
      <c r="G9" s="64">
        <f>F9-T9+U9</f>
        <v/>
      </c>
      <c r="H9" t="inlineStr">
        <is>
          <t>PENDING</t>
        </is>
      </c>
      <c r="I9" t="inlineStr">
        <is>
          <t>Load Verification</t>
        </is>
      </c>
      <c r="J9" t="inlineStr">
        <is>
          <t>READY</t>
        </is>
      </c>
      <c r="K9" t="inlineStr">
        <is>
          <t>/documents/settlements/DRV-008_SETTLEMENT.pdf</t>
        </is>
      </c>
      <c r="L9" t="inlineStr">
        <is>
          <t>/drivers/DRV-008.jpg</t>
        </is>
      </c>
    </row>
    <row r="10">
      <c r="A10" t="inlineStr">
        <is>
          <t>STL-009</t>
        </is>
      </c>
      <c r="B10" t="inlineStr">
        <is>
          <t>DRV-009</t>
        </is>
      </c>
      <c r="C10" t="inlineStr">
        <is>
          <t>Emma Brown</t>
        </is>
      </c>
      <c r="D10" s="64">
        <f>D10+E10</f>
        <v/>
      </c>
      <c r="E10" s="64">
        <f>SUM(G10:S10)</f>
        <v/>
      </c>
      <c r="F10" s="64" t="n">
        <v>0</v>
      </c>
      <c r="G10" s="64">
        <f>F10-T10+U10</f>
        <v/>
      </c>
      <c r="H10" t="inlineStr">
        <is>
          <t>PAID</t>
        </is>
      </c>
      <c r="J10" t="inlineStr">
        <is>
          <t>READY</t>
        </is>
      </c>
      <c r="K10" t="inlineStr">
        <is>
          <t>/documents/settlements/DRV-009_SETTLEMENT.pdf</t>
        </is>
      </c>
      <c r="L10" t="inlineStr">
        <is>
          <t>/drivers/DRV-009.jpg</t>
        </is>
      </c>
    </row>
    <row r="11">
      <c r="A11" t="inlineStr">
        <is>
          <t>STL-010</t>
        </is>
      </c>
      <c r="B11" t="inlineStr">
        <is>
          <t>DRV-010</t>
        </is>
      </c>
      <c r="C11" t="inlineStr">
        <is>
          <t>Noah Wilson</t>
        </is>
      </c>
      <c r="D11" s="64">
        <f>D11+E11</f>
        <v/>
      </c>
      <c r="E11" s="64">
        <f>SUM(G11:S11)</f>
        <v/>
      </c>
      <c r="F11" s="64" t="n">
        <v>0</v>
      </c>
      <c r="G11" s="64">
        <f>F11-T11+U11</f>
        <v/>
      </c>
      <c r="H11" t="inlineStr">
        <is>
          <t>PAID</t>
        </is>
      </c>
      <c r="J11" t="inlineStr">
        <is>
          <t>READY</t>
        </is>
      </c>
      <c r="K11" t="inlineStr">
        <is>
          <t>/documents/settlements/DRV-010_SETTLEMENT.pdf</t>
        </is>
      </c>
      <c r="L11" t="inlineStr">
        <is>
          <t>/drivers/DRV-010.jpg</t>
        </is>
      </c>
    </row>
    <row r="12">
      <c r="A12" t="inlineStr">
        <is>
          <t>STL-011</t>
        </is>
      </c>
      <c r="B12" t="inlineStr">
        <is>
          <t>DRV-011</t>
        </is>
      </c>
      <c r="C12" t="inlineStr">
        <is>
          <t>Olivia Lee</t>
        </is>
      </c>
      <c r="D12" s="64">
        <f>D12+E12</f>
        <v/>
      </c>
      <c r="E12" s="64">
        <f>SUM(G12:S12)</f>
        <v/>
      </c>
      <c r="F12" s="64" t="n">
        <v>0</v>
      </c>
      <c r="G12" s="64">
        <f>F12-T12+U12</f>
        <v/>
      </c>
      <c r="H12" t="inlineStr">
        <is>
          <t>PAID</t>
        </is>
      </c>
      <c r="J12" t="inlineStr">
        <is>
          <t>READY</t>
        </is>
      </c>
      <c r="K12" t="inlineStr">
        <is>
          <t>/documents/settlements/DRV-011_SETTLEMENT.pdf</t>
        </is>
      </c>
      <c r="L12" t="inlineStr">
        <is>
          <t>/drivers/DRV-011.jpg</t>
        </is>
      </c>
    </row>
    <row r="13">
      <c r="A13" t="inlineStr">
        <is>
          <t>STL-012</t>
        </is>
      </c>
      <c r="B13" t="inlineStr">
        <is>
          <t>DRV-012</t>
        </is>
      </c>
      <c r="C13" t="inlineStr">
        <is>
          <t>Robert Johnson</t>
        </is>
      </c>
      <c r="D13" s="64">
        <f>D13+E13</f>
        <v/>
      </c>
      <c r="E13" s="64">
        <f>SUM(G13:S13)</f>
        <v/>
      </c>
      <c r="F13" s="64" t="n">
        <v>0</v>
      </c>
      <c r="G13" s="64">
        <f>F13-T13+U13</f>
        <v/>
      </c>
      <c r="H13" t="inlineStr">
        <is>
          <t>PENDING</t>
        </is>
      </c>
      <c r="I13" t="inlineStr">
        <is>
          <t>Document Review</t>
        </is>
      </c>
      <c r="J13" t="inlineStr">
        <is>
          <t>READY</t>
        </is>
      </c>
      <c r="K13" t="inlineStr">
        <is>
          <t>/documents/settlements/DRV-012_SETTLEMENT.pdf</t>
        </is>
      </c>
      <c r="L13" t="inlineStr">
        <is>
          <t>/drivers/DRV-012.jpg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cols>
    <col width="10" customWidth="1" style="24" min="1" max="1"/>
    <col width="11" customWidth="1" style="24" min="2" max="2"/>
    <col width="14" customWidth="1" style="24" min="3" max="3"/>
    <col width="10" customWidth="1" style="24" min="4" max="4"/>
    <col width="10" customWidth="1" style="24" min="5" max="5"/>
    <col width="14" customWidth="1" style="24" min="6" max="6"/>
    <col width="13" customWidth="1" style="24" min="7" max="7"/>
    <col width="20" customWidth="1" style="24" min="8" max="8"/>
    <col width="28" customWidth="1" style="24" min="9" max="9"/>
    <col width="23" customWidth="1" style="24" min="10" max="10"/>
    <col width="17" customWidth="1" style="24" min="11" max="11"/>
    <col width="15" customWidth="1" style="24" min="12" max="12"/>
    <col width="28" customWidth="1" style="24" min="13" max="13"/>
    <col width="16" customWidth="1" style="24" min="14" max="14"/>
    <col width="32" customWidth="1" style="24" min="15" max="15"/>
    <col width="32" customWidth="1" style="24" min="16" max="16"/>
    <col width="32" customWidth="1" style="24" min="17" max="17"/>
    <col width="32" customWidth="1" style="24" min="18" max="18"/>
    <col width="20" customWidth="1" style="24" min="19" max="19"/>
    <col width="18" customWidth="1" style="24" min="20" max="20"/>
    <col width="20" customWidth="1" style="24" min="21" max="21"/>
    <col width="22" customWidth="1" style="24" min="22" max="22"/>
    <col width="20" customWidth="1" style="24" min="23" max="23"/>
  </cols>
  <sheetData>
    <row r="1">
      <c r="A1" s="66" t="inlineStr">
        <is>
          <t>Load ID</t>
        </is>
      </c>
      <c r="B1" s="66" t="inlineStr">
        <is>
          <t>Driver ID</t>
        </is>
      </c>
      <c r="C1" s="66" t="inlineStr">
        <is>
          <t>Driver Name</t>
        </is>
      </c>
      <c r="D1" s="66" t="inlineStr">
        <is>
          <t>Asset ID</t>
        </is>
      </c>
      <c r="E1" s="66" t="inlineStr">
        <is>
          <t>Revenue</t>
        </is>
      </c>
      <c r="F1" s="66" t="inlineStr">
        <is>
          <t>Backhaul Pay</t>
        </is>
      </c>
      <c r="G1" s="66" t="inlineStr">
        <is>
          <t>Load Status</t>
        </is>
      </c>
      <c r="H1" s="66" t="inlineStr">
        <is>
          <t>Export Load Status</t>
        </is>
      </c>
      <c r="I1" s="66" t="inlineStr">
        <is>
          <t>Seal Status</t>
        </is>
      </c>
      <c r="J1" s="66" t="inlineStr">
        <is>
          <t>Seal Issue Type</t>
        </is>
      </c>
      <c r="K1" s="66" t="inlineStr">
        <is>
          <t>Photo Required?</t>
        </is>
      </c>
      <c r="L1" s="66" t="inlineStr">
        <is>
          <t>Review Status</t>
        </is>
      </c>
      <c r="M1" s="66" t="inlineStr">
        <is>
          <t>Exception Flag</t>
        </is>
      </c>
      <c r="N1" s="66" t="inlineStr">
        <is>
          <t>Revenue Status</t>
        </is>
      </c>
      <c r="O1" s="66" t="inlineStr">
        <is>
          <t>Rate Confirmation URL</t>
        </is>
      </c>
      <c r="P1" s="66" t="inlineStr">
        <is>
          <t>BOL URL</t>
        </is>
      </c>
      <c r="Q1" s="66" t="inlineStr">
        <is>
          <t>Pickup Seal Photo URL</t>
        </is>
      </c>
      <c r="R1" s="66" t="inlineStr">
        <is>
          <t>Delivery Seal Photo URL</t>
        </is>
      </c>
      <c r="S1" s="66" t="inlineStr">
        <is>
          <t>Driver Photo URL</t>
        </is>
      </c>
      <c r="T1" s="66" t="inlineStr">
        <is>
          <t>POD Image URL</t>
        </is>
      </c>
      <c r="U1" s="66" t="inlineStr">
        <is>
          <t>Pickup Image URL</t>
        </is>
      </c>
      <c r="V1" s="66" t="inlineStr">
        <is>
          <t>Delivery Image URL</t>
        </is>
      </c>
      <c r="W1" s="66" t="inlineStr">
        <is>
          <t>Lumper Image URL</t>
        </is>
      </c>
    </row>
    <row r="2">
      <c r="A2" t="inlineStr">
        <is>
          <t>L-501</t>
        </is>
      </c>
      <c r="B2" t="inlineStr">
        <is>
          <t>DRV-001</t>
        </is>
      </c>
      <c r="C2" t="inlineStr">
        <is>
          <t>John Carter</t>
        </is>
      </c>
      <c r="D2" t="inlineStr">
        <is>
          <t>T-102</t>
        </is>
      </c>
      <c r="E2" s="64" t="n">
        <v>2000</v>
      </c>
      <c r="F2" s="64" t="n">
        <v>65</v>
      </c>
      <c r="G2" t="inlineStr">
        <is>
          <t>DELIVERED</t>
        </is>
      </c>
      <c r="H2" t="inlineStr">
        <is>
          <t>DELIVERED</t>
        </is>
      </c>
      <c r="I2">
        <f>IF(L2="","PENDING",IF(L2&lt;&gt;J2,"MISMATCH","VERIFIED"))</f>
        <v/>
      </c>
      <c r="J2" t="inlineStr">
        <is>
          <t>SEAL_MISMATCH</t>
        </is>
      </c>
      <c r="K2" t="inlineStr">
        <is>
          <t>YES</t>
        </is>
      </c>
      <c r="L2" t="inlineStr">
        <is>
          <t>OPEN</t>
        </is>
      </c>
      <c r="M2">
        <f>IF(N2="MISMATCH","SEAL_MISMATCH",IF(OR(K2="",M2=""),"PHOTO_MISSING",""))</f>
        <v/>
      </c>
      <c r="N2" t="inlineStr">
        <is>
          <t>READY</t>
        </is>
      </c>
      <c r="O2" t="inlineStr">
        <is>
          <t>/documents/loads/L-501_RC.pdf</t>
        </is>
      </c>
      <c r="P2" t="inlineStr">
        <is>
          <t>/documents/loads/L-501_BOL.pdf</t>
        </is>
      </c>
      <c r="Q2" t="inlineStr">
        <is>
          <t>/documents/loads/L-501_PICKUP_SEAL.jpg</t>
        </is>
      </c>
      <c r="R2" t="inlineStr">
        <is>
          <t>/documents/loads/L-501_DELIVERY_SEAL.jpg</t>
        </is>
      </c>
      <c r="S2" t="inlineStr">
        <is>
          <t>/drivers/DRV-001.jpg</t>
        </is>
      </c>
      <c r="T2" t="inlineStr">
        <is>
          <t>/images/pod/L-501_POD.jpg</t>
        </is>
      </c>
      <c r="U2" t="inlineStr">
        <is>
          <t>/images/pickup/L-501_PICKUP.jpg</t>
        </is>
      </c>
      <c r="V2" t="inlineStr">
        <is>
          <t>/images/delivery/L-501_DELIVERY.jpg</t>
        </is>
      </c>
      <c r="W2" t="inlineStr">
        <is>
          <t>/images/lumper/L-501_LUMPER.jpg</t>
        </is>
      </c>
    </row>
    <row r="3">
      <c r="A3" t="inlineStr">
        <is>
          <t>L-502</t>
        </is>
      </c>
      <c r="B3" t="inlineStr">
        <is>
          <t>DRV-002</t>
        </is>
      </c>
      <c r="C3" t="inlineStr">
        <is>
          <t>Maria Lopez</t>
        </is>
      </c>
      <c r="D3" t="inlineStr">
        <is>
          <t>T-101</t>
        </is>
      </c>
      <c r="E3" s="64" t="n">
        <v>1800</v>
      </c>
      <c r="F3" s="64" t="n">
        <v>95</v>
      </c>
      <c r="G3" t="inlineStr">
        <is>
          <t>IN_TRANSIT</t>
        </is>
      </c>
      <c r="H3" t="inlineStr">
        <is>
          <t>IN_TRANSIT</t>
        </is>
      </c>
      <c r="I3">
        <f>IF(L3="","PENDING",IF(L3&lt;&gt;J3,"MISMATCH","VERIFIED"))</f>
        <v/>
      </c>
      <c r="J3" t="inlineStr">
        <is>
          <t>VERIFIED</t>
        </is>
      </c>
      <c r="K3" t="inlineStr">
        <is>
          <t>NO</t>
        </is>
      </c>
      <c r="L3" t="inlineStr">
        <is>
          <t>CLOSED</t>
        </is>
      </c>
      <c r="M3">
        <f>IF(N3="MISMATCH","SEAL_MISMATCH",IF(OR(K3="",M3=""),"PHOTO_MISSING",""))</f>
        <v/>
      </c>
      <c r="N3" t="inlineStr">
        <is>
          <t>PENDING</t>
        </is>
      </c>
      <c r="O3" t="inlineStr">
        <is>
          <t>/documents/loads/L-502_RC.pdf</t>
        </is>
      </c>
      <c r="P3" t="inlineStr">
        <is>
          <t>/documents/loads/L-502_BOL.pdf</t>
        </is>
      </c>
      <c r="Q3" t="inlineStr">
        <is>
          <t>/documents/loads/L-502_PICKUP_SEAL.jpg</t>
        </is>
      </c>
      <c r="R3" t="inlineStr">
        <is>
          <t>/documents/loads/L-502_DELIVERY_SEAL.jpg</t>
        </is>
      </c>
      <c r="S3" t="inlineStr">
        <is>
          <t>/drivers/DRV-002.jpg</t>
        </is>
      </c>
      <c r="T3" t="inlineStr">
        <is>
          <t>/images/pod/L-502_POD.jpg</t>
        </is>
      </c>
      <c r="U3" t="inlineStr">
        <is>
          <t>/images/pickup/L-502_PICKUP.jpg</t>
        </is>
      </c>
      <c r="V3" t="inlineStr">
        <is>
          <t>/images/delivery/L-502_DELIVERY.jpg</t>
        </is>
      </c>
      <c r="W3" t="inlineStr">
        <is>
          <t>/images/lumper/L-502_LUMPER.jpg</t>
        </is>
      </c>
    </row>
    <row r="4">
      <c r="A4" t="inlineStr">
        <is>
          <t>L-503</t>
        </is>
      </c>
      <c r="B4" t="inlineStr">
        <is>
          <t>DRV-003</t>
        </is>
      </c>
      <c r="C4" t="inlineStr">
        <is>
          <t>Alex Kim</t>
        </is>
      </c>
      <c r="D4" t="inlineStr">
        <is>
          <t>T-107</t>
        </is>
      </c>
      <c r="E4" s="64" t="n">
        <v>2100</v>
      </c>
      <c r="F4" s="64" t="n">
        <v>45</v>
      </c>
      <c r="G4" t="inlineStr">
        <is>
          <t>DELIVERED</t>
        </is>
      </c>
      <c r="H4" t="inlineStr">
        <is>
          <t>DELIVERED</t>
        </is>
      </c>
      <c r="I4">
        <f>IF(L4="","PENDING",IF(L4&lt;&gt;J4,"MISMATCH","VERIFIED"))</f>
        <v/>
      </c>
      <c r="J4" t="inlineStr">
        <is>
          <t>MISSING_DELIVERY_SEAL</t>
        </is>
      </c>
      <c r="K4" t="inlineStr">
        <is>
          <t>YES</t>
        </is>
      </c>
      <c r="L4" t="inlineStr">
        <is>
          <t>OPEN</t>
        </is>
      </c>
      <c r="M4">
        <f>IF(N4="MISMATCH","SEAL_MISMATCH",IF(OR(K4="",M4=""),"PHOTO_MISSING",""))</f>
        <v/>
      </c>
      <c r="N4" t="inlineStr">
        <is>
          <t>READY</t>
        </is>
      </c>
      <c r="O4" t="inlineStr">
        <is>
          <t>/documents/loads/L-503_RC.pdf</t>
        </is>
      </c>
      <c r="P4" t="inlineStr">
        <is>
          <t>/documents/loads/L-503_BOL.pdf</t>
        </is>
      </c>
      <c r="Q4" t="inlineStr">
        <is>
          <t>/documents/loads/L-503_PICKUP_SEAL.jpg</t>
        </is>
      </c>
      <c r="R4" t="inlineStr">
        <is>
          <t>/documents/loads/L-503_DELIVERY_SEAL.jpg</t>
        </is>
      </c>
      <c r="S4" t="inlineStr">
        <is>
          <t>/drivers/DRV-003.jpg</t>
        </is>
      </c>
      <c r="T4" t="inlineStr">
        <is>
          <t>/images/pod/L-503_POD.jpg</t>
        </is>
      </c>
      <c r="U4" t="inlineStr">
        <is>
          <t>/images/pickup/L-503_PICKUP.jpg</t>
        </is>
      </c>
      <c r="V4" t="inlineStr">
        <is>
          <t>/images/delivery/L-503_DELIVERY.jpg</t>
        </is>
      </c>
      <c r="W4" t="inlineStr">
        <is>
          <t>/images/lumper/L-503_LUMPER.jpg</t>
        </is>
      </c>
    </row>
    <row r="5">
      <c r="A5" t="inlineStr">
        <is>
          <t>L-504</t>
        </is>
      </c>
      <c r="B5" t="inlineStr">
        <is>
          <t>DRV-004</t>
        </is>
      </c>
      <c r="C5" t="inlineStr">
        <is>
          <t>Priya Patel</t>
        </is>
      </c>
      <c r="D5" t="inlineStr">
        <is>
          <t>T-108</t>
        </is>
      </c>
      <c r="E5" s="64" t="n">
        <v>1950</v>
      </c>
      <c r="F5" s="64" t="n">
        <v>88</v>
      </c>
      <c r="G5" t="inlineStr">
        <is>
          <t>PENDING</t>
        </is>
      </c>
      <c r="H5" t="inlineStr">
        <is>
          <t>PENDING</t>
        </is>
      </c>
      <c r="I5">
        <f>IF(L5="","PENDING",IF(L5&lt;&gt;J5,"MISMATCH","VERIFIED"))</f>
        <v/>
      </c>
      <c r="J5" t="inlineStr">
        <is>
          <t>SEAL_MISMATCH</t>
        </is>
      </c>
      <c r="K5" t="inlineStr">
        <is>
          <t>YES</t>
        </is>
      </c>
      <c r="L5" t="inlineStr">
        <is>
          <t>OPEN</t>
        </is>
      </c>
      <c r="M5">
        <f>IF(N5="MISMATCH","SEAL_MISMATCH",IF(OR(K5="",M5=""),"PHOTO_MISSING",""))</f>
        <v/>
      </c>
      <c r="N5" t="inlineStr">
        <is>
          <t>PENDING</t>
        </is>
      </c>
      <c r="O5" t="inlineStr">
        <is>
          <t>/documents/loads/L-504_RC.pdf</t>
        </is>
      </c>
      <c r="P5" t="inlineStr">
        <is>
          <t>/documents/loads/L-504_BOL.pdf</t>
        </is>
      </c>
      <c r="Q5" t="inlineStr">
        <is>
          <t>/documents/loads/L-504_PICKUP_SEAL.jpg</t>
        </is>
      </c>
      <c r="R5" t="inlineStr">
        <is>
          <t>/documents/loads/L-504_DELIVERY_SEAL.jpg</t>
        </is>
      </c>
      <c r="S5" t="inlineStr">
        <is>
          <t>/drivers/DRV-004.jpg</t>
        </is>
      </c>
      <c r="T5" t="inlineStr">
        <is>
          <t>/images/pod/L-504_POD.jpg</t>
        </is>
      </c>
      <c r="U5" t="inlineStr">
        <is>
          <t>/images/pickup/L-504_PICKUP.jpg</t>
        </is>
      </c>
      <c r="V5" t="inlineStr">
        <is>
          <t>/images/delivery/L-504_DELIVERY.jpg</t>
        </is>
      </c>
      <c r="W5" t="inlineStr">
        <is>
          <t>/images/lumper/L-504_LUMPER.jpg</t>
        </is>
      </c>
    </row>
    <row r="6">
      <c r="A6" t="inlineStr">
        <is>
          <t>L-505</t>
        </is>
      </c>
      <c r="B6" t="inlineStr">
        <is>
          <t>DRV-005</t>
        </is>
      </c>
      <c r="C6" t="inlineStr">
        <is>
          <t>Kenji Tanaka</t>
        </is>
      </c>
      <c r="D6" t="inlineStr">
        <is>
          <t>T-104</t>
        </is>
      </c>
      <c r="E6" s="64" t="n">
        <v>2200</v>
      </c>
      <c r="F6" s="64" t="n">
        <v>45</v>
      </c>
      <c r="G6" t="inlineStr">
        <is>
          <t>DELIVERED</t>
        </is>
      </c>
      <c r="H6" t="inlineStr">
        <is>
          <t>DELIVERED</t>
        </is>
      </c>
      <c r="I6">
        <f>IF(L6="","PENDING",IF(L6&lt;&gt;J6,"MISMATCH","VERIFIED"))</f>
        <v/>
      </c>
      <c r="J6" t="inlineStr">
        <is>
          <t>VERIFIED</t>
        </is>
      </c>
      <c r="K6" t="inlineStr">
        <is>
          <t>NO</t>
        </is>
      </c>
      <c r="L6" t="inlineStr">
        <is>
          <t>CLOSED</t>
        </is>
      </c>
      <c r="M6">
        <f>IF(N6="MISMATCH","SEAL_MISMATCH",IF(OR(K6="",M6=""),"PHOTO_MISSING",""))</f>
        <v/>
      </c>
      <c r="N6" t="inlineStr">
        <is>
          <t>READY</t>
        </is>
      </c>
      <c r="O6" t="inlineStr">
        <is>
          <t>/documents/loads/L-505_RC.pdf</t>
        </is>
      </c>
      <c r="P6" t="inlineStr">
        <is>
          <t>/documents/loads/L-505_BOL.pdf</t>
        </is>
      </c>
      <c r="Q6" t="inlineStr">
        <is>
          <t>/documents/loads/L-505_PICKUP_SEAL.jpg</t>
        </is>
      </c>
      <c r="R6" t="inlineStr">
        <is>
          <t>/documents/loads/L-505_DELIVERY_SEAL.jpg</t>
        </is>
      </c>
      <c r="S6" t="inlineStr">
        <is>
          <t>/drivers/DRV-005.jpg</t>
        </is>
      </c>
      <c r="T6" t="inlineStr">
        <is>
          <t>/images/pod/L-505_POD.jpg</t>
        </is>
      </c>
      <c r="U6" t="inlineStr">
        <is>
          <t>/images/pickup/L-505_PICKUP.jpg</t>
        </is>
      </c>
      <c r="V6" t="inlineStr">
        <is>
          <t>/images/delivery/L-505_DELIVERY.jpg</t>
        </is>
      </c>
      <c r="W6" t="inlineStr">
        <is>
          <t>/images/lumper/L-505_LUMPER.jpg</t>
        </is>
      </c>
    </row>
    <row r="7">
      <c r="A7" t="inlineStr">
        <is>
          <t>L-506</t>
        </is>
      </c>
      <c r="B7" t="inlineStr">
        <is>
          <t>DRV-006</t>
        </is>
      </c>
      <c r="C7" t="inlineStr">
        <is>
          <t>Marcus Chen</t>
        </is>
      </c>
      <c r="D7" t="inlineStr">
        <is>
          <t>T-103</t>
        </is>
      </c>
      <c r="E7" s="64" t="n">
        <v>2050</v>
      </c>
      <c r="F7" s="64" t="n">
        <v>72</v>
      </c>
      <c r="G7" t="inlineStr">
        <is>
          <t>DELIVERED</t>
        </is>
      </c>
      <c r="H7" t="inlineStr">
        <is>
          <t>DELIVERED</t>
        </is>
      </c>
      <c r="I7">
        <f>IF(L7="","PENDING",IF(L7&lt;&gt;J7,"MISMATCH","VERIFIED"))</f>
        <v/>
      </c>
      <c r="J7" t="inlineStr">
        <is>
          <t>MISSING_DELIVERY_SEAL</t>
        </is>
      </c>
      <c r="K7" t="inlineStr">
        <is>
          <t>YES</t>
        </is>
      </c>
      <c r="L7" t="inlineStr">
        <is>
          <t>OPEN</t>
        </is>
      </c>
      <c r="M7">
        <f>IF(N7="MISMATCH","SEAL_MISMATCH",IF(OR(K7="",M7=""),"PHOTO_MISSING",""))</f>
        <v/>
      </c>
      <c r="N7" t="inlineStr">
        <is>
          <t>READY</t>
        </is>
      </c>
      <c r="O7" t="inlineStr">
        <is>
          <t>/documents/loads/L-506_RC.pdf</t>
        </is>
      </c>
      <c r="P7" t="inlineStr">
        <is>
          <t>/documents/loads/L-506_BOL.pdf</t>
        </is>
      </c>
      <c r="Q7" t="inlineStr">
        <is>
          <t>/documents/loads/L-506_PICKUP_SEAL.jpg</t>
        </is>
      </c>
      <c r="R7" t="inlineStr">
        <is>
          <t>/documents/loads/L-506_DELIVERY_SEAL.jpg</t>
        </is>
      </c>
      <c r="S7" t="inlineStr">
        <is>
          <t>/drivers/DRV-006.jpg</t>
        </is>
      </c>
      <c r="T7" t="inlineStr">
        <is>
          <t>/images/pod/L-506_POD.jpg</t>
        </is>
      </c>
      <c r="U7" t="inlineStr">
        <is>
          <t>/images/pickup/L-506_PICKUP.jpg</t>
        </is>
      </c>
      <c r="V7" t="inlineStr">
        <is>
          <t>/images/delivery/L-506_DELIVERY.jpg</t>
        </is>
      </c>
      <c r="W7" t="inlineStr">
        <is>
          <t>/images/lumper/L-506_LUMPER.jpg</t>
        </is>
      </c>
    </row>
    <row r="8">
      <c r="A8" t="inlineStr">
        <is>
          <t>L-507</t>
        </is>
      </c>
      <c r="B8" t="inlineStr">
        <is>
          <t>DRV-007</t>
        </is>
      </c>
      <c r="C8" t="inlineStr">
        <is>
          <t>Sofia Gomez</t>
        </is>
      </c>
      <c r="D8" t="inlineStr">
        <is>
          <t>T-109</t>
        </is>
      </c>
      <c r="E8" s="64" t="n">
        <v>2300</v>
      </c>
      <c r="F8" s="64" t="n">
        <v>58</v>
      </c>
      <c r="G8" t="inlineStr">
        <is>
          <t>IN_TRANSIT</t>
        </is>
      </c>
      <c r="H8" t="inlineStr">
        <is>
          <t>IN_TRANSIT</t>
        </is>
      </c>
      <c r="I8">
        <f>IF(L8="","PENDING",IF(L8&lt;&gt;J8,"MISMATCH","VERIFIED"))</f>
        <v/>
      </c>
      <c r="J8" t="inlineStr">
        <is>
          <t>SEAL_MISMATCH</t>
        </is>
      </c>
      <c r="K8" t="inlineStr">
        <is>
          <t>YES</t>
        </is>
      </c>
      <c r="L8" t="inlineStr">
        <is>
          <t>OPEN</t>
        </is>
      </c>
      <c r="M8">
        <f>IF(N8="MISMATCH","SEAL_MISMATCH",IF(OR(K8="",M8=""),"PHOTO_MISSING",""))</f>
        <v/>
      </c>
      <c r="N8" t="inlineStr">
        <is>
          <t>PENDING</t>
        </is>
      </c>
      <c r="O8" t="inlineStr">
        <is>
          <t>/documents/loads/L-507_RC.pdf</t>
        </is>
      </c>
      <c r="P8" t="inlineStr">
        <is>
          <t>/documents/loads/L-507_BOL.pdf</t>
        </is>
      </c>
      <c r="Q8" t="inlineStr">
        <is>
          <t>/documents/loads/L-507_PICKUP_SEAL.jpg</t>
        </is>
      </c>
      <c r="R8" t="inlineStr">
        <is>
          <t>/documents/loads/L-507_DELIVERY_SEAL.jpg</t>
        </is>
      </c>
      <c r="S8" t="inlineStr">
        <is>
          <t>/drivers/DRV-007.jpg</t>
        </is>
      </c>
      <c r="T8" t="inlineStr">
        <is>
          <t>/images/pod/L-507_POD.jpg</t>
        </is>
      </c>
      <c r="U8" t="inlineStr">
        <is>
          <t>/images/pickup/L-507_PICKUP.jpg</t>
        </is>
      </c>
      <c r="V8" t="inlineStr">
        <is>
          <t>/images/delivery/L-507_DELIVERY.jpg</t>
        </is>
      </c>
      <c r="W8" t="inlineStr">
        <is>
          <t>/images/lumper/L-507_LUMPER.jpg</t>
        </is>
      </c>
    </row>
    <row r="9">
      <c r="A9" t="inlineStr">
        <is>
          <t>L-508</t>
        </is>
      </c>
      <c r="B9" t="inlineStr">
        <is>
          <t>DRV-008</t>
        </is>
      </c>
      <c r="C9" t="inlineStr">
        <is>
          <t>Liam Smith</t>
        </is>
      </c>
      <c r="D9" t="inlineStr">
        <is>
          <t>T-110</t>
        </is>
      </c>
      <c r="E9" s="64" t="n">
        <v>1750</v>
      </c>
      <c r="F9" s="64" t="n">
        <v>81</v>
      </c>
      <c r="G9" t="inlineStr">
        <is>
          <t>DELIVERED</t>
        </is>
      </c>
      <c r="H9" t="inlineStr">
        <is>
          <t>DELIVERED</t>
        </is>
      </c>
      <c r="I9">
        <f>IF(L9="","PENDING",IF(L9&lt;&gt;J9,"MISMATCH","VERIFIED"))</f>
        <v/>
      </c>
      <c r="J9" t="inlineStr">
        <is>
          <t>VERIFIED</t>
        </is>
      </c>
      <c r="K9" t="inlineStr">
        <is>
          <t>NO</t>
        </is>
      </c>
      <c r="L9" t="inlineStr">
        <is>
          <t>CLOSED</t>
        </is>
      </c>
      <c r="M9">
        <f>IF(N9="MISMATCH","SEAL_MISMATCH",IF(OR(K9="",M9=""),"PHOTO_MISSING",""))</f>
        <v/>
      </c>
      <c r="N9" t="inlineStr">
        <is>
          <t>READY</t>
        </is>
      </c>
      <c r="O9" t="inlineStr">
        <is>
          <t>/documents/loads/L-508_RC.pdf</t>
        </is>
      </c>
      <c r="P9" t="inlineStr">
        <is>
          <t>/documents/loads/L-508_BOL.pdf</t>
        </is>
      </c>
      <c r="Q9" t="inlineStr">
        <is>
          <t>/documents/loads/L-508_PICKUP_SEAL.jpg</t>
        </is>
      </c>
      <c r="R9" t="inlineStr">
        <is>
          <t>/documents/loads/L-508_DELIVERY_SEAL.jpg</t>
        </is>
      </c>
      <c r="S9" t="inlineStr">
        <is>
          <t>/drivers/DRV-008.jpg</t>
        </is>
      </c>
      <c r="T9" t="inlineStr">
        <is>
          <t>/images/pod/L-508_POD.jpg</t>
        </is>
      </c>
      <c r="U9" t="inlineStr">
        <is>
          <t>/images/pickup/L-508_PICKUP.jpg</t>
        </is>
      </c>
      <c r="V9" t="inlineStr">
        <is>
          <t>/images/delivery/L-508_DELIVERY.jpg</t>
        </is>
      </c>
      <c r="W9" t="inlineStr">
        <is>
          <t>/images/lumper/L-508_LUMPER.jpg</t>
        </is>
      </c>
    </row>
    <row r="10">
      <c r="A10" t="inlineStr">
        <is>
          <t>L-509</t>
        </is>
      </c>
      <c r="B10" t="inlineStr">
        <is>
          <t>DRV-009</t>
        </is>
      </c>
      <c r="C10" t="inlineStr">
        <is>
          <t>Emma Brown</t>
        </is>
      </c>
      <c r="D10" t="inlineStr">
        <is>
          <t>T-111</t>
        </is>
      </c>
      <c r="E10" s="64" t="n">
        <v>2400</v>
      </c>
      <c r="F10" s="64" t="n">
        <v>49</v>
      </c>
      <c r="G10" t="inlineStr">
        <is>
          <t>PENDING</t>
        </is>
      </c>
      <c r="H10" t="inlineStr">
        <is>
          <t>PENDING</t>
        </is>
      </c>
      <c r="I10">
        <f>IF(L10="","PENDING",IF(L10&lt;&gt;J10,"MISMATCH","VERIFIED"))</f>
        <v/>
      </c>
      <c r="J10" t="inlineStr">
        <is>
          <t>SEAL_MISMATCH</t>
        </is>
      </c>
      <c r="K10" t="inlineStr">
        <is>
          <t>YES</t>
        </is>
      </c>
      <c r="L10" t="inlineStr">
        <is>
          <t>OPEN</t>
        </is>
      </c>
      <c r="M10">
        <f>IF(N10="MISMATCH","SEAL_MISMATCH",IF(OR(K10="",M10=""),"PHOTO_MISSING",""))</f>
        <v/>
      </c>
      <c r="N10" t="inlineStr">
        <is>
          <t>PENDING</t>
        </is>
      </c>
      <c r="O10" t="inlineStr">
        <is>
          <t>/documents/loads/L-509_RC.pdf</t>
        </is>
      </c>
      <c r="P10" t="inlineStr">
        <is>
          <t>/documents/loads/L-509_BOL.pdf</t>
        </is>
      </c>
      <c r="Q10" t="inlineStr">
        <is>
          <t>/documents/loads/L-509_PICKUP_SEAL.jpg</t>
        </is>
      </c>
      <c r="R10" t="inlineStr">
        <is>
          <t>/documents/loads/L-509_DELIVERY_SEAL.jpg</t>
        </is>
      </c>
      <c r="S10" t="inlineStr">
        <is>
          <t>/drivers/DRV-009.jpg</t>
        </is>
      </c>
      <c r="T10" t="inlineStr">
        <is>
          <t>/images/pod/L-509_POD.jpg</t>
        </is>
      </c>
      <c r="U10" t="inlineStr">
        <is>
          <t>/images/pickup/L-509_PICKUP.jpg</t>
        </is>
      </c>
      <c r="V10" t="inlineStr">
        <is>
          <t>/images/delivery/L-509_DELIVERY.jpg</t>
        </is>
      </c>
      <c r="W10" t="inlineStr">
        <is>
          <t>/images/lumper/L-509_LUMPER.jpg</t>
        </is>
      </c>
    </row>
    <row r="11">
      <c r="A11" t="inlineStr">
        <is>
          <t>L-510</t>
        </is>
      </c>
      <c r="B11" t="inlineStr">
        <is>
          <t>DRV-010</t>
        </is>
      </c>
      <c r="C11" t="inlineStr">
        <is>
          <t>Noah Wilson</t>
        </is>
      </c>
      <c r="D11" t="inlineStr">
        <is>
          <t>T-105</t>
        </is>
      </c>
      <c r="E11" s="64" t="n">
        <v>1900</v>
      </c>
      <c r="F11" s="64" t="n">
        <v>77</v>
      </c>
      <c r="G11" t="inlineStr">
        <is>
          <t>DELIVERED</t>
        </is>
      </c>
      <c r="H11" t="inlineStr">
        <is>
          <t>DELIVERED</t>
        </is>
      </c>
      <c r="I11">
        <f>IF(L11="","PENDING",IF(L11&lt;&gt;J11,"MISMATCH","VERIFIED"))</f>
        <v/>
      </c>
      <c r="J11" t="inlineStr">
        <is>
          <t>MISSING_DELIVERY_SEAL</t>
        </is>
      </c>
      <c r="K11" t="inlineStr">
        <is>
          <t>YES</t>
        </is>
      </c>
      <c r="L11" t="inlineStr">
        <is>
          <t>OPEN</t>
        </is>
      </c>
      <c r="M11">
        <f>IF(N11="MISMATCH","SEAL_MISMATCH",IF(OR(K11="",M11=""),"PHOTO_MISSING",""))</f>
        <v/>
      </c>
      <c r="N11" t="inlineStr">
        <is>
          <t>READY</t>
        </is>
      </c>
      <c r="O11" t="inlineStr">
        <is>
          <t>/documents/loads/L-510_RC.pdf</t>
        </is>
      </c>
      <c r="P11" t="inlineStr">
        <is>
          <t>/documents/loads/L-510_BOL.pdf</t>
        </is>
      </c>
      <c r="Q11" t="inlineStr">
        <is>
          <t>/documents/loads/L-510_PICKUP_SEAL.jpg</t>
        </is>
      </c>
      <c r="R11" t="inlineStr">
        <is>
          <t>/documents/loads/L-510_DELIVERY_SEAL.jpg</t>
        </is>
      </c>
      <c r="S11" t="inlineStr">
        <is>
          <t>/drivers/DRV-010.jpg</t>
        </is>
      </c>
      <c r="T11" t="inlineStr">
        <is>
          <t>/images/pod/L-510_POD.jpg</t>
        </is>
      </c>
      <c r="U11" t="inlineStr">
        <is>
          <t>/images/pickup/L-510_PICKUP.jpg</t>
        </is>
      </c>
      <c r="V11" t="inlineStr">
        <is>
          <t>/images/delivery/L-510_DELIVERY.jpg</t>
        </is>
      </c>
      <c r="W11" t="inlineStr">
        <is>
          <t>/images/lumper/L-510_LUMPER.jpg</t>
        </is>
      </c>
    </row>
    <row r="12">
      <c r="A12" t="inlineStr">
        <is>
          <t>L-511</t>
        </is>
      </c>
      <c r="B12" t="inlineStr">
        <is>
          <t>DRV-011</t>
        </is>
      </c>
      <c r="C12" t="inlineStr">
        <is>
          <t>Olivia Lee</t>
        </is>
      </c>
      <c r="D12" t="inlineStr">
        <is>
          <t>T-112</t>
        </is>
      </c>
      <c r="E12" s="64" t="n">
        <v>2250</v>
      </c>
      <c r="F12" s="64" t="n">
        <v>63</v>
      </c>
      <c r="G12" t="inlineStr">
        <is>
          <t>IN_TRANSIT</t>
        </is>
      </c>
      <c r="H12" t="inlineStr">
        <is>
          <t>IN_TRANSIT</t>
        </is>
      </c>
      <c r="I12">
        <f>IF(L12="","PENDING",IF(L12&lt;&gt;J12,"MISMATCH","VERIFIED"))</f>
        <v/>
      </c>
      <c r="J12" t="inlineStr">
        <is>
          <t>VERIFIED</t>
        </is>
      </c>
      <c r="K12" t="inlineStr">
        <is>
          <t>NO</t>
        </is>
      </c>
      <c r="L12" t="inlineStr">
        <is>
          <t>CLOSED</t>
        </is>
      </c>
      <c r="M12">
        <f>IF(N12="MISMATCH","SEAL_MISMATCH",IF(OR(K12="",M12=""),"PHOTO_MISSING",""))</f>
        <v/>
      </c>
      <c r="N12" t="inlineStr">
        <is>
          <t>PENDING</t>
        </is>
      </c>
      <c r="O12" t="inlineStr">
        <is>
          <t>/documents/loads/L-511_RC.pdf</t>
        </is>
      </c>
      <c r="P12" t="inlineStr">
        <is>
          <t>/documents/loads/L-511_BOL.pdf</t>
        </is>
      </c>
      <c r="Q12" t="inlineStr">
        <is>
          <t>/documents/loads/L-511_PICKUP_SEAL.jpg</t>
        </is>
      </c>
      <c r="R12" t="inlineStr">
        <is>
          <t>/documents/loads/L-511_DELIVERY_SEAL.jpg</t>
        </is>
      </c>
      <c r="S12" t="inlineStr">
        <is>
          <t>/drivers/DRV-011.jpg</t>
        </is>
      </c>
      <c r="T12" t="inlineStr">
        <is>
          <t>/images/pod/L-511_POD.jpg</t>
        </is>
      </c>
      <c r="U12" t="inlineStr">
        <is>
          <t>/images/pickup/L-511_PICKUP.jpg</t>
        </is>
      </c>
      <c r="V12" t="inlineStr">
        <is>
          <t>/images/delivery/L-511_DELIVERY.jpg</t>
        </is>
      </c>
      <c r="W12" t="inlineStr">
        <is>
          <t>/images/lumper/L-511_LUMPER.jpg</t>
        </is>
      </c>
    </row>
    <row r="13">
      <c r="A13" t="inlineStr">
        <is>
          <t>L-512</t>
        </is>
      </c>
      <c r="B13" t="inlineStr">
        <is>
          <t>DRV-012</t>
        </is>
      </c>
      <c r="D13" t="inlineStr">
        <is>
          <t>T-106</t>
        </is>
      </c>
      <c r="E13" s="64" t="n">
        <v>2150</v>
      </c>
      <c r="F13" s="64" t="n">
        <v>69</v>
      </c>
      <c r="G13" t="inlineStr">
        <is>
          <t>DELIVERED</t>
        </is>
      </c>
      <c r="H13" t="inlineStr">
        <is>
          <t>DELIVERED</t>
        </is>
      </c>
      <c r="I13">
        <f>IF(L13="","PENDING",IF(L13&lt;&gt;J13,"MISMATCH","VERIFIED"))</f>
        <v/>
      </c>
      <c r="J13" t="inlineStr">
        <is>
          <t>SEAL_MISMATCH</t>
        </is>
      </c>
      <c r="K13" t="inlineStr">
        <is>
          <t>YES</t>
        </is>
      </c>
      <c r="L13" t="inlineStr">
        <is>
          <t>OPEN</t>
        </is>
      </c>
      <c r="M13">
        <f>IF(N13="MISMATCH","SEAL_MISMATCH",IF(OR(K13="",M13=""),"PHOTO_MISSING",""))</f>
        <v/>
      </c>
      <c r="N13" t="inlineStr">
        <is>
          <t>READY</t>
        </is>
      </c>
      <c r="O13" t="inlineStr">
        <is>
          <t>/documents/loads/L-512_RC.pdf</t>
        </is>
      </c>
      <c r="P13" t="inlineStr">
        <is>
          <t>/documents/loads/L-512_BOL.pdf</t>
        </is>
      </c>
      <c r="Q13" t="inlineStr">
        <is>
          <t>/documents/loads/L-512_PICKUP_SEAL.jpg</t>
        </is>
      </c>
      <c r="R13" t="inlineStr">
        <is>
          <t>/documents/loads/L-512_DELIVERY_SEAL.jpg</t>
        </is>
      </c>
      <c r="S13" t="inlineStr">
        <is>
          <t>/drivers/DRV-012.jpg</t>
        </is>
      </c>
      <c r="T13" t="inlineStr">
        <is>
          <t>/images/pod/L-512_POD.jpg</t>
        </is>
      </c>
      <c r="U13" t="inlineStr">
        <is>
          <t>/images/pickup/L-512_PICKUP.jpg</t>
        </is>
      </c>
      <c r="V13" t="inlineStr">
        <is>
          <t>/images/delivery/L-512_DELIVERY.jpg</t>
        </is>
      </c>
      <c r="W13" t="inlineStr">
        <is>
          <t>/images/lumper/L-512_LUMPER.jpg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0" customWidth="1" style="24" min="1" max="1"/>
    <col width="11" customWidth="1" style="24" min="2" max="2"/>
    <col width="13" customWidth="1" style="24" min="3" max="3"/>
    <col width="22" customWidth="1" style="24" min="4" max="4"/>
    <col width="15" customWidth="1" style="24" min="5" max="5"/>
    <col width="10" customWidth="1" style="24" min="6" max="6"/>
    <col width="10" customWidth="1" style="24" min="7" max="7"/>
    <col width="21" customWidth="1" style="24" min="8" max="8"/>
    <col width="10" customWidth="1" style="24" min="9" max="9"/>
    <col width="25" customWidth="1" style="24" min="10" max="10"/>
    <col width="28" customWidth="1" style="24" min="11" max="11"/>
    <col width="15" customWidth="1" style="24" min="12" max="12"/>
    <col width="19" customWidth="1" style="24" min="13" max="13"/>
  </cols>
  <sheetData>
    <row r="1">
      <c r="A1" s="66" t="inlineStr">
        <is>
          <t>Event ID</t>
        </is>
      </c>
      <c r="B1" s="66" t="inlineStr">
        <is>
          <t>Driver ID</t>
        </is>
      </c>
      <c r="C1" s="66" t="inlineStr">
        <is>
          <t>Driver Name</t>
        </is>
      </c>
      <c r="D1" s="66" t="inlineStr">
        <is>
          <t>Driver Photo URL</t>
        </is>
      </c>
      <c r="E1" s="66" t="inlineStr">
        <is>
          <t>Event Type</t>
        </is>
      </c>
      <c r="F1" s="66" t="inlineStr">
        <is>
          <t>Severity</t>
        </is>
      </c>
      <c r="G1" s="66" t="inlineStr">
        <is>
          <t>Status</t>
        </is>
      </c>
      <c r="H1" s="66" t="inlineStr">
        <is>
          <t>Timestamp</t>
        </is>
      </c>
      <c r="I1" s="66" t="inlineStr">
        <is>
          <t>Unit</t>
        </is>
      </c>
      <c r="J1" s="66" t="inlineStr">
        <is>
          <t>Location</t>
        </is>
      </c>
      <c r="K1" s="66" t="inlineStr">
        <is>
          <t>Details</t>
        </is>
      </c>
      <c r="L1" s="66" t="inlineStr">
        <is>
          <t>Export Status</t>
        </is>
      </c>
      <c r="M1" s="66" t="inlineStr">
        <is>
          <t>Event Photo URL</t>
        </is>
      </c>
    </row>
    <row r="2">
      <c r="A2" t="inlineStr">
        <is>
          <t>EVT-001</t>
        </is>
      </c>
      <c r="B2" t="inlineStr">
        <is>
          <t>DRV-010</t>
        </is>
      </c>
      <c r="C2" t="inlineStr">
        <is>
          <t>Noah Wilson</t>
        </is>
      </c>
      <c r="D2" t="inlineStr">
        <is>
          <t>/drivers/DRV-010.jpg</t>
        </is>
      </c>
      <c r="E2" t="inlineStr">
        <is>
          <t>HOS Violation</t>
        </is>
      </c>
      <c r="F2" t="inlineStr">
        <is>
          <t>CRITICAL</t>
        </is>
      </c>
      <c r="G2" t="inlineStr">
        <is>
          <t>OPEN</t>
        </is>
      </c>
      <c r="H2" s="65" t="n">
        <v>46103.34305555555</v>
      </c>
      <c r="I2" t="inlineStr">
        <is>
          <t>T-110</t>
        </is>
      </c>
      <c r="J2" t="inlineStr">
        <is>
          <t>I-40 near Nashville, TN</t>
        </is>
      </c>
      <c r="K2" t="inlineStr">
        <is>
          <t>Exceeded 11-hour driving limit</t>
        </is>
      </c>
      <c r="L2" t="inlineStr">
        <is>
          <t>READY</t>
        </is>
      </c>
      <c r="M2" t="inlineStr">
        <is>
          <t>/images/safety/EVT-001.jpg</t>
        </is>
      </c>
    </row>
    <row r="3">
      <c r="A3" t="inlineStr">
        <is>
          <t>EVT-002</t>
        </is>
      </c>
      <c r="B3" t="inlineStr">
        <is>
          <t>DRV-006</t>
        </is>
      </c>
      <c r="C3" t="inlineStr">
        <is>
          <t>Marcus Chen</t>
        </is>
      </c>
      <c r="D3" t="inlineStr">
        <is>
          <t>/drivers/DRV-006.jpg</t>
        </is>
      </c>
      <c r="E3" t="inlineStr">
        <is>
          <t>Harsh Braking</t>
        </is>
      </c>
      <c r="F3" t="inlineStr">
        <is>
          <t>WARNING</t>
        </is>
      </c>
      <c r="G3" t="inlineStr">
        <is>
          <t>OPEN</t>
        </is>
      </c>
      <c r="H3" s="65" t="n">
        <v>46103.43819444445</v>
      </c>
      <c r="I3" t="inlineStr">
        <is>
          <t>T-111</t>
        </is>
      </c>
      <c r="J3" t="inlineStr">
        <is>
          <t>Mile Marker 212</t>
        </is>
      </c>
      <c r="K3" t="inlineStr">
        <is>
          <t>Sudden hard stop detected</t>
        </is>
      </c>
      <c r="L3" t="inlineStr">
        <is>
          <t>READY</t>
        </is>
      </c>
      <c r="M3" t="inlineStr">
        <is>
          <t>/images/safety/EVT-002.jpg</t>
        </is>
      </c>
    </row>
    <row r="4">
      <c r="A4" t="inlineStr">
        <is>
          <t>EVT-003</t>
        </is>
      </c>
      <c r="B4" t="inlineStr">
        <is>
          <t>DRV-004</t>
        </is>
      </c>
      <c r="C4" t="inlineStr">
        <is>
          <t>Priya Patel</t>
        </is>
      </c>
      <c r="D4" t="inlineStr">
        <is>
          <t>/drivers/DRV-004.jpg</t>
        </is>
      </c>
      <c r="E4" t="inlineStr">
        <is>
          <t>Speeding</t>
        </is>
      </c>
      <c r="F4" t="inlineStr">
        <is>
          <t>CRITICAL</t>
        </is>
      </c>
      <c r="G4" t="inlineStr">
        <is>
          <t>OPEN</t>
        </is>
      </c>
      <c r="H4" s="65" t="n">
        <v>46103.45972222222</v>
      </c>
      <c r="I4" t="inlineStr">
        <is>
          <t>T-108</t>
        </is>
      </c>
      <c r="J4" t="inlineStr">
        <is>
          <t>Memphis, TN</t>
        </is>
      </c>
      <c r="K4" t="inlineStr">
        <is>
          <t>78 MPH in 55 MPH zone</t>
        </is>
      </c>
      <c r="L4" t="inlineStr">
        <is>
          <t>READY</t>
        </is>
      </c>
      <c r="M4" t="inlineStr">
        <is>
          <t>/images/safety/EVT-003.jpg</t>
        </is>
      </c>
    </row>
    <row r="5">
      <c r="A5" t="inlineStr">
        <is>
          <t>EVT-004</t>
        </is>
      </c>
      <c r="B5" t="inlineStr">
        <is>
          <t>DRV-002</t>
        </is>
      </c>
      <c r="C5" t="inlineStr">
        <is>
          <t>Maria Lopez</t>
        </is>
      </c>
      <c r="D5" t="inlineStr">
        <is>
          <t>/drivers/DRV-002.jpg</t>
        </is>
      </c>
      <c r="E5" t="inlineStr">
        <is>
          <t>Geofence Exit</t>
        </is>
      </c>
      <c r="F5" t="inlineStr">
        <is>
          <t>WARNING</t>
        </is>
      </c>
      <c r="G5" t="inlineStr">
        <is>
          <t>REVIEWED</t>
        </is>
      </c>
      <c r="H5" s="65" t="n">
        <v>46103.49166666667</v>
      </c>
      <c r="I5" t="inlineStr">
        <is>
          <t>T-101</t>
        </is>
      </c>
      <c r="J5" t="inlineStr">
        <is>
          <t>Cleveland Yard</t>
        </is>
      </c>
      <c r="K5" t="inlineStr">
        <is>
          <t>Exited designated yard area</t>
        </is>
      </c>
      <c r="L5" t="inlineStr">
        <is>
          <t>READY</t>
        </is>
      </c>
      <c r="M5" t="inlineStr">
        <is>
          <t>/images/safety/EVT-004.jpg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style="24" min="1" max="1"/>
    <col width="11" customWidth="1" style="24" min="2" max="2"/>
    <col width="13" customWidth="1" style="24" min="3" max="3"/>
    <col width="22" customWidth="1" style="24" min="4" max="4"/>
    <col width="23" customWidth="1" style="24" min="5" max="5"/>
    <col width="10" customWidth="1" style="24" min="6" max="6"/>
    <col width="10" customWidth="1" style="24" min="7" max="7"/>
    <col width="21" customWidth="1" style="24" min="8" max="8"/>
    <col width="28" customWidth="1" style="24" min="9" max="9"/>
    <col width="15" customWidth="1" style="24" min="10" max="10"/>
    <col width="22" customWidth="1" style="24" min="11" max="11"/>
  </cols>
  <sheetData>
    <row r="1">
      <c r="A1" s="66" t="inlineStr">
        <is>
          <t>Event ID</t>
        </is>
      </c>
      <c r="B1" s="66" t="inlineStr">
        <is>
          <t>Driver ID</t>
        </is>
      </c>
      <c r="C1" s="66" t="inlineStr">
        <is>
          <t>Driver Name</t>
        </is>
      </c>
      <c r="D1" s="66" t="inlineStr">
        <is>
          <t>Driver Photo URL</t>
        </is>
      </c>
      <c r="E1" s="66" t="inlineStr">
        <is>
          <t>Event Type</t>
        </is>
      </c>
      <c r="F1" s="66" t="inlineStr">
        <is>
          <t>Severity</t>
        </is>
      </c>
      <c r="G1" s="66" t="inlineStr">
        <is>
          <t>Status</t>
        </is>
      </c>
      <c r="H1" s="66" t="inlineStr">
        <is>
          <t>Due Date</t>
        </is>
      </c>
      <c r="I1" s="66" t="inlineStr">
        <is>
          <t>Details</t>
        </is>
      </c>
      <c r="J1" s="66" t="inlineStr">
        <is>
          <t>Export Status</t>
        </is>
      </c>
      <c r="K1" s="66" t="inlineStr">
        <is>
          <t>Evidence Image URL</t>
        </is>
      </c>
    </row>
    <row r="2">
      <c r="A2" t="inlineStr">
        <is>
          <t>CMP-001</t>
        </is>
      </c>
      <c r="B2" t="inlineStr">
        <is>
          <t>DRV-002</t>
        </is>
      </c>
      <c r="C2" t="inlineStr">
        <is>
          <t>Maria Lopez</t>
        </is>
      </c>
      <c r="D2" t="inlineStr">
        <is>
          <t>/drivers/DRV-002.jpg</t>
        </is>
      </c>
      <c r="E2" t="inlineStr">
        <is>
          <t>Medical Card Expiring</t>
        </is>
      </c>
      <c r="F2" t="inlineStr">
        <is>
          <t>DUE_SOON</t>
        </is>
      </c>
      <c r="G2" t="inlineStr">
        <is>
          <t>OPEN</t>
        </is>
      </c>
      <c r="H2" s="63" t="n">
        <v>46115</v>
      </c>
      <c r="I2" t="inlineStr">
        <is>
          <t>Expires in 12 days</t>
        </is>
      </c>
      <c r="J2" t="inlineStr">
        <is>
          <t>READY</t>
        </is>
      </c>
      <c r="K2" t="inlineStr">
        <is>
          <t>/images/compliance/DRV-002_MEDICAL_CARD_EXPIRING.jpg</t>
        </is>
      </c>
    </row>
    <row r="3">
      <c r="A3" t="inlineStr">
        <is>
          <t>CMP-002</t>
        </is>
      </c>
      <c r="B3" t="inlineStr">
        <is>
          <t>DRV-009</t>
        </is>
      </c>
      <c r="C3" t="inlineStr">
        <is>
          <t>Emma Brown</t>
        </is>
      </c>
      <c r="D3" t="inlineStr">
        <is>
          <t>/drivers/DRV-009.jpg</t>
        </is>
      </c>
      <c r="E3" t="inlineStr">
        <is>
          <t>Medical Card Expiring</t>
        </is>
      </c>
      <c r="F3" t="inlineStr">
        <is>
          <t>DUE_SOON</t>
        </is>
      </c>
      <c r="G3" t="inlineStr">
        <is>
          <t>OPEN</t>
        </is>
      </c>
      <c r="H3" s="63" t="n">
        <v>46111</v>
      </c>
      <c r="I3" t="inlineStr">
        <is>
          <t>Expires in 8 days</t>
        </is>
      </c>
      <c r="J3" t="inlineStr">
        <is>
          <t>READY</t>
        </is>
      </c>
      <c r="K3" t="inlineStr">
        <is>
          <t>/images/compliance/DRV-009_MEDICAL_CARD_EXPIRING.jpg</t>
        </is>
      </c>
    </row>
    <row r="4">
      <c r="A4" t="inlineStr">
        <is>
          <t>CMP-003</t>
        </is>
      </c>
      <c r="B4" t="inlineStr">
        <is>
          <t>DRV-004</t>
        </is>
      </c>
      <c r="C4" t="inlineStr">
        <is>
          <t>Priya Patel</t>
        </is>
      </c>
      <c r="D4" t="inlineStr">
        <is>
          <t>/drivers/DRV-004.jpg</t>
        </is>
      </c>
      <c r="E4" t="inlineStr">
        <is>
          <t>MVR Review Required</t>
        </is>
      </c>
      <c r="F4" t="inlineStr">
        <is>
          <t>CRITICAL</t>
        </is>
      </c>
      <c r="G4" t="inlineStr">
        <is>
          <t>OPEN</t>
        </is>
      </c>
      <c r="H4" s="63" t="n">
        <v>46105</v>
      </c>
      <c r="I4" t="inlineStr">
        <is>
          <t>Recent event requires manager review</t>
        </is>
      </c>
      <c r="J4" t="inlineStr">
        <is>
          <t>READY</t>
        </is>
      </c>
      <c r="K4" t="inlineStr">
        <is>
          <t>/images/compliance/DRV-004_MVR_REVIEW_REQUIRED.jpg</t>
        </is>
      </c>
    </row>
    <row r="5">
      <c r="A5" t="inlineStr">
        <is>
          <t>CMP-004</t>
        </is>
      </c>
      <c r="B5" t="inlineStr">
        <is>
          <t>DRV-010</t>
        </is>
      </c>
      <c r="C5" t="inlineStr">
        <is>
          <t>Noah Wilson</t>
        </is>
      </c>
      <c r="D5" t="inlineStr">
        <is>
          <t>/drivers/DRV-010.jpg</t>
        </is>
      </c>
      <c r="E5" t="inlineStr">
        <is>
          <t>MVR Review Required</t>
        </is>
      </c>
      <c r="F5" t="inlineStr">
        <is>
          <t>CRITICAL</t>
        </is>
      </c>
      <c r="G5" t="inlineStr">
        <is>
          <t>OPEN</t>
        </is>
      </c>
      <c r="H5" s="63" t="n">
        <v>46105</v>
      </c>
      <c r="I5" t="inlineStr">
        <is>
          <t>Violation linked to safety event</t>
        </is>
      </c>
      <c r="J5" t="inlineStr">
        <is>
          <t>READY</t>
        </is>
      </c>
      <c r="K5" t="inlineStr">
        <is>
          <t>/images/compliance/DRV-010_MVR_REVIEW_REQUIRED.jpg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cols>
    <col width="24" customWidth="1" style="24" min="1" max="1"/>
    <col width="24" customWidth="1" style="24" min="2" max="2"/>
    <col width="24" customWidth="1" style="24" min="3" max="3"/>
    <col width="24" customWidth="1" style="24" min="4" max="4"/>
    <col width="24" customWidth="1" style="24" min="5" max="5"/>
    <col width="34" customWidth="1" style="24" min="6" max="6"/>
    <col width="20" customWidth="1" style="24" min="7" max="7"/>
    <col width="24" customWidth="1" style="24" min="8" max="8"/>
    <col width="21" customWidth="1" style="24" min="9" max="9"/>
  </cols>
  <sheetData>
    <row r="1">
      <c r="A1" s="66" t="inlineStr">
        <is>
          <t>Driver ID</t>
        </is>
      </c>
      <c r="B1" s="66" t="inlineStr">
        <is>
          <t>Full Name</t>
        </is>
      </c>
      <c r="C1" s="66" t="inlineStr">
        <is>
          <t>Standard Doc Type</t>
        </is>
      </c>
      <c r="D1" s="66" t="inlineStr">
        <is>
          <t>Doc Status</t>
        </is>
      </c>
      <c r="E1" s="66" t="inlineStr">
        <is>
          <t>Expiration Date</t>
        </is>
      </c>
      <c r="F1" s="66" t="inlineStr">
        <is>
          <t>Document URL</t>
        </is>
      </c>
      <c r="G1" s="66" t="inlineStr">
        <is>
          <t>Driver Photo URL</t>
        </is>
      </c>
      <c r="H1" s="66" t="inlineStr">
        <is>
          <t>Export Key</t>
        </is>
      </c>
      <c r="I1" s="66" t="inlineStr">
        <is>
          <t>Preview Image URL</t>
        </is>
      </c>
    </row>
    <row r="2">
      <c r="A2" t="inlineStr">
        <is>
          <t>DRV-001</t>
        </is>
      </c>
      <c r="B2" t="inlineStr">
        <is>
          <t>John Carter</t>
        </is>
      </c>
      <c r="C2" t="inlineStr">
        <is>
          <t>CDL</t>
        </is>
      </c>
      <c r="D2">
        <f>IF(G2="","MISSING_DATE",IF(G2&lt;TODAY(),"EXPIRED",IF(G2&lt;=TODAY()+30,"EXPIRING_SOON","VALID")))</f>
        <v/>
      </c>
      <c r="E2" s="55" t="n">
        <v>46259</v>
      </c>
      <c r="F2" t="inlineStr">
        <is>
          <t>/documents/drivers/DRV-001_CDL.pdf</t>
        </is>
      </c>
      <c r="G2" t="inlineStr">
        <is>
          <t>/drivers/DRV-001.jpg</t>
        </is>
      </c>
      <c r="H2" t="inlineStr">
        <is>
          <t>DRV-001|CDL</t>
        </is>
      </c>
      <c r="I2" t="inlineStr">
        <is>
          <t>/images/documents/DRV-001_CDL.jpg</t>
        </is>
      </c>
    </row>
    <row r="3">
      <c r="A3" t="inlineStr">
        <is>
          <t>DRV-001</t>
        </is>
      </c>
      <c r="B3" t="inlineStr">
        <is>
          <t>John Carter</t>
        </is>
      </c>
      <c r="C3" t="inlineStr">
        <is>
          <t>MEDICAL_CARD</t>
        </is>
      </c>
      <c r="D3">
        <f>IF(G3="","MISSING_DATE",IF(G3&lt;TODAY(),"EXPIRED",IF(G3&lt;=TODAY()+30,"EXPIRING_SOON","VALID")))</f>
        <v/>
      </c>
      <c r="E3" s="55" t="n">
        <v>46029</v>
      </c>
      <c r="F3" t="inlineStr">
        <is>
          <t>/documents/drivers/DRV-001_MEDICAL.pdf</t>
        </is>
      </c>
      <c r="G3" t="inlineStr">
        <is>
          <t>/drivers/DRV-001.jpg</t>
        </is>
      </c>
      <c r="H3" t="inlineStr">
        <is>
          <t>DRV-001|MEDICAL_CARD</t>
        </is>
      </c>
      <c r="I3" t="inlineStr">
        <is>
          <t>/images/documents/DRV-001_MEDICAL_CARD.jpg</t>
        </is>
      </c>
    </row>
    <row r="4">
      <c r="A4" t="inlineStr">
        <is>
          <t>DRV-001</t>
        </is>
      </c>
      <c r="B4" t="inlineStr">
        <is>
          <t>John Carter</t>
        </is>
      </c>
      <c r="C4" t="inlineStr">
        <is>
          <t>MVR</t>
        </is>
      </c>
      <c r="D4">
        <f>IF(G4="","MISSING_DATE",IF(G4&lt;TODAY(),"EXPIRED",IF(G4&lt;=TODAY()+30,"EXPIRING_SOON","VALID")))</f>
        <v/>
      </c>
      <c r="E4" s="55" t="n">
        <v>46037</v>
      </c>
      <c r="F4" t="inlineStr">
        <is>
          <t>/documents/drivers/DRV-001_MVR.pdf</t>
        </is>
      </c>
      <c r="G4" t="inlineStr">
        <is>
          <t>/drivers/DRV-001.jpg</t>
        </is>
      </c>
      <c r="H4" t="inlineStr">
        <is>
          <t>DRV-001|MVR</t>
        </is>
      </c>
      <c r="I4" t="inlineStr">
        <is>
          <t>/images/documents/DRV-001_MVR.jpg</t>
        </is>
      </c>
    </row>
    <row r="5">
      <c r="A5" t="inlineStr">
        <is>
          <t>DRV-001</t>
        </is>
      </c>
      <c r="B5" t="inlineStr">
        <is>
          <t>John Carter</t>
        </is>
      </c>
      <c r="C5" t="inlineStr">
        <is>
          <t>I9</t>
        </is>
      </c>
      <c r="D5">
        <f>IF(G5="","MISSING_DATE",IF(G5&lt;TODAY(),"EXPIRED",IF(G5&lt;=TODAY()+30,"EXPIRING_SOON","VALID")))</f>
        <v/>
      </c>
      <c r="E5" s="55" t="n">
        <v>46104</v>
      </c>
      <c r="F5" t="inlineStr">
        <is>
          <t>/documents/drivers/DRV-001_I9.pdf</t>
        </is>
      </c>
      <c r="G5" t="inlineStr">
        <is>
          <t>/drivers/DRV-001.jpg</t>
        </is>
      </c>
      <c r="H5" t="inlineStr">
        <is>
          <t>DRV-001|I9</t>
        </is>
      </c>
      <c r="I5" t="inlineStr">
        <is>
          <t>/images/documents/DRV-001_I9.jpg</t>
        </is>
      </c>
    </row>
    <row r="6">
      <c r="A6" t="inlineStr">
        <is>
          <t>DRV-001</t>
        </is>
      </c>
      <c r="B6" t="inlineStr">
        <is>
          <t>John Carter</t>
        </is>
      </c>
      <c r="C6" t="inlineStr">
        <is>
          <t>FMCSA</t>
        </is>
      </c>
      <c r="D6">
        <f>IF(G6="","MISSING_DATE",IF(G6&lt;TODAY(),"EXPIRED",IF(G6&lt;=TODAY()+30,"EXPIRING_SOON","VALID")))</f>
        <v/>
      </c>
      <c r="E6" s="55" t="n">
        <v>45978</v>
      </c>
      <c r="F6" t="inlineStr">
        <is>
          <t>/documents/drivers/DRV-001_FMCSA.pdf</t>
        </is>
      </c>
      <c r="G6" t="inlineStr">
        <is>
          <t>/drivers/DRV-001.jpg</t>
        </is>
      </c>
      <c r="H6" t="inlineStr">
        <is>
          <t>DRV-001|FMCSA</t>
        </is>
      </c>
      <c r="I6" t="inlineStr">
        <is>
          <t>/images/documents/DRV-001_FMCSA.jpg</t>
        </is>
      </c>
    </row>
    <row r="7">
      <c r="A7" t="inlineStr">
        <is>
          <t>DRV-001</t>
        </is>
      </c>
      <c r="B7" t="inlineStr">
        <is>
          <t>John Carter</t>
        </is>
      </c>
      <c r="C7" t="inlineStr">
        <is>
          <t>W9</t>
        </is>
      </c>
      <c r="D7">
        <f>IF(G7="","MISSING_DATE",IF(G7&lt;TODAY(),"EXPIRED",IF(G7&lt;=TODAY()+30,"EXPIRING_SOON","VALID")))</f>
        <v/>
      </c>
      <c r="E7" s="55" t="n">
        <v>46190</v>
      </c>
      <c r="F7" t="inlineStr">
        <is>
          <t>/documents/drivers/DRV-001_W9.pdf</t>
        </is>
      </c>
      <c r="G7" t="inlineStr">
        <is>
          <t>/drivers/DRV-001.jpg</t>
        </is>
      </c>
      <c r="H7" t="inlineStr">
        <is>
          <t>DRV-001|W9</t>
        </is>
      </c>
      <c r="I7" t="inlineStr">
        <is>
          <t>/images/documents/DRV-001_W9.jpg</t>
        </is>
      </c>
    </row>
    <row r="8">
      <c r="A8" t="inlineStr">
        <is>
          <t>DRV-001</t>
        </is>
      </c>
      <c r="B8" t="inlineStr">
        <is>
          <t>John Carter</t>
        </is>
      </c>
      <c r="C8" t="inlineStr">
        <is>
          <t>BANK_INFO</t>
        </is>
      </c>
      <c r="D8">
        <f>IF(G8="","MISSING_DATE",IF(G8&lt;TODAY(),"EXPIRED",IF(G8&lt;=TODAY()+30,"EXPIRING_SOON","VALID")))</f>
        <v/>
      </c>
      <c r="E8" s="55" t="n">
        <v>46074</v>
      </c>
      <c r="F8" t="inlineStr">
        <is>
          <t>/documents/drivers/DRV-001_BANK_INFO.pdf</t>
        </is>
      </c>
      <c r="G8" t="inlineStr">
        <is>
          <t>/drivers/DRV-001.jpg</t>
        </is>
      </c>
      <c r="H8" t="inlineStr">
        <is>
          <t>DRV-001|BANK_INFO</t>
        </is>
      </c>
      <c r="I8" t="inlineStr">
        <is>
          <t>/images/documents/DRV-001_BANK_INFO.jpg</t>
        </is>
      </c>
    </row>
    <row r="9">
      <c r="A9" t="inlineStr">
        <is>
          <t>DRV-002</t>
        </is>
      </c>
      <c r="B9" t="inlineStr">
        <is>
          <t>Maria Lopez</t>
        </is>
      </c>
      <c r="C9" t="inlineStr">
        <is>
          <t>MEDICAL_CARD</t>
        </is>
      </c>
      <c r="D9">
        <f>IF(G9="","MISSING_DATE",IF(G9&lt;TODAY(),"EXPIRED",IF(G9&lt;=TODAY()+30,"EXPIRING_SOON","VALID")))</f>
        <v/>
      </c>
      <c r="E9" s="55" t="n">
        <v>46264</v>
      </c>
      <c r="F9" t="inlineStr">
        <is>
          <t>/documents/drivers/DRV-002_MEDICAL.pdf</t>
        </is>
      </c>
      <c r="G9" t="inlineStr">
        <is>
          <t>/drivers/DRV-002.jpg</t>
        </is>
      </c>
      <c r="H9" t="inlineStr">
        <is>
          <t>DRV-002|MEDICAL_CARD</t>
        </is>
      </c>
      <c r="I9" t="inlineStr">
        <is>
          <t>/images/documents/DRV-002_MEDICAL_CARD.jpg</t>
        </is>
      </c>
    </row>
    <row r="10">
      <c r="A10" t="inlineStr">
        <is>
          <t>DRV-002</t>
        </is>
      </c>
      <c r="B10" t="inlineStr">
        <is>
          <t>Maria Lopez</t>
        </is>
      </c>
      <c r="C10" t="inlineStr">
        <is>
          <t>MEDICAL_CARD</t>
        </is>
      </c>
      <c r="D10">
        <f>IF(G10="","MISSING_DATE",IF(G10&lt;TODAY(),"EXPIRED",IF(G10&lt;=TODAY()+30,"EXPIRING_SOON","VALID")))</f>
        <v/>
      </c>
      <c r="E10" s="55" t="n">
        <v>46264</v>
      </c>
      <c r="F10" t="inlineStr">
        <is>
          <t>/documents/drivers/DRV-002_MEDICAL.pdf</t>
        </is>
      </c>
      <c r="G10" t="inlineStr">
        <is>
          <t>/drivers/DRV-002.jpg</t>
        </is>
      </c>
      <c r="H10" t="inlineStr">
        <is>
          <t>DRV-002|MEDICAL_CARD</t>
        </is>
      </c>
      <c r="I10" t="inlineStr">
        <is>
          <t>/images/documents/DRV-002_MEDICAL_CARD.jpg</t>
        </is>
      </c>
    </row>
    <row r="11">
      <c r="A11" t="inlineStr">
        <is>
          <t>DRV-002</t>
        </is>
      </c>
      <c r="B11" t="inlineStr">
        <is>
          <t>Maria Lopez</t>
        </is>
      </c>
      <c r="C11" t="inlineStr">
        <is>
          <t>MVR</t>
        </is>
      </c>
      <c r="D11">
        <f>IF(G11="","MISSING_DATE",IF(G11&lt;TODAY(),"EXPIRED",IF(G11&lt;=TODAY()+30,"EXPIRING_SOON","VALID")))</f>
        <v/>
      </c>
      <c r="E11" s="55" t="n">
        <v>46037</v>
      </c>
      <c r="F11" t="inlineStr">
        <is>
          <t>/documents/drivers/DRV-002_MVR.pdf</t>
        </is>
      </c>
      <c r="G11" t="inlineStr">
        <is>
          <t>/drivers/DRV-002.jpg</t>
        </is>
      </c>
      <c r="H11" t="inlineStr">
        <is>
          <t>DRV-002|MVR</t>
        </is>
      </c>
      <c r="I11" t="inlineStr">
        <is>
          <t>/images/documents/DRV-002_MVR.jpg</t>
        </is>
      </c>
    </row>
    <row r="12">
      <c r="A12" t="inlineStr">
        <is>
          <t>DRV-002</t>
        </is>
      </c>
      <c r="B12" t="inlineStr">
        <is>
          <t>Maria Lopez</t>
        </is>
      </c>
      <c r="C12" t="inlineStr">
        <is>
          <t>I9</t>
        </is>
      </c>
      <c r="D12">
        <f>IF(G12="","MISSING_DATE",IF(G12&lt;TODAY(),"EXPIRED",IF(G12&lt;=TODAY()+30,"EXPIRING_SOON","VALID")))</f>
        <v/>
      </c>
      <c r="E12" s="55" t="n">
        <v>46049</v>
      </c>
      <c r="F12" t="inlineStr">
        <is>
          <t>/documents/drivers/DRV-002_I9.pdf</t>
        </is>
      </c>
      <c r="G12" t="inlineStr">
        <is>
          <t>/drivers/DRV-002.jpg</t>
        </is>
      </c>
      <c r="H12" t="inlineStr">
        <is>
          <t>DRV-002|I9</t>
        </is>
      </c>
      <c r="I12" t="inlineStr">
        <is>
          <t>/images/documents/DRV-002_I9.jpg</t>
        </is>
      </c>
    </row>
    <row r="13">
      <c r="A13" t="inlineStr">
        <is>
          <t>DRV-002</t>
        </is>
      </c>
      <c r="B13" t="inlineStr">
        <is>
          <t>Maria Lopez</t>
        </is>
      </c>
      <c r="C13" t="inlineStr">
        <is>
          <t>FMCSA</t>
        </is>
      </c>
      <c r="D13">
        <f>IF(G13="","MISSING_DATE",IF(G13&lt;TODAY(),"EXPIRED",IF(G13&lt;=TODAY()+30,"EXPIRING_SOON","VALID")))</f>
        <v/>
      </c>
      <c r="E13" s="55" t="n">
        <v>46182</v>
      </c>
      <c r="F13" t="inlineStr">
        <is>
          <t>/documents/drivers/DRV-002_FMCSA.pdf</t>
        </is>
      </c>
      <c r="G13" t="inlineStr">
        <is>
          <t>/drivers/DRV-002.jpg</t>
        </is>
      </c>
      <c r="H13" t="inlineStr">
        <is>
          <t>DRV-002|FMCSA</t>
        </is>
      </c>
      <c r="I13" t="inlineStr">
        <is>
          <t>/images/documents/DRV-002_FMCSA.jpg</t>
        </is>
      </c>
    </row>
    <row r="14">
      <c r="A14" t="inlineStr">
        <is>
          <t>DRV-002</t>
        </is>
      </c>
      <c r="B14" t="inlineStr">
        <is>
          <t>Maria Lopez</t>
        </is>
      </c>
      <c r="C14" t="inlineStr">
        <is>
          <t>W9</t>
        </is>
      </c>
      <c r="D14">
        <f>IF(G14="","MISSING_DATE",IF(G14&lt;TODAY(),"EXPIRED",IF(G14&lt;=TODAY()+30,"EXPIRING_SOON","VALID")))</f>
        <v/>
      </c>
      <c r="E14" s="55" t="n">
        <v>46043</v>
      </c>
      <c r="F14" t="inlineStr">
        <is>
          <t>/documents/drivers/DRV-002_W9.pdf</t>
        </is>
      </c>
      <c r="G14" t="inlineStr">
        <is>
          <t>/drivers/DRV-002.jpg</t>
        </is>
      </c>
      <c r="H14" t="inlineStr">
        <is>
          <t>DRV-002|W9</t>
        </is>
      </c>
      <c r="I14" t="inlineStr">
        <is>
          <t>/images/documents/DRV-002_W9.jpg</t>
        </is>
      </c>
    </row>
    <row r="15">
      <c r="A15" t="inlineStr">
        <is>
          <t>DRV-002</t>
        </is>
      </c>
      <c r="B15" t="inlineStr">
        <is>
          <t>Maria Lopez</t>
        </is>
      </c>
      <c r="C15" t="inlineStr">
        <is>
          <t>BANK_INFO</t>
        </is>
      </c>
      <c r="D15">
        <f>IF(G15="","MISSING_DATE",IF(G15&lt;TODAY(),"EXPIRED",IF(G15&lt;=TODAY()+30,"EXPIRING_SOON","VALID")))</f>
        <v/>
      </c>
      <c r="E15" s="55" t="n">
        <v>45997</v>
      </c>
      <c r="F15" t="inlineStr">
        <is>
          <t>/documents/drivers/DRV-002_BANK_INFO.pdf</t>
        </is>
      </c>
      <c r="G15" t="inlineStr">
        <is>
          <t>/drivers/DRV-002.jpg</t>
        </is>
      </c>
      <c r="H15" t="inlineStr">
        <is>
          <t>DRV-002|BANK_INFO</t>
        </is>
      </c>
      <c r="I15" t="inlineStr">
        <is>
          <t>/images/documents/DRV-002_BANK_INFO.jpg</t>
        </is>
      </c>
    </row>
    <row r="16">
      <c r="A16" t="inlineStr">
        <is>
          <t>DRV-003</t>
        </is>
      </c>
      <c r="B16" t="inlineStr">
        <is>
          <t>Alex Kim</t>
        </is>
      </c>
      <c r="C16" t="inlineStr">
        <is>
          <t>CDL</t>
        </is>
      </c>
      <c r="D16">
        <f>IF(G16="","MISSING_DATE",IF(G16&lt;TODAY(),"EXPIRED",IF(G16&lt;=TODAY()+30,"EXPIRING_SOON","VALID")))</f>
        <v/>
      </c>
      <c r="E16" s="55" t="n">
        <v>46121</v>
      </c>
      <c r="F16" t="inlineStr">
        <is>
          <t>/documents/drivers/DRV-003_CDL.pdf</t>
        </is>
      </c>
      <c r="G16" t="inlineStr">
        <is>
          <t>/drivers/DRV-003.jpg</t>
        </is>
      </c>
      <c r="H16" t="inlineStr">
        <is>
          <t>DRV-003|CDL</t>
        </is>
      </c>
      <c r="I16" t="inlineStr">
        <is>
          <t>/images/documents/DRV-003_CDL.jpg</t>
        </is>
      </c>
    </row>
    <row r="17">
      <c r="A17" t="inlineStr">
        <is>
          <t>DRV-003</t>
        </is>
      </c>
      <c r="B17" t="inlineStr">
        <is>
          <t>Alex Kim</t>
        </is>
      </c>
      <c r="C17" t="inlineStr">
        <is>
          <t>MEDICAL_CARD</t>
        </is>
      </c>
      <c r="D17">
        <f>IF(G17="","MISSING_DATE",IF(G17&lt;TODAY(),"EXPIRED",IF(G17&lt;=TODAY()+30,"EXPIRING_SOON","VALID")))</f>
        <v/>
      </c>
      <c r="E17" s="55" t="n">
        <v>46239</v>
      </c>
      <c r="F17" t="inlineStr">
        <is>
          <t>/documents/drivers/DRV-003_MEDICAL.pdf</t>
        </is>
      </c>
      <c r="G17" t="inlineStr">
        <is>
          <t>/drivers/DRV-003.jpg</t>
        </is>
      </c>
      <c r="H17" t="inlineStr">
        <is>
          <t>DRV-003|MEDICAL_CARD</t>
        </is>
      </c>
      <c r="I17" t="inlineStr">
        <is>
          <t>/images/documents/DRV-003_MEDICAL_CARD.jpg</t>
        </is>
      </c>
    </row>
    <row r="18">
      <c r="A18" t="inlineStr">
        <is>
          <t>DRV-003</t>
        </is>
      </c>
      <c r="B18" t="inlineStr">
        <is>
          <t>Alex Kim</t>
        </is>
      </c>
      <c r="C18" t="inlineStr">
        <is>
          <t>MVR</t>
        </is>
      </c>
      <c r="D18">
        <f>IF(G18="","MISSING_DATE",IF(G18&lt;TODAY(),"EXPIRED",IF(G18&lt;=TODAY()+30,"EXPIRING_SOON","VALID")))</f>
        <v/>
      </c>
      <c r="E18" s="55" t="n">
        <v>46107</v>
      </c>
      <c r="F18" t="inlineStr">
        <is>
          <t>/documents/drivers/DRV-003_MVR.pdf</t>
        </is>
      </c>
      <c r="G18" t="inlineStr">
        <is>
          <t>/drivers/DRV-003.jpg</t>
        </is>
      </c>
      <c r="H18" t="inlineStr">
        <is>
          <t>DRV-003|MVR</t>
        </is>
      </c>
      <c r="I18" t="inlineStr">
        <is>
          <t>/images/documents/DRV-003_MVR.jpg</t>
        </is>
      </c>
    </row>
    <row r="19">
      <c r="A19" t="inlineStr">
        <is>
          <t>DRV-003</t>
        </is>
      </c>
      <c r="B19" t="inlineStr">
        <is>
          <t>Alex Kim</t>
        </is>
      </c>
      <c r="C19" t="inlineStr">
        <is>
          <t>I9</t>
        </is>
      </c>
      <c r="D19">
        <f>IF(G19="","MISSING_DATE",IF(G19&lt;TODAY(),"EXPIRED",IF(G19&lt;=TODAY()+30,"EXPIRING_SOON","VALID")))</f>
        <v/>
      </c>
      <c r="E19" s="55" t="n">
        <v>46038</v>
      </c>
      <c r="F19" t="inlineStr">
        <is>
          <t>/documents/drivers/DRV-003_I9.pdf</t>
        </is>
      </c>
      <c r="G19" t="inlineStr">
        <is>
          <t>/drivers/DRV-003.jpg</t>
        </is>
      </c>
      <c r="H19" t="inlineStr">
        <is>
          <t>DRV-003|I9</t>
        </is>
      </c>
      <c r="I19" t="inlineStr">
        <is>
          <t>/images/documents/DRV-003_I9.jpg</t>
        </is>
      </c>
    </row>
    <row r="20">
      <c r="A20" t="inlineStr">
        <is>
          <t>DRV-003</t>
        </is>
      </c>
      <c r="B20" t="inlineStr">
        <is>
          <t>Alex Kim</t>
        </is>
      </c>
      <c r="C20" t="inlineStr">
        <is>
          <t>FMCSA</t>
        </is>
      </c>
      <c r="D20">
        <f>IF(G20="","MISSING_DATE",IF(G20&lt;TODAY(),"EXPIRED",IF(G20&lt;=TODAY()+30,"EXPIRING_SOON","VALID")))</f>
        <v/>
      </c>
      <c r="E20" s="55" t="n">
        <v>46031</v>
      </c>
      <c r="F20" t="inlineStr">
        <is>
          <t>/documents/drivers/DRV-003_FMCSA.pdf</t>
        </is>
      </c>
      <c r="G20" t="inlineStr">
        <is>
          <t>/drivers/DRV-003.jpg</t>
        </is>
      </c>
      <c r="H20" t="inlineStr">
        <is>
          <t>DRV-003|FMCSA</t>
        </is>
      </c>
      <c r="I20" t="inlineStr">
        <is>
          <t>/images/documents/DRV-003_FMCSA.jpg</t>
        </is>
      </c>
    </row>
    <row r="21">
      <c r="A21" t="inlineStr">
        <is>
          <t>DRV-003</t>
        </is>
      </c>
      <c r="B21" t="inlineStr">
        <is>
          <t>Alex Kim</t>
        </is>
      </c>
      <c r="C21" t="inlineStr">
        <is>
          <t>W9</t>
        </is>
      </c>
      <c r="D21">
        <f>IF(G21="","MISSING_DATE",IF(G21&lt;TODAY(),"EXPIRED",IF(G21&lt;=TODAY()+30,"EXPIRING_SOON","VALID")))</f>
        <v/>
      </c>
      <c r="E21" s="55" t="n">
        <v>46203</v>
      </c>
      <c r="F21" t="inlineStr">
        <is>
          <t>/documents/drivers/DRV-003_W9.pdf</t>
        </is>
      </c>
      <c r="G21" t="inlineStr">
        <is>
          <t>/drivers/DRV-003.jpg</t>
        </is>
      </c>
      <c r="H21" t="inlineStr">
        <is>
          <t>DRV-003|W9</t>
        </is>
      </c>
      <c r="I21" t="inlineStr">
        <is>
          <t>/images/documents/DRV-003_W9.jpg</t>
        </is>
      </c>
    </row>
    <row r="22">
      <c r="A22" t="inlineStr">
        <is>
          <t>DRV-003</t>
        </is>
      </c>
      <c r="B22" t="inlineStr">
        <is>
          <t>Alex Kim</t>
        </is>
      </c>
      <c r="C22" t="inlineStr">
        <is>
          <t>BANK_INFO</t>
        </is>
      </c>
      <c r="D22">
        <f>IF(G22="","MISSING_DATE",IF(G22&lt;TODAY(),"EXPIRED",IF(G22&lt;=TODAY()+30,"EXPIRING_SOON","VALID")))</f>
        <v/>
      </c>
      <c r="E22" s="55" t="n">
        <v>46015</v>
      </c>
      <c r="F22" t="inlineStr">
        <is>
          <t>/documents/drivers/DRV-003_BANK_INFO.pdf</t>
        </is>
      </c>
      <c r="G22" t="inlineStr">
        <is>
          <t>/drivers/DRV-003.jpg</t>
        </is>
      </c>
      <c r="H22" t="inlineStr">
        <is>
          <t>DRV-003|BANK_INFO</t>
        </is>
      </c>
      <c r="I22" t="inlineStr">
        <is>
          <t>/images/documents/DRV-003_BANK_INFO.jpg</t>
        </is>
      </c>
    </row>
    <row r="23">
      <c r="A23" t="inlineStr">
        <is>
          <t>DRV-004</t>
        </is>
      </c>
      <c r="B23" t="inlineStr">
        <is>
          <t>Priya Patel</t>
        </is>
      </c>
      <c r="C23" t="inlineStr">
        <is>
          <t>CDL</t>
        </is>
      </c>
      <c r="D23">
        <f>IF(G23="","MISSING_DATE",IF(G23&lt;TODAY(),"EXPIRED",IF(G23&lt;=TODAY()+30,"EXPIRING_SOON","VALID")))</f>
        <v/>
      </c>
      <c r="E23" s="55" t="n">
        <v>46097</v>
      </c>
      <c r="F23" t="inlineStr">
        <is>
          <t>/documents/drivers/DRV-004_CDL.pdf</t>
        </is>
      </c>
      <c r="G23" t="inlineStr">
        <is>
          <t>/drivers/DRV-004.jpg</t>
        </is>
      </c>
      <c r="H23" t="inlineStr">
        <is>
          <t>DRV-004|CDL</t>
        </is>
      </c>
      <c r="I23" t="inlineStr">
        <is>
          <t>/images/documents/DRV-004_CDL.jpg</t>
        </is>
      </c>
    </row>
    <row r="24">
      <c r="A24" t="inlineStr">
        <is>
          <t>DRV-004</t>
        </is>
      </c>
      <c r="B24" t="inlineStr">
        <is>
          <t>Priya Patel</t>
        </is>
      </c>
      <c r="C24" t="inlineStr">
        <is>
          <t>MEDICAL_CARD</t>
        </is>
      </c>
      <c r="D24">
        <f>IF(G24="","MISSING_DATE",IF(G24&lt;TODAY(),"EXPIRED",IF(G24&lt;=TODAY()+30,"EXPIRING_SOON","VALID")))</f>
        <v/>
      </c>
      <c r="E24" s="55" t="n">
        <v>46249</v>
      </c>
      <c r="F24" t="inlineStr">
        <is>
          <t>/documents/drivers/DRV-004_MEDICAL.pdf</t>
        </is>
      </c>
      <c r="G24" t="inlineStr">
        <is>
          <t>/drivers/DRV-004.jpg</t>
        </is>
      </c>
      <c r="H24" t="inlineStr">
        <is>
          <t>DRV-004|MEDICAL_CARD</t>
        </is>
      </c>
      <c r="I24" t="inlineStr">
        <is>
          <t>/images/documents/DRV-004_MEDICAL_CARD.jpg</t>
        </is>
      </c>
    </row>
    <row r="25">
      <c r="A25" t="inlineStr">
        <is>
          <t>DRV-004</t>
        </is>
      </c>
      <c r="B25" t="inlineStr">
        <is>
          <t>Priya Patel</t>
        </is>
      </c>
      <c r="C25" t="inlineStr">
        <is>
          <t>MVR</t>
        </is>
      </c>
      <c r="D25">
        <f>IF(G25="","MISSING_DATE",IF(G25&lt;TODAY(),"EXPIRED",IF(G25&lt;=TODAY()+30,"EXPIRING_SOON","VALID")))</f>
        <v/>
      </c>
      <c r="E25" s="55" t="n">
        <v>46254</v>
      </c>
      <c r="F25" t="inlineStr">
        <is>
          <t>/documents/drivers/DRV-004_MVR.pdf</t>
        </is>
      </c>
      <c r="G25" t="inlineStr">
        <is>
          <t>/drivers/DRV-004.jpg</t>
        </is>
      </c>
      <c r="H25" t="inlineStr">
        <is>
          <t>DRV-004|MVR</t>
        </is>
      </c>
      <c r="I25" t="inlineStr">
        <is>
          <t>/images/documents/DRV-004_MVR.jpg</t>
        </is>
      </c>
    </row>
    <row r="26">
      <c r="A26" t="inlineStr">
        <is>
          <t>DRV-004</t>
        </is>
      </c>
      <c r="B26" t="inlineStr">
        <is>
          <t>Priya Patel</t>
        </is>
      </c>
      <c r="C26" t="inlineStr">
        <is>
          <t>I9</t>
        </is>
      </c>
      <c r="D26">
        <f>IF(G26="","MISSING_DATE",IF(G26&lt;TODAY(),"EXPIRED",IF(G26&lt;=TODAY()+30,"EXPIRING_SOON","VALID")))</f>
        <v/>
      </c>
      <c r="E26" s="55" t="n">
        <v>45976</v>
      </c>
      <c r="F26" t="inlineStr">
        <is>
          <t>/documents/drivers/DRV-004_I9.pdf</t>
        </is>
      </c>
      <c r="G26" t="inlineStr">
        <is>
          <t>/drivers/DRV-004.jpg</t>
        </is>
      </c>
      <c r="H26" t="inlineStr">
        <is>
          <t>DRV-004|I9</t>
        </is>
      </c>
      <c r="I26" t="inlineStr">
        <is>
          <t>/images/documents/DRV-004_I9.jpg</t>
        </is>
      </c>
    </row>
    <row r="27">
      <c r="A27" t="inlineStr">
        <is>
          <t>DRV-004</t>
        </is>
      </c>
      <c r="B27" t="inlineStr">
        <is>
          <t>Priya Patel</t>
        </is>
      </c>
      <c r="C27" t="inlineStr">
        <is>
          <t>FMCSA</t>
        </is>
      </c>
      <c r="D27">
        <f>IF(G27="","MISSING_DATE",IF(G27&lt;TODAY(),"EXPIRED",IF(G27&lt;=TODAY()+30,"EXPIRING_SOON","VALID")))</f>
        <v/>
      </c>
      <c r="E27" s="55" t="n">
        <v>46076</v>
      </c>
      <c r="F27" t="inlineStr">
        <is>
          <t>/documents/drivers/DRV-004_FMCSA.pdf</t>
        </is>
      </c>
      <c r="G27" t="inlineStr">
        <is>
          <t>/drivers/DRV-004.jpg</t>
        </is>
      </c>
      <c r="H27" t="inlineStr">
        <is>
          <t>DRV-004|FMCSA</t>
        </is>
      </c>
      <c r="I27" t="inlineStr">
        <is>
          <t>/images/documents/DRV-004_FMCSA.jpg</t>
        </is>
      </c>
    </row>
    <row r="28">
      <c r="A28" t="inlineStr">
        <is>
          <t>DRV-004</t>
        </is>
      </c>
      <c r="B28" t="inlineStr">
        <is>
          <t>Priya Patel</t>
        </is>
      </c>
      <c r="C28" t="inlineStr">
        <is>
          <t>W9</t>
        </is>
      </c>
      <c r="D28">
        <f>IF(G28="","MISSING_DATE",IF(G28&lt;TODAY(),"EXPIRED",IF(G28&lt;=TODAY()+30,"EXPIRING_SOON","VALID")))</f>
        <v/>
      </c>
      <c r="E28" s="55" t="n">
        <v>46165</v>
      </c>
      <c r="F28" t="inlineStr">
        <is>
          <t>/documents/drivers/DRV-004_W9.pdf</t>
        </is>
      </c>
      <c r="G28" t="inlineStr">
        <is>
          <t>/drivers/DRV-004.jpg</t>
        </is>
      </c>
      <c r="H28" t="inlineStr">
        <is>
          <t>DRV-004|W9</t>
        </is>
      </c>
      <c r="I28" t="inlineStr">
        <is>
          <t>/images/documents/DRV-004_W9.jpg</t>
        </is>
      </c>
    </row>
    <row r="29">
      <c r="A29" t="inlineStr">
        <is>
          <t>DRV-004</t>
        </is>
      </c>
      <c r="B29" t="inlineStr">
        <is>
          <t>Priya Patel</t>
        </is>
      </c>
      <c r="C29" t="inlineStr">
        <is>
          <t>BANK_INFO</t>
        </is>
      </c>
      <c r="D29">
        <f>IF(G29="","MISSING_DATE",IF(G29&lt;TODAY(),"EXPIRED",IF(G29&lt;=TODAY()+30,"EXPIRING_SOON","VALID")))</f>
        <v/>
      </c>
      <c r="E29" s="55" t="n">
        <v>46021</v>
      </c>
      <c r="F29" t="inlineStr">
        <is>
          <t>/documents/drivers/DRV-004_BANK_INFO.pdf</t>
        </is>
      </c>
      <c r="G29" t="inlineStr">
        <is>
          <t>/drivers/DRV-004.jpg</t>
        </is>
      </c>
      <c r="H29" t="inlineStr">
        <is>
          <t>DRV-004|BANK_INFO</t>
        </is>
      </c>
      <c r="I29" t="inlineStr">
        <is>
          <t>/images/documents/DRV-004_BANK_INFO.jpg</t>
        </is>
      </c>
    </row>
    <row r="30">
      <c r="A30" t="inlineStr">
        <is>
          <t>DRV-005</t>
        </is>
      </c>
      <c r="B30" t="inlineStr">
        <is>
          <t>Kenji Tanaka</t>
        </is>
      </c>
      <c r="C30" t="inlineStr">
        <is>
          <t>CDL</t>
        </is>
      </c>
      <c r="D30">
        <f>IF(G30="","MISSING_DATE",IF(G30&lt;TODAY(),"EXPIRED",IF(G30&lt;=TODAY()+30,"EXPIRING_SOON","VALID")))</f>
        <v/>
      </c>
      <c r="E30" s="55" t="n">
        <v>46021</v>
      </c>
      <c r="F30" t="inlineStr">
        <is>
          <t>/documents/drivers/DRV-005_CDL.pdf</t>
        </is>
      </c>
      <c r="G30" t="inlineStr">
        <is>
          <t>/drivers/DRV-005.jpg</t>
        </is>
      </c>
      <c r="H30" t="inlineStr">
        <is>
          <t>DRV-005|CDL</t>
        </is>
      </c>
      <c r="I30" t="inlineStr">
        <is>
          <t>/images/documents/DRV-005_CDL.jpg</t>
        </is>
      </c>
    </row>
    <row r="31">
      <c r="A31" t="inlineStr">
        <is>
          <t>DRV-005</t>
        </is>
      </c>
      <c r="B31" t="inlineStr">
        <is>
          <t>Kenji Tanaka</t>
        </is>
      </c>
      <c r="C31" t="inlineStr">
        <is>
          <t>MEDICAL_CARD</t>
        </is>
      </c>
      <c r="D31">
        <f>IF(G31="","MISSING_DATE",IF(G31&lt;TODAY(),"EXPIRED",IF(G31&lt;=TODAY()+30,"EXPIRING_SOON","VALID")))</f>
        <v/>
      </c>
      <c r="E31" s="55" t="n">
        <v>45977</v>
      </c>
      <c r="F31" t="inlineStr">
        <is>
          <t>/documents/drivers/DRV-005_MEDICAL.pdf</t>
        </is>
      </c>
      <c r="G31" t="inlineStr">
        <is>
          <t>/drivers/DRV-005.jpg</t>
        </is>
      </c>
      <c r="H31" t="inlineStr">
        <is>
          <t>DRV-005|MEDICAL_CARD</t>
        </is>
      </c>
      <c r="I31" t="inlineStr">
        <is>
          <t>/images/documents/DRV-005_MEDICAL_CARD.jpg</t>
        </is>
      </c>
    </row>
    <row r="32">
      <c r="A32" t="inlineStr">
        <is>
          <t>DRV-005</t>
        </is>
      </c>
      <c r="B32" t="inlineStr">
        <is>
          <t>Kenji Tanaka</t>
        </is>
      </c>
      <c r="C32" t="inlineStr">
        <is>
          <t>MVR</t>
        </is>
      </c>
      <c r="D32">
        <f>IF(G32="","MISSING_DATE",IF(G32&lt;TODAY(),"EXPIRED",IF(G32&lt;=TODAY()+30,"EXPIRING_SOON","VALID")))</f>
        <v/>
      </c>
      <c r="E32" s="55" t="n">
        <v>46052</v>
      </c>
      <c r="F32" t="inlineStr">
        <is>
          <t>/documents/drivers/DRV-005_MVR.pdf</t>
        </is>
      </c>
      <c r="G32" t="inlineStr">
        <is>
          <t>/drivers/DRV-005.jpg</t>
        </is>
      </c>
      <c r="H32" t="inlineStr">
        <is>
          <t>DRV-005|MVR</t>
        </is>
      </c>
      <c r="I32" t="inlineStr">
        <is>
          <t>/images/documents/DRV-005_MVR.jpg</t>
        </is>
      </c>
    </row>
    <row r="33">
      <c r="A33" t="inlineStr">
        <is>
          <t>DRV-005</t>
        </is>
      </c>
      <c r="B33" t="inlineStr">
        <is>
          <t>Kenji Tanaka</t>
        </is>
      </c>
      <c r="C33" t="inlineStr">
        <is>
          <t>I9</t>
        </is>
      </c>
      <c r="D33">
        <f>IF(G33="","MISSING_DATE",IF(G33&lt;TODAY(),"EXPIRED",IF(G33&lt;=TODAY()+30,"EXPIRING_SOON","VALID")))</f>
        <v/>
      </c>
      <c r="E33" s="55" t="n">
        <v>46246</v>
      </c>
      <c r="F33" t="inlineStr">
        <is>
          <t>/documents/drivers/DRV-005_I9.pdf</t>
        </is>
      </c>
      <c r="G33" t="inlineStr">
        <is>
          <t>/drivers/DRV-005.jpg</t>
        </is>
      </c>
      <c r="H33" t="inlineStr">
        <is>
          <t>DRV-005|I9</t>
        </is>
      </c>
      <c r="I33" t="inlineStr">
        <is>
          <t>/images/documents/DRV-005_I9.jpg</t>
        </is>
      </c>
    </row>
    <row r="34">
      <c r="A34" t="inlineStr">
        <is>
          <t>DRV-005</t>
        </is>
      </c>
      <c r="B34" t="inlineStr">
        <is>
          <t>Kenji Tanaka</t>
        </is>
      </c>
      <c r="C34" t="inlineStr">
        <is>
          <t>FMCSA</t>
        </is>
      </c>
      <c r="D34">
        <f>IF(G34="","MISSING_DATE",IF(G34&lt;TODAY(),"EXPIRED",IF(G34&lt;=TODAY()+30,"EXPIRING_SOON","VALID")))</f>
        <v/>
      </c>
      <c r="E34" s="55" t="n">
        <v>46193</v>
      </c>
      <c r="F34" t="inlineStr">
        <is>
          <t>/documents/drivers/DRV-005_FMCSA.pdf</t>
        </is>
      </c>
      <c r="G34" t="inlineStr">
        <is>
          <t>/drivers/DRV-005.jpg</t>
        </is>
      </c>
      <c r="H34" t="inlineStr">
        <is>
          <t>DRV-005|FMCSA</t>
        </is>
      </c>
      <c r="I34" t="inlineStr">
        <is>
          <t>/images/documents/DRV-005_FMCSA.jpg</t>
        </is>
      </c>
    </row>
    <row r="35">
      <c r="A35" t="inlineStr">
        <is>
          <t>DRV-005</t>
        </is>
      </c>
      <c r="B35" t="inlineStr">
        <is>
          <t>Kenji Tanaka</t>
        </is>
      </c>
      <c r="C35" t="inlineStr">
        <is>
          <t>W9</t>
        </is>
      </c>
      <c r="D35">
        <f>IF(G35="","MISSING_DATE",IF(G35&lt;TODAY(),"EXPIRED",IF(G35&lt;=TODAY()+30,"EXPIRING_SOON","VALID")))</f>
        <v/>
      </c>
      <c r="E35" s="55" t="n">
        <v>46091</v>
      </c>
      <c r="F35" t="inlineStr">
        <is>
          <t>/documents/drivers/DRV-005_W9.pdf</t>
        </is>
      </c>
      <c r="G35" t="inlineStr">
        <is>
          <t>/drivers/DRV-005.jpg</t>
        </is>
      </c>
      <c r="H35" t="inlineStr">
        <is>
          <t>DRV-005|W9</t>
        </is>
      </c>
      <c r="I35" t="inlineStr">
        <is>
          <t>/images/documents/DRV-005_W9.jpg</t>
        </is>
      </c>
    </row>
    <row r="36">
      <c r="A36" t="inlineStr">
        <is>
          <t>DRV-005</t>
        </is>
      </c>
      <c r="B36" t="inlineStr">
        <is>
          <t>Kenji Tanaka</t>
        </is>
      </c>
      <c r="C36" t="inlineStr">
        <is>
          <t>BANK_INFO</t>
        </is>
      </c>
      <c r="D36">
        <f>IF(G36="","MISSING_DATE",IF(G36&lt;TODAY(),"EXPIRED",IF(G36&lt;=TODAY()+30,"EXPIRING_SOON","VALID")))</f>
        <v/>
      </c>
      <c r="E36" s="55" t="n">
        <v>46227</v>
      </c>
      <c r="F36" t="inlineStr">
        <is>
          <t>/documents/drivers/DRV-005_BANK_INFO.pdf</t>
        </is>
      </c>
      <c r="G36" t="inlineStr">
        <is>
          <t>/drivers/DRV-005.jpg</t>
        </is>
      </c>
      <c r="H36" t="inlineStr">
        <is>
          <t>DRV-005|BANK_INFO</t>
        </is>
      </c>
      <c r="I36" t="inlineStr">
        <is>
          <t>/images/documents/DRV-005_BANK_INFO.jpg</t>
        </is>
      </c>
    </row>
    <row r="37">
      <c r="A37" t="inlineStr">
        <is>
          <t>DRV-006</t>
        </is>
      </c>
      <c r="B37" t="inlineStr">
        <is>
          <t>Marcus Chen</t>
        </is>
      </c>
      <c r="C37" t="inlineStr">
        <is>
          <t>CDL</t>
        </is>
      </c>
      <c r="D37">
        <f>IF(G37="","MISSING_DATE",IF(G37&lt;TODAY(),"EXPIRED",IF(G37&lt;=TODAY()+30,"EXPIRING_SOON","VALID")))</f>
        <v/>
      </c>
      <c r="E37" s="55" t="n">
        <v>46062</v>
      </c>
      <c r="F37" t="inlineStr">
        <is>
          <t>/documents/drivers/DRV-006_CDL.pdf</t>
        </is>
      </c>
      <c r="G37" t="inlineStr">
        <is>
          <t>/drivers/DRV-006.jpg</t>
        </is>
      </c>
      <c r="H37" t="inlineStr">
        <is>
          <t>DRV-006|CDL</t>
        </is>
      </c>
      <c r="I37" t="inlineStr">
        <is>
          <t>/images/documents/DRV-006_CDL.jpg</t>
        </is>
      </c>
    </row>
    <row r="38">
      <c r="A38" t="inlineStr">
        <is>
          <t>DRV-006</t>
        </is>
      </c>
      <c r="B38" t="inlineStr">
        <is>
          <t>Marcus Chen</t>
        </is>
      </c>
      <c r="C38" t="inlineStr">
        <is>
          <t>MEDICAL_CARD</t>
        </is>
      </c>
      <c r="D38">
        <f>IF(G38="","MISSING_DATE",IF(G38&lt;TODAY(),"EXPIRED",IF(G38&lt;=TODAY()+30,"EXPIRING_SOON","VALID")))</f>
        <v/>
      </c>
      <c r="E38" s="55" t="n">
        <v>46085</v>
      </c>
      <c r="F38" t="inlineStr">
        <is>
          <t>/documents/drivers/DRV-006_MEDICAL.pdf</t>
        </is>
      </c>
      <c r="G38" t="inlineStr">
        <is>
          <t>/drivers/DRV-006.jpg</t>
        </is>
      </c>
      <c r="H38" t="inlineStr">
        <is>
          <t>DRV-006|MEDICAL_CARD</t>
        </is>
      </c>
      <c r="I38" t="inlineStr">
        <is>
          <t>/images/documents/DRV-006_MEDICAL_CARD.jpg</t>
        </is>
      </c>
    </row>
    <row r="39">
      <c r="A39" t="inlineStr">
        <is>
          <t>DRV-006</t>
        </is>
      </c>
      <c r="B39" t="inlineStr">
        <is>
          <t>Marcus Chen</t>
        </is>
      </c>
      <c r="C39" t="inlineStr">
        <is>
          <t>MVR</t>
        </is>
      </c>
      <c r="D39">
        <f>IF(G39="","MISSING_DATE",IF(G39&lt;TODAY(),"EXPIRED",IF(G39&lt;=TODAY()+30,"EXPIRING_SOON","VALID")))</f>
        <v/>
      </c>
      <c r="E39" s="55" t="n">
        <v>46169</v>
      </c>
      <c r="F39" t="inlineStr">
        <is>
          <t>/documents/drivers/DRV-006_MVR.pdf</t>
        </is>
      </c>
      <c r="G39" t="inlineStr">
        <is>
          <t>/drivers/DRV-006.jpg</t>
        </is>
      </c>
      <c r="H39" t="inlineStr">
        <is>
          <t>DRV-006|MVR</t>
        </is>
      </c>
      <c r="I39" t="inlineStr">
        <is>
          <t>/images/documents/DRV-006_MVR.jpg</t>
        </is>
      </c>
    </row>
    <row r="40">
      <c r="A40" t="inlineStr">
        <is>
          <t>DRV-006</t>
        </is>
      </c>
      <c r="B40" t="inlineStr">
        <is>
          <t>Marcus Chen</t>
        </is>
      </c>
      <c r="C40" t="inlineStr">
        <is>
          <t>I9</t>
        </is>
      </c>
      <c r="D40">
        <f>IF(G40="","MISSING_DATE",IF(G40&lt;TODAY(),"EXPIRED",IF(G40&lt;=TODAY()+30,"EXPIRING_SOON","VALID")))</f>
        <v/>
      </c>
      <c r="E40" s="55" t="n">
        <v>46011</v>
      </c>
      <c r="F40" t="inlineStr">
        <is>
          <t>/documents/drivers/DRV-006_I9.pdf</t>
        </is>
      </c>
      <c r="G40" t="inlineStr">
        <is>
          <t>/drivers/DRV-006.jpg</t>
        </is>
      </c>
      <c r="H40" t="inlineStr">
        <is>
          <t>DRV-006|I9</t>
        </is>
      </c>
      <c r="I40" t="inlineStr">
        <is>
          <t>/images/documents/DRV-006_I9.jpg</t>
        </is>
      </c>
    </row>
    <row r="41">
      <c r="A41" t="inlineStr">
        <is>
          <t>DRV-006</t>
        </is>
      </c>
      <c r="B41" t="inlineStr">
        <is>
          <t>Marcus Chen</t>
        </is>
      </c>
      <c r="C41" t="inlineStr">
        <is>
          <t>FMCSA</t>
        </is>
      </c>
      <c r="D41">
        <f>IF(G41="","MISSING_DATE",IF(G41&lt;TODAY(),"EXPIRED",IF(G41&lt;=TODAY()+30,"EXPIRING_SOON","VALID")))</f>
        <v/>
      </c>
      <c r="E41" s="55" t="n">
        <v>46027</v>
      </c>
      <c r="F41" t="inlineStr">
        <is>
          <t>/documents/drivers/DRV-006_FMCSA.pdf</t>
        </is>
      </c>
      <c r="G41" t="inlineStr">
        <is>
          <t>/drivers/DRV-006.jpg</t>
        </is>
      </c>
      <c r="H41" t="inlineStr">
        <is>
          <t>DRV-006|FMCSA</t>
        </is>
      </c>
      <c r="I41" t="inlineStr">
        <is>
          <t>/images/documents/DRV-006_FMCSA.jpg</t>
        </is>
      </c>
    </row>
    <row r="42">
      <c r="A42" t="inlineStr">
        <is>
          <t>DRV-006</t>
        </is>
      </c>
      <c r="B42" t="inlineStr">
        <is>
          <t>Marcus Chen</t>
        </is>
      </c>
      <c r="C42" t="inlineStr">
        <is>
          <t>W9</t>
        </is>
      </c>
      <c r="D42">
        <f>IF(G42="","MISSING_DATE",IF(G42&lt;TODAY(),"EXPIRED",IF(G42&lt;=TODAY()+30,"EXPIRING_SOON","VALID")))</f>
        <v/>
      </c>
      <c r="E42" s="55" t="n">
        <v>46092</v>
      </c>
      <c r="F42" t="inlineStr">
        <is>
          <t>/documents/drivers/DRV-006_W9.pdf</t>
        </is>
      </c>
      <c r="G42" t="inlineStr">
        <is>
          <t>/drivers/DRV-006.jpg</t>
        </is>
      </c>
      <c r="H42" t="inlineStr">
        <is>
          <t>DRV-006|W9</t>
        </is>
      </c>
      <c r="I42" t="inlineStr">
        <is>
          <t>/images/documents/DRV-006_W9.jpg</t>
        </is>
      </c>
    </row>
    <row r="43">
      <c r="A43" t="inlineStr">
        <is>
          <t>DRV-006</t>
        </is>
      </c>
      <c r="B43" t="inlineStr">
        <is>
          <t>Marcus Chen</t>
        </is>
      </c>
      <c r="C43" t="inlineStr">
        <is>
          <t>BANK_INFO</t>
        </is>
      </c>
      <c r="D43">
        <f>IF(G43="","MISSING_DATE",IF(G43&lt;TODAY(),"EXPIRED",IF(G43&lt;=TODAY()+30,"EXPIRING_SOON","VALID")))</f>
        <v/>
      </c>
      <c r="E43" s="55" t="n">
        <v>46073</v>
      </c>
      <c r="F43" t="inlineStr">
        <is>
          <t>/documents/drivers/DRV-006_BANK_INFO.pdf</t>
        </is>
      </c>
      <c r="G43" t="inlineStr">
        <is>
          <t>/drivers/DRV-006.jpg</t>
        </is>
      </c>
      <c r="H43" t="inlineStr">
        <is>
          <t>DRV-006|BANK_INFO</t>
        </is>
      </c>
      <c r="I43" t="inlineStr">
        <is>
          <t>/images/documents/DRV-006_BANK_INFO.jpg</t>
        </is>
      </c>
    </row>
    <row r="44">
      <c r="A44" t="inlineStr">
        <is>
          <t>DRV-007</t>
        </is>
      </c>
      <c r="B44" t="inlineStr">
        <is>
          <t>Sofia Gomez</t>
        </is>
      </c>
      <c r="C44" t="inlineStr">
        <is>
          <t>CDL</t>
        </is>
      </c>
      <c r="D44">
        <f>IF(G44="","MISSING_DATE",IF(G44&lt;TODAY(),"EXPIRED",IF(G44&lt;=TODAY()+30,"EXPIRING_SOON","VALID")))</f>
        <v/>
      </c>
      <c r="E44" s="55" t="n">
        <v>46204</v>
      </c>
      <c r="F44" t="inlineStr">
        <is>
          <t>/documents/drivers/DRV-007_CDL.pdf</t>
        </is>
      </c>
      <c r="G44" t="inlineStr">
        <is>
          <t>/drivers/DRV-007.jpg</t>
        </is>
      </c>
      <c r="H44" t="inlineStr">
        <is>
          <t>DRV-007|CDL</t>
        </is>
      </c>
      <c r="I44" t="inlineStr">
        <is>
          <t>/images/documents/DRV-007_CDL.jpg</t>
        </is>
      </c>
    </row>
    <row r="45">
      <c r="A45" t="inlineStr">
        <is>
          <t>DRV-007</t>
        </is>
      </c>
      <c r="B45" t="inlineStr">
        <is>
          <t>Sofia Gomez</t>
        </is>
      </c>
      <c r="C45" t="inlineStr">
        <is>
          <t>MEDICAL_CARD</t>
        </is>
      </c>
      <c r="D45">
        <f>IF(G45="","MISSING_DATE",IF(G45&lt;TODAY(),"EXPIRED",IF(G45&lt;=TODAY()+30,"EXPIRING_SOON","VALID")))</f>
        <v/>
      </c>
      <c r="E45" s="55" t="n">
        <v>46155</v>
      </c>
      <c r="F45" t="inlineStr">
        <is>
          <t>/documents/drivers/DRV-007_MEDICAL.pdf</t>
        </is>
      </c>
      <c r="G45" t="inlineStr">
        <is>
          <t>/drivers/DRV-007.jpg</t>
        </is>
      </c>
      <c r="H45" t="inlineStr">
        <is>
          <t>DRV-007|MEDICAL_CARD</t>
        </is>
      </c>
      <c r="I45" t="inlineStr">
        <is>
          <t>/images/documents/DRV-007_MEDICAL_CARD.jpg</t>
        </is>
      </c>
    </row>
    <row r="46">
      <c r="A46" t="inlineStr">
        <is>
          <t>DRV-007</t>
        </is>
      </c>
      <c r="B46" t="inlineStr">
        <is>
          <t>Sofia Gomez</t>
        </is>
      </c>
      <c r="C46" t="inlineStr">
        <is>
          <t>MVR</t>
        </is>
      </c>
      <c r="D46">
        <f>IF(G46="","MISSING_DATE",IF(G46&lt;TODAY(),"EXPIRED",IF(G46&lt;=TODAY()+30,"EXPIRING_SOON","VALID")))</f>
        <v/>
      </c>
      <c r="E46" s="55" t="n">
        <v>46152</v>
      </c>
      <c r="F46" t="inlineStr">
        <is>
          <t>/documents/drivers/DRV-007_MVR.pdf</t>
        </is>
      </c>
      <c r="G46" t="inlineStr">
        <is>
          <t>/drivers/DRV-007.jpg</t>
        </is>
      </c>
      <c r="H46" t="inlineStr">
        <is>
          <t>DRV-007|MVR</t>
        </is>
      </c>
      <c r="I46" t="inlineStr">
        <is>
          <t>/images/documents/DRV-007_MVR.jpg</t>
        </is>
      </c>
    </row>
    <row r="47">
      <c r="A47" t="inlineStr">
        <is>
          <t>DRV-007</t>
        </is>
      </c>
      <c r="B47" t="inlineStr">
        <is>
          <t>Sofia Gomez</t>
        </is>
      </c>
      <c r="C47" t="inlineStr">
        <is>
          <t>I9</t>
        </is>
      </c>
      <c r="D47">
        <f>IF(G47="","MISSING_DATE",IF(G47&lt;TODAY(),"EXPIRED",IF(G47&lt;=TODAY()+30,"EXPIRING_SOON","VALID")))</f>
        <v/>
      </c>
      <c r="E47" s="55" t="n">
        <v>46204</v>
      </c>
      <c r="F47" t="inlineStr">
        <is>
          <t>/documents/drivers/DRV-007_I9.pdf</t>
        </is>
      </c>
      <c r="G47" t="inlineStr">
        <is>
          <t>/drivers/DRV-007.jpg</t>
        </is>
      </c>
      <c r="H47" t="inlineStr">
        <is>
          <t>DRV-007|I9</t>
        </is>
      </c>
      <c r="I47" t="inlineStr">
        <is>
          <t>/images/documents/DRV-007_I9.jpg</t>
        </is>
      </c>
    </row>
    <row r="48">
      <c r="A48" t="inlineStr">
        <is>
          <t>DRV-007</t>
        </is>
      </c>
      <c r="B48" t="inlineStr">
        <is>
          <t>Sofia Gomez</t>
        </is>
      </c>
      <c r="C48" t="inlineStr">
        <is>
          <t>FMCSA</t>
        </is>
      </c>
      <c r="D48">
        <f>IF(G48="","MISSING_DATE",IF(G48&lt;TODAY(),"EXPIRED",IF(G48&lt;=TODAY()+30,"EXPIRING_SOON","VALID")))</f>
        <v/>
      </c>
      <c r="E48" s="55" t="n">
        <v>46036</v>
      </c>
      <c r="F48" t="inlineStr">
        <is>
          <t>/documents/drivers/DRV-007_FMCSA.pdf</t>
        </is>
      </c>
      <c r="G48" t="inlineStr">
        <is>
          <t>/drivers/DRV-007.jpg</t>
        </is>
      </c>
      <c r="H48" t="inlineStr">
        <is>
          <t>DRV-007|FMCSA</t>
        </is>
      </c>
      <c r="I48" t="inlineStr">
        <is>
          <t>/images/documents/DRV-007_FMCSA.jpg</t>
        </is>
      </c>
    </row>
    <row r="49">
      <c r="A49" t="inlineStr">
        <is>
          <t>DRV-007</t>
        </is>
      </c>
      <c r="B49" t="inlineStr">
        <is>
          <t>Sofia Gomez</t>
        </is>
      </c>
      <c r="C49" t="inlineStr">
        <is>
          <t>W9</t>
        </is>
      </c>
      <c r="D49">
        <f>IF(G49="","MISSING_DATE",IF(G49&lt;TODAY(),"EXPIRED",IF(G49&lt;=TODAY()+30,"EXPIRING_SOON","VALID")))</f>
        <v/>
      </c>
      <c r="E49" s="55" t="n">
        <v>46021</v>
      </c>
      <c r="F49" t="inlineStr">
        <is>
          <t>/documents/drivers/DRV-007_W9.pdf</t>
        </is>
      </c>
      <c r="G49" t="inlineStr">
        <is>
          <t>/drivers/DRV-007.jpg</t>
        </is>
      </c>
      <c r="H49" t="inlineStr">
        <is>
          <t>DRV-007|W9</t>
        </is>
      </c>
      <c r="I49" t="inlineStr">
        <is>
          <t>/images/documents/DRV-007_W9.jpg</t>
        </is>
      </c>
    </row>
    <row r="50">
      <c r="A50" t="inlineStr">
        <is>
          <t>DRV-007</t>
        </is>
      </c>
      <c r="B50" t="inlineStr">
        <is>
          <t>Sofia Gomez</t>
        </is>
      </c>
      <c r="C50" t="inlineStr">
        <is>
          <t>BANK_INFO</t>
        </is>
      </c>
      <c r="D50">
        <f>IF(G50="","MISSING_DATE",IF(G50&lt;TODAY(),"EXPIRED",IF(G50&lt;=TODAY()+30,"EXPIRING_SOON","VALID")))</f>
        <v/>
      </c>
      <c r="E50" s="55" t="n">
        <v>46210</v>
      </c>
      <c r="F50" t="inlineStr">
        <is>
          <t>/documents/drivers/DRV-007_BANK_INFO.pdf</t>
        </is>
      </c>
      <c r="G50" t="inlineStr">
        <is>
          <t>/drivers/DRV-007.jpg</t>
        </is>
      </c>
      <c r="H50" t="inlineStr">
        <is>
          <t>DRV-007|BANK_INFO</t>
        </is>
      </c>
      <c r="I50" t="inlineStr">
        <is>
          <t>/images/documents/DRV-007_BANK_INFO.jpg</t>
        </is>
      </c>
    </row>
    <row r="51">
      <c r="A51" t="inlineStr">
        <is>
          <t>DRV-008</t>
        </is>
      </c>
      <c r="B51" t="inlineStr">
        <is>
          <t>Liam Smith</t>
        </is>
      </c>
      <c r="C51" t="inlineStr">
        <is>
          <t>CDL</t>
        </is>
      </c>
      <c r="D51">
        <f>IF(G51="","MISSING_DATE",IF(G51&lt;TODAY(),"EXPIRED",IF(G51&lt;=TODAY()+30,"EXPIRING_SOON","VALID")))</f>
        <v/>
      </c>
      <c r="E51" s="55" t="n">
        <v>46218</v>
      </c>
      <c r="F51" t="inlineStr">
        <is>
          <t>/documents/drivers/DRV-008_CDL.pdf</t>
        </is>
      </c>
      <c r="G51" t="inlineStr">
        <is>
          <t>/drivers/DRV-008.jpg</t>
        </is>
      </c>
      <c r="H51" t="inlineStr">
        <is>
          <t>DRV-008|CDL</t>
        </is>
      </c>
      <c r="I51" t="inlineStr">
        <is>
          <t>/images/documents/DRV-008_CDL.jpg</t>
        </is>
      </c>
    </row>
    <row r="52">
      <c r="A52" t="inlineStr">
        <is>
          <t>DRV-008</t>
        </is>
      </c>
      <c r="B52" t="inlineStr">
        <is>
          <t>Liam Smith</t>
        </is>
      </c>
      <c r="C52" t="inlineStr">
        <is>
          <t>MEDICAL_CARD</t>
        </is>
      </c>
      <c r="D52">
        <f>IF(G52="","MISSING_DATE",IF(G52&lt;TODAY(),"EXPIRED",IF(G52&lt;=TODAY()+30,"EXPIRING_SOON","VALID")))</f>
        <v/>
      </c>
      <c r="E52" s="55" t="n">
        <v>46131</v>
      </c>
      <c r="F52" t="inlineStr">
        <is>
          <t>/documents/drivers/DRV-008_MEDICAL.pdf</t>
        </is>
      </c>
      <c r="G52" t="inlineStr">
        <is>
          <t>/drivers/DRV-008.jpg</t>
        </is>
      </c>
      <c r="H52" t="inlineStr">
        <is>
          <t>DRV-008|MEDICAL_CARD</t>
        </is>
      </c>
      <c r="I52" t="inlineStr">
        <is>
          <t>/images/documents/DRV-008_MEDICAL_CARD.jpg</t>
        </is>
      </c>
    </row>
    <row r="53">
      <c r="A53" t="inlineStr">
        <is>
          <t>DRV-008</t>
        </is>
      </c>
      <c r="B53" t="inlineStr">
        <is>
          <t>Liam Smith</t>
        </is>
      </c>
      <c r="C53" t="inlineStr">
        <is>
          <t>MVR</t>
        </is>
      </c>
      <c r="D53">
        <f>IF(G53="","MISSING_DATE",IF(G53&lt;TODAY(),"EXPIRED",IF(G53&lt;=TODAY()+30,"EXPIRING_SOON","VALID")))</f>
        <v/>
      </c>
      <c r="E53" s="55" t="n">
        <v>46127</v>
      </c>
      <c r="F53" t="inlineStr">
        <is>
          <t>/documents/drivers/DRV-008_MVR.pdf</t>
        </is>
      </c>
      <c r="G53" t="inlineStr">
        <is>
          <t>/drivers/DRV-008.jpg</t>
        </is>
      </c>
      <c r="H53" t="inlineStr">
        <is>
          <t>DRV-008|MVR</t>
        </is>
      </c>
      <c r="I53" t="inlineStr">
        <is>
          <t>/images/documents/DRV-008_MVR.jpg</t>
        </is>
      </c>
    </row>
    <row r="54">
      <c r="A54" t="inlineStr">
        <is>
          <t>DRV-008</t>
        </is>
      </c>
      <c r="B54" t="inlineStr">
        <is>
          <t>Liam Smith</t>
        </is>
      </c>
      <c r="C54" t="inlineStr">
        <is>
          <t>I9</t>
        </is>
      </c>
      <c r="D54">
        <f>IF(G54="","MISSING_DATE",IF(G54&lt;TODAY(),"EXPIRED",IF(G54&lt;=TODAY()+30,"EXPIRING_SOON","VALID")))</f>
        <v/>
      </c>
      <c r="E54" s="55" t="n">
        <v>46033</v>
      </c>
      <c r="F54" t="inlineStr">
        <is>
          <t>/documents/drivers/DRV-008_I9.pdf</t>
        </is>
      </c>
      <c r="G54" t="inlineStr">
        <is>
          <t>/drivers/DRV-008.jpg</t>
        </is>
      </c>
      <c r="H54" t="inlineStr">
        <is>
          <t>DRV-008|I9</t>
        </is>
      </c>
      <c r="I54" t="inlineStr">
        <is>
          <t>/images/documents/DRV-008_I9.jpg</t>
        </is>
      </c>
    </row>
    <row r="55">
      <c r="A55" t="inlineStr">
        <is>
          <t>DRV-008</t>
        </is>
      </c>
      <c r="B55" t="inlineStr">
        <is>
          <t>Liam Smith</t>
        </is>
      </c>
      <c r="C55" t="inlineStr">
        <is>
          <t>FMCSA</t>
        </is>
      </c>
      <c r="D55">
        <f>IF(G55="","MISSING_DATE",IF(G55&lt;TODAY(),"EXPIRED",IF(G55&lt;=TODAY()+30,"EXPIRING_SOON","VALID")))</f>
        <v/>
      </c>
      <c r="E55" s="55" t="n">
        <v>46065</v>
      </c>
      <c r="F55" t="inlineStr">
        <is>
          <t>/documents/drivers/DRV-008_FMCSA.pdf</t>
        </is>
      </c>
      <c r="G55" t="inlineStr">
        <is>
          <t>/drivers/DRV-008.jpg</t>
        </is>
      </c>
      <c r="H55" t="inlineStr">
        <is>
          <t>DRV-008|FMCSA</t>
        </is>
      </c>
      <c r="I55" t="inlineStr">
        <is>
          <t>/images/documents/DRV-008_FMCSA.jpg</t>
        </is>
      </c>
    </row>
    <row r="56">
      <c r="A56" t="inlineStr">
        <is>
          <t>DRV-008</t>
        </is>
      </c>
      <c r="B56" t="inlineStr">
        <is>
          <t>Liam Smith</t>
        </is>
      </c>
      <c r="C56" t="inlineStr">
        <is>
          <t>W9</t>
        </is>
      </c>
      <c r="D56">
        <f>IF(G56="","MISSING_DATE",IF(G56&lt;TODAY(),"EXPIRED",IF(G56&lt;=TODAY()+30,"EXPIRING_SOON","VALID")))</f>
        <v/>
      </c>
      <c r="E56" s="55" t="n">
        <v>46072</v>
      </c>
      <c r="F56" t="inlineStr">
        <is>
          <t>/documents/drivers/DRV-008_W9.pdf</t>
        </is>
      </c>
      <c r="G56" t="inlineStr">
        <is>
          <t>/drivers/DRV-008.jpg</t>
        </is>
      </c>
      <c r="H56" t="inlineStr">
        <is>
          <t>DRV-008|W9</t>
        </is>
      </c>
      <c r="I56" t="inlineStr">
        <is>
          <t>/images/documents/DRV-008_W9.jpg</t>
        </is>
      </c>
    </row>
    <row r="57">
      <c r="A57" t="inlineStr">
        <is>
          <t>DRV-008</t>
        </is>
      </c>
      <c r="B57" t="inlineStr">
        <is>
          <t>Liam Smith</t>
        </is>
      </c>
      <c r="C57" t="inlineStr">
        <is>
          <t>BANK_INFO</t>
        </is>
      </c>
      <c r="D57">
        <f>IF(G57="","MISSING_DATE",IF(G57&lt;TODAY(),"EXPIRED",IF(G57&lt;=TODAY()+30,"EXPIRING_SOON","VALID")))</f>
        <v/>
      </c>
      <c r="E57" s="55" t="n">
        <v>46169</v>
      </c>
      <c r="F57" t="inlineStr">
        <is>
          <t>/documents/drivers/DRV-008_BANK_INFO.pdf</t>
        </is>
      </c>
      <c r="G57" t="inlineStr">
        <is>
          <t>/drivers/DRV-008.jpg</t>
        </is>
      </c>
      <c r="H57" t="inlineStr">
        <is>
          <t>DRV-008|BANK_INFO</t>
        </is>
      </c>
      <c r="I57" t="inlineStr">
        <is>
          <t>/images/documents/DRV-008_BANK_INFO.jpg</t>
        </is>
      </c>
    </row>
    <row r="58">
      <c r="A58" t="inlineStr">
        <is>
          <t>DRV-009</t>
        </is>
      </c>
      <c r="B58" t="inlineStr">
        <is>
          <t>Emma Brown</t>
        </is>
      </c>
      <c r="C58" t="inlineStr">
        <is>
          <t>CDL</t>
        </is>
      </c>
      <c r="D58">
        <f>IF(G58="","MISSING_DATE",IF(G58&lt;TODAY(),"EXPIRED",IF(G58&lt;=TODAY()+30,"EXPIRING_SOON","VALID")))</f>
        <v/>
      </c>
      <c r="E58" s="55" t="n">
        <v>46112</v>
      </c>
      <c r="F58" t="inlineStr">
        <is>
          <t>/documents/drivers/DRV-009_CDL.pdf</t>
        </is>
      </c>
      <c r="G58" t="inlineStr">
        <is>
          <t>/drivers/DRV-009.jpg</t>
        </is>
      </c>
      <c r="H58" t="inlineStr">
        <is>
          <t>DRV-009|CDL</t>
        </is>
      </c>
      <c r="I58" t="inlineStr">
        <is>
          <t>/images/documents/DRV-009_CDL.jpg</t>
        </is>
      </c>
    </row>
    <row r="59">
      <c r="A59" t="inlineStr">
        <is>
          <t>DRV-009</t>
        </is>
      </c>
      <c r="B59" t="inlineStr">
        <is>
          <t>Emma Brown</t>
        </is>
      </c>
      <c r="C59" t="inlineStr">
        <is>
          <t>MEDICAL_CARD</t>
        </is>
      </c>
      <c r="D59">
        <f>IF(G59="","MISSING_DATE",IF(G59&lt;TODAY(),"EXPIRED",IF(G59&lt;=TODAY()+30,"EXPIRING_SOON","VALID")))</f>
        <v/>
      </c>
      <c r="E59" s="55" t="n">
        <v>46144</v>
      </c>
      <c r="F59" t="inlineStr">
        <is>
          <t>/documents/drivers/DRV-009_MEDICAL.pdf</t>
        </is>
      </c>
      <c r="G59" t="inlineStr">
        <is>
          <t>/drivers/DRV-009.jpg</t>
        </is>
      </c>
      <c r="H59" t="inlineStr">
        <is>
          <t>DRV-009|MEDICAL_CARD</t>
        </is>
      </c>
      <c r="I59" t="inlineStr">
        <is>
          <t>/images/documents/DRV-009_MEDICAL_CARD.jpg</t>
        </is>
      </c>
    </row>
    <row r="60">
      <c r="A60" t="inlineStr">
        <is>
          <t>DRV-009</t>
        </is>
      </c>
      <c r="B60" t="inlineStr">
        <is>
          <t>Emma Brown</t>
        </is>
      </c>
      <c r="C60" t="inlineStr">
        <is>
          <t>MVR</t>
        </is>
      </c>
      <c r="D60">
        <f>IF(G60="","MISSING_DATE",IF(G60&lt;TODAY(),"EXPIRED",IF(G60&lt;=TODAY()+30,"EXPIRING_SOON","VALID")))</f>
        <v/>
      </c>
      <c r="E60" s="55" t="n">
        <v>46090</v>
      </c>
      <c r="F60" t="inlineStr">
        <is>
          <t>/documents/drivers/DRV-009_MVR.pdf</t>
        </is>
      </c>
      <c r="G60" t="inlineStr">
        <is>
          <t>/drivers/DRV-009.jpg</t>
        </is>
      </c>
      <c r="H60" t="inlineStr">
        <is>
          <t>DRV-009|MVR</t>
        </is>
      </c>
      <c r="I60" t="inlineStr">
        <is>
          <t>/images/documents/DRV-009_MVR.jpg</t>
        </is>
      </c>
    </row>
    <row r="61">
      <c r="A61" t="inlineStr">
        <is>
          <t>DRV-009</t>
        </is>
      </c>
      <c r="B61" t="inlineStr">
        <is>
          <t>Emma Brown</t>
        </is>
      </c>
      <c r="C61" t="inlineStr">
        <is>
          <t>I9</t>
        </is>
      </c>
      <c r="D61">
        <f>IF(G61="","MISSING_DATE",IF(G61&lt;TODAY(),"EXPIRED",IF(G61&lt;=TODAY()+30,"EXPIRING_SOON","VALID")))</f>
        <v/>
      </c>
      <c r="E61" s="55" t="n">
        <v>46165</v>
      </c>
      <c r="F61" t="inlineStr">
        <is>
          <t>/documents/drivers/DRV-009_I9.pdf</t>
        </is>
      </c>
      <c r="G61" t="inlineStr">
        <is>
          <t>/drivers/DRV-009.jpg</t>
        </is>
      </c>
      <c r="H61" t="inlineStr">
        <is>
          <t>DRV-009|I9</t>
        </is>
      </c>
      <c r="I61" t="inlineStr">
        <is>
          <t>/images/documents/DRV-009_I9.jpg</t>
        </is>
      </c>
    </row>
    <row r="62">
      <c r="A62" t="inlineStr">
        <is>
          <t>DRV-009</t>
        </is>
      </c>
      <c r="B62" t="inlineStr">
        <is>
          <t>Emma Brown</t>
        </is>
      </c>
      <c r="C62" t="inlineStr">
        <is>
          <t>FMCSA</t>
        </is>
      </c>
      <c r="D62">
        <f>IF(G62="","MISSING_DATE",IF(G62&lt;TODAY(),"EXPIRED",IF(G62&lt;=TODAY()+30,"EXPIRING_SOON","VALID")))</f>
        <v/>
      </c>
      <c r="E62" s="55" t="n">
        <v>46244</v>
      </c>
      <c r="F62" t="inlineStr">
        <is>
          <t>/documents/drivers/DRV-009_FMCSA.pdf</t>
        </is>
      </c>
      <c r="G62" t="inlineStr">
        <is>
          <t>/drivers/DRV-009.jpg</t>
        </is>
      </c>
      <c r="H62" t="inlineStr">
        <is>
          <t>DRV-009|FMCSA</t>
        </is>
      </c>
      <c r="I62" t="inlineStr">
        <is>
          <t>/images/documents/DRV-009_FMCSA.jpg</t>
        </is>
      </c>
    </row>
    <row r="63">
      <c r="A63" t="inlineStr">
        <is>
          <t>DRV-009</t>
        </is>
      </c>
      <c r="B63" t="inlineStr">
        <is>
          <t>Emma Brown</t>
        </is>
      </c>
      <c r="C63" t="inlineStr">
        <is>
          <t>W9</t>
        </is>
      </c>
      <c r="D63">
        <f>IF(G63="","MISSING_DATE",IF(G63&lt;TODAY(),"EXPIRED",IF(G63&lt;=TODAY()+30,"EXPIRING_SOON","VALID")))</f>
        <v/>
      </c>
      <c r="E63" s="55" t="n">
        <v>46060</v>
      </c>
      <c r="F63" t="inlineStr">
        <is>
          <t>/documents/drivers/DRV-009_W9.pdf</t>
        </is>
      </c>
      <c r="G63" t="inlineStr">
        <is>
          <t>/drivers/DRV-009.jpg</t>
        </is>
      </c>
      <c r="H63" t="inlineStr">
        <is>
          <t>DRV-009|W9</t>
        </is>
      </c>
      <c r="I63" t="inlineStr">
        <is>
          <t>/images/documents/DRV-009_W9.jpg</t>
        </is>
      </c>
    </row>
    <row r="64">
      <c r="A64" t="inlineStr">
        <is>
          <t>DRV-009</t>
        </is>
      </c>
      <c r="B64" t="inlineStr">
        <is>
          <t>Emma Brown</t>
        </is>
      </c>
      <c r="C64" t="inlineStr">
        <is>
          <t>BANK_INFO</t>
        </is>
      </c>
      <c r="D64">
        <f>IF(G64="","MISSING_DATE",IF(G64&lt;TODAY(),"EXPIRED",IF(G64&lt;=TODAY()+30,"EXPIRING_SOON","VALID")))</f>
        <v/>
      </c>
      <c r="E64" s="55" t="n">
        <v>46144</v>
      </c>
      <c r="F64" t="inlineStr">
        <is>
          <t>/documents/drivers/DRV-009_BANK_INFO.pdf</t>
        </is>
      </c>
      <c r="G64" t="inlineStr">
        <is>
          <t>/drivers/DRV-009.jpg</t>
        </is>
      </c>
      <c r="H64" t="inlineStr">
        <is>
          <t>DRV-009|BANK_INFO</t>
        </is>
      </c>
      <c r="I64" t="inlineStr">
        <is>
          <t>/images/documents/DRV-009_BANK_INFO.jpg</t>
        </is>
      </c>
    </row>
    <row r="65">
      <c r="A65" t="inlineStr">
        <is>
          <t>DRV-010</t>
        </is>
      </c>
      <c r="B65" t="inlineStr">
        <is>
          <t>Noah Wilson</t>
        </is>
      </c>
      <c r="C65" t="inlineStr">
        <is>
          <t>CDL</t>
        </is>
      </c>
      <c r="D65">
        <f>IF(G65="","MISSING_DATE",IF(G65&lt;TODAY(),"EXPIRED",IF(G65&lt;=TODAY()+30,"EXPIRING_SOON","VALID")))</f>
        <v/>
      </c>
      <c r="E65" s="55" t="n">
        <v>45983</v>
      </c>
      <c r="F65" t="inlineStr">
        <is>
          <t>/documents/drivers/DRV-010_CDL.pdf</t>
        </is>
      </c>
      <c r="G65" t="inlineStr">
        <is>
          <t>/drivers/DRV-010.jpg</t>
        </is>
      </c>
      <c r="H65" t="inlineStr">
        <is>
          <t>DRV-010|CDL</t>
        </is>
      </c>
      <c r="I65" t="inlineStr">
        <is>
          <t>/images/documents/DRV-010_CDL.jpg</t>
        </is>
      </c>
    </row>
    <row r="66">
      <c r="A66" t="inlineStr">
        <is>
          <t>DRV-010</t>
        </is>
      </c>
      <c r="B66" t="inlineStr">
        <is>
          <t>Noah Wilson</t>
        </is>
      </c>
      <c r="C66" t="inlineStr">
        <is>
          <t>MEDICAL_CARD</t>
        </is>
      </c>
      <c r="D66">
        <f>IF(G66="","MISSING_DATE",IF(G66&lt;TODAY(),"EXPIRED",IF(G66&lt;=TODAY()+30,"EXPIRING_SOON","VALID")))</f>
        <v/>
      </c>
      <c r="E66" s="55" t="n">
        <v>46012</v>
      </c>
      <c r="F66" t="inlineStr">
        <is>
          <t>/documents/drivers/DRV-010_MEDICAL.pdf</t>
        </is>
      </c>
      <c r="G66" t="inlineStr">
        <is>
          <t>/drivers/DRV-010.jpg</t>
        </is>
      </c>
      <c r="H66" t="inlineStr">
        <is>
          <t>DRV-010|MEDICAL_CARD</t>
        </is>
      </c>
      <c r="I66" t="inlineStr">
        <is>
          <t>/images/documents/DRV-010_MEDICAL_CARD.jpg</t>
        </is>
      </c>
    </row>
    <row r="67">
      <c r="A67" t="inlineStr">
        <is>
          <t>DRV-010</t>
        </is>
      </c>
      <c r="B67" t="inlineStr">
        <is>
          <t>Noah Wilson</t>
        </is>
      </c>
      <c r="C67" t="inlineStr">
        <is>
          <t>MVR</t>
        </is>
      </c>
      <c r="D67">
        <f>IF(G67="","MISSING_DATE",IF(G67&lt;TODAY(),"EXPIRED",IF(G67&lt;=TODAY()+30,"EXPIRING_SOON","VALID")))</f>
        <v/>
      </c>
      <c r="E67" s="55" t="n">
        <v>46056</v>
      </c>
      <c r="F67" t="inlineStr">
        <is>
          <t>/documents/drivers/DRV-010_MVR.pdf</t>
        </is>
      </c>
      <c r="G67" t="inlineStr">
        <is>
          <t>/drivers/DRV-010.jpg</t>
        </is>
      </c>
      <c r="H67" t="inlineStr">
        <is>
          <t>DRV-010|MVR</t>
        </is>
      </c>
      <c r="I67" t="inlineStr">
        <is>
          <t>/images/documents/DRV-010_MVR.jpg</t>
        </is>
      </c>
    </row>
    <row r="68">
      <c r="A68" t="inlineStr">
        <is>
          <t>DRV-010</t>
        </is>
      </c>
      <c r="B68" t="inlineStr">
        <is>
          <t>Noah Wilson</t>
        </is>
      </c>
      <c r="C68" t="inlineStr">
        <is>
          <t>I9</t>
        </is>
      </c>
      <c r="D68">
        <f>IF(G68="","MISSING_DATE",IF(G68&lt;TODAY(),"EXPIRED",IF(G68&lt;=TODAY()+30,"EXPIRING_SOON","VALID")))</f>
        <v/>
      </c>
      <c r="E68" s="55" t="n">
        <v>46024</v>
      </c>
      <c r="F68" t="inlineStr">
        <is>
          <t>/documents/drivers/DRV-010_I9.pdf</t>
        </is>
      </c>
      <c r="G68" t="inlineStr">
        <is>
          <t>/drivers/DRV-010.jpg</t>
        </is>
      </c>
      <c r="H68" t="inlineStr">
        <is>
          <t>DRV-010|I9</t>
        </is>
      </c>
      <c r="I68" t="inlineStr">
        <is>
          <t>/images/documents/DRV-010_I9.jpg</t>
        </is>
      </c>
    </row>
    <row r="69">
      <c r="A69" t="inlineStr">
        <is>
          <t>DRV-010</t>
        </is>
      </c>
      <c r="B69" t="inlineStr">
        <is>
          <t>Noah Wilson</t>
        </is>
      </c>
      <c r="C69" t="inlineStr">
        <is>
          <t>FMCSA</t>
        </is>
      </c>
      <c r="D69">
        <f>IF(G69="","MISSING_DATE",IF(G69&lt;TODAY(),"EXPIRED",IF(G69&lt;=TODAY()+30,"EXPIRING_SOON","VALID")))</f>
        <v/>
      </c>
      <c r="E69" s="55" t="n">
        <v>45985</v>
      </c>
      <c r="F69" t="inlineStr">
        <is>
          <t>/documents/drivers/DRV-010_FMCSA.pdf</t>
        </is>
      </c>
      <c r="G69" t="inlineStr">
        <is>
          <t>/drivers/DRV-010.jpg</t>
        </is>
      </c>
      <c r="H69" t="inlineStr">
        <is>
          <t>DRV-010|FMCSA</t>
        </is>
      </c>
      <c r="I69" t="inlineStr">
        <is>
          <t>/images/documents/DRV-010_FMCSA.jpg</t>
        </is>
      </c>
    </row>
    <row r="70">
      <c r="A70" t="inlineStr">
        <is>
          <t>DRV-010</t>
        </is>
      </c>
      <c r="B70" t="inlineStr">
        <is>
          <t>Noah Wilson</t>
        </is>
      </c>
      <c r="C70" t="inlineStr">
        <is>
          <t>W9</t>
        </is>
      </c>
      <c r="D70">
        <f>IF(G70="","MISSING_DATE",IF(G70&lt;TODAY(),"EXPIRED",IF(G70&lt;=TODAY()+30,"EXPIRING_SOON","VALID")))</f>
        <v/>
      </c>
      <c r="E70" s="55" t="n">
        <v>46208</v>
      </c>
      <c r="F70" t="inlineStr">
        <is>
          <t>/documents/drivers/DRV-010_W9.pdf</t>
        </is>
      </c>
      <c r="G70" t="inlineStr">
        <is>
          <t>/drivers/DRV-010.jpg</t>
        </is>
      </c>
      <c r="H70" t="inlineStr">
        <is>
          <t>DRV-010|W9</t>
        </is>
      </c>
      <c r="I70" t="inlineStr">
        <is>
          <t>/images/documents/DRV-010_W9.jpg</t>
        </is>
      </c>
    </row>
    <row r="71">
      <c r="A71" t="inlineStr">
        <is>
          <t>DRV-010</t>
        </is>
      </c>
      <c r="B71" t="inlineStr">
        <is>
          <t>Noah Wilson</t>
        </is>
      </c>
      <c r="C71" t="inlineStr">
        <is>
          <t>BANK_INFO</t>
        </is>
      </c>
      <c r="D71">
        <f>IF(G71="","MISSING_DATE",IF(G71&lt;TODAY(),"EXPIRED",IF(G71&lt;=TODAY()+30,"EXPIRING_SOON","VALID")))</f>
        <v/>
      </c>
      <c r="E71" s="55" t="n">
        <v>46061</v>
      </c>
      <c r="F71" t="inlineStr">
        <is>
          <t>/documents/drivers/DRV-010_BANK_INFO.pdf</t>
        </is>
      </c>
      <c r="G71" t="inlineStr">
        <is>
          <t>/drivers/DRV-010.jpg</t>
        </is>
      </c>
      <c r="H71" t="inlineStr">
        <is>
          <t>DRV-010|BANK_INFO</t>
        </is>
      </c>
      <c r="I71" t="inlineStr">
        <is>
          <t>/images/documents/DRV-010_BANK_INFO.jpg</t>
        </is>
      </c>
    </row>
    <row r="72">
      <c r="A72" t="inlineStr">
        <is>
          <t>DRV-011</t>
        </is>
      </c>
      <c r="B72" t="inlineStr">
        <is>
          <t>Olivia Lee</t>
        </is>
      </c>
      <c r="C72" t="inlineStr">
        <is>
          <t>CDL</t>
        </is>
      </c>
      <c r="D72">
        <f>IF(G72="","MISSING_DATE",IF(G72&lt;TODAY(),"EXPIRED",IF(G72&lt;=TODAY()+30,"EXPIRING_SOON","VALID")))</f>
        <v/>
      </c>
      <c r="E72" s="55" t="n">
        <v>46003</v>
      </c>
      <c r="F72" t="inlineStr">
        <is>
          <t>/documents/drivers/DRV-011_CDL.pdf</t>
        </is>
      </c>
      <c r="G72" t="inlineStr">
        <is>
          <t>/drivers/DRV-011.jpg</t>
        </is>
      </c>
      <c r="H72" t="inlineStr">
        <is>
          <t>DRV-011|CDL</t>
        </is>
      </c>
      <c r="I72" t="inlineStr">
        <is>
          <t>/images/documents/DRV-011_CDL.jpg</t>
        </is>
      </c>
    </row>
    <row r="73">
      <c r="A73" t="inlineStr">
        <is>
          <t>DRV-011</t>
        </is>
      </c>
      <c r="B73" t="inlineStr">
        <is>
          <t>Olivia Lee</t>
        </is>
      </c>
      <c r="C73" t="inlineStr">
        <is>
          <t>MEDICAL_CARD</t>
        </is>
      </c>
      <c r="D73">
        <f>IF(G73="","MISSING_DATE",IF(G73&lt;TODAY(),"EXPIRED",IF(G73&lt;=TODAY()+30,"EXPIRING_SOON","VALID")))</f>
        <v/>
      </c>
      <c r="E73" s="55" t="n">
        <v>45981</v>
      </c>
      <c r="F73" t="inlineStr">
        <is>
          <t>/documents/drivers/DRV-011_MEDICAL.pdf</t>
        </is>
      </c>
      <c r="G73" t="inlineStr">
        <is>
          <t>/drivers/DRV-011.jpg</t>
        </is>
      </c>
      <c r="H73" t="inlineStr">
        <is>
          <t>DRV-011|MEDICAL_CARD</t>
        </is>
      </c>
      <c r="I73" t="inlineStr">
        <is>
          <t>/images/documents/DRV-011_MEDICAL_CARD.jpg</t>
        </is>
      </c>
    </row>
    <row r="74">
      <c r="A74" t="inlineStr">
        <is>
          <t>DRV-011</t>
        </is>
      </c>
      <c r="B74" t="inlineStr">
        <is>
          <t>Olivia Lee</t>
        </is>
      </c>
      <c r="C74" t="inlineStr">
        <is>
          <t>MVR</t>
        </is>
      </c>
      <c r="D74">
        <f>IF(G74="","MISSING_DATE",IF(G74&lt;TODAY(),"EXPIRED",IF(G74&lt;=TODAY()+30,"EXPIRING_SOON","VALID")))</f>
        <v/>
      </c>
      <c r="E74" s="55" t="n">
        <v>46109</v>
      </c>
      <c r="F74" t="inlineStr">
        <is>
          <t>/documents/drivers/DRV-011_MVR.pdf</t>
        </is>
      </c>
      <c r="G74" t="inlineStr">
        <is>
          <t>/drivers/DRV-011.jpg</t>
        </is>
      </c>
      <c r="H74" t="inlineStr">
        <is>
          <t>DRV-011|MVR</t>
        </is>
      </c>
      <c r="I74" t="inlineStr">
        <is>
          <t>/images/documents/DRV-011_MVR.jpg</t>
        </is>
      </c>
    </row>
    <row r="75">
      <c r="A75" t="inlineStr">
        <is>
          <t>DRV-011</t>
        </is>
      </c>
      <c r="B75" t="inlineStr">
        <is>
          <t>Olivia Lee</t>
        </is>
      </c>
      <c r="C75" t="inlineStr">
        <is>
          <t>I9</t>
        </is>
      </c>
      <c r="D75">
        <f>IF(G75="","MISSING_DATE",IF(G75&lt;TODAY(),"EXPIRED",IF(G75&lt;=TODAY()+30,"EXPIRING_SOON","VALID")))</f>
        <v/>
      </c>
      <c r="E75" s="55" t="n">
        <v>46185</v>
      </c>
      <c r="F75" t="inlineStr">
        <is>
          <t>/documents/drivers/DRV-011_I9.pdf</t>
        </is>
      </c>
      <c r="G75" t="inlineStr">
        <is>
          <t>/drivers/DRV-011.jpg</t>
        </is>
      </c>
      <c r="H75" t="inlineStr">
        <is>
          <t>DRV-011|I9</t>
        </is>
      </c>
      <c r="I75" t="inlineStr">
        <is>
          <t>/images/documents/DRV-011_I9.jpg</t>
        </is>
      </c>
    </row>
    <row r="76">
      <c r="A76" t="inlineStr">
        <is>
          <t>DRV-011</t>
        </is>
      </c>
      <c r="B76" t="inlineStr">
        <is>
          <t>Olivia Lee</t>
        </is>
      </c>
      <c r="C76" t="inlineStr">
        <is>
          <t>FMCSA</t>
        </is>
      </c>
      <c r="D76">
        <f>IF(G76="","MISSING_DATE",IF(G76&lt;TODAY(),"EXPIRED",IF(G76&lt;=TODAY()+30,"EXPIRING_SOON","VALID")))</f>
        <v/>
      </c>
      <c r="E76" s="55" t="n">
        <v>46033</v>
      </c>
      <c r="F76" t="inlineStr">
        <is>
          <t>/documents/drivers/DRV-011_FMCSA.pdf</t>
        </is>
      </c>
      <c r="G76" t="inlineStr">
        <is>
          <t>/drivers/DRV-011.jpg</t>
        </is>
      </c>
      <c r="H76" t="inlineStr">
        <is>
          <t>DRV-011|FMCSA</t>
        </is>
      </c>
      <c r="I76" t="inlineStr">
        <is>
          <t>/images/documents/DRV-011_FMCSA.jpg</t>
        </is>
      </c>
    </row>
    <row r="77">
      <c r="A77" t="inlineStr">
        <is>
          <t>DRV-011</t>
        </is>
      </c>
      <c r="B77" t="inlineStr">
        <is>
          <t>Olivia Lee</t>
        </is>
      </c>
      <c r="C77" t="inlineStr">
        <is>
          <t>W9</t>
        </is>
      </c>
      <c r="D77">
        <f>IF(G77="","MISSING_DATE",IF(G77&lt;TODAY(),"EXPIRED",IF(G77&lt;=TODAY()+30,"EXPIRING_SOON","VALID")))</f>
        <v/>
      </c>
      <c r="E77" s="55" t="n">
        <v>46249</v>
      </c>
      <c r="F77" t="inlineStr">
        <is>
          <t>/documents/drivers/DRV-011_W9.pdf</t>
        </is>
      </c>
      <c r="G77" t="inlineStr">
        <is>
          <t>/drivers/DRV-011.jpg</t>
        </is>
      </c>
      <c r="H77" t="inlineStr">
        <is>
          <t>DRV-011|W9</t>
        </is>
      </c>
      <c r="I77" t="inlineStr">
        <is>
          <t>/images/documents/DRV-011_W9.jpg</t>
        </is>
      </c>
    </row>
    <row r="78">
      <c r="A78" t="inlineStr">
        <is>
          <t>DRV-011</t>
        </is>
      </c>
      <c r="B78" t="inlineStr">
        <is>
          <t>Olivia Lee</t>
        </is>
      </c>
      <c r="C78" t="inlineStr">
        <is>
          <t>BANK_INFO</t>
        </is>
      </c>
      <c r="D78">
        <f>IF(G78="","MISSING_DATE",IF(G78&lt;TODAY(),"EXPIRED",IF(G78&lt;=TODAY()+30,"EXPIRING_SOON","VALID")))</f>
        <v/>
      </c>
      <c r="E78" s="55" t="n">
        <v>46025</v>
      </c>
      <c r="F78" t="inlineStr">
        <is>
          <t>/documents/drivers/DRV-011_BANK_INFO.pdf</t>
        </is>
      </c>
      <c r="G78" t="inlineStr">
        <is>
          <t>/drivers/DRV-011.jpg</t>
        </is>
      </c>
      <c r="H78" t="inlineStr">
        <is>
          <t>DRV-011|BANK_INFO</t>
        </is>
      </c>
      <c r="I78" t="inlineStr">
        <is>
          <t>/images/documents/DRV-011_BANK_INFO.jpg</t>
        </is>
      </c>
    </row>
    <row r="79">
      <c r="A79" t="inlineStr">
        <is>
          <t>DRV-012</t>
        </is>
      </c>
      <c r="B79" t="inlineStr">
        <is>
          <t>Robert Johnson</t>
        </is>
      </c>
      <c r="C79" t="inlineStr">
        <is>
          <t>CDL</t>
        </is>
      </c>
      <c r="D79">
        <f>IF(G79="","MISSING_DATE",IF(G79&lt;TODAY(),"EXPIRED",IF(G79&lt;=TODAY()+30,"EXPIRING_SOON","VALID")))</f>
        <v/>
      </c>
      <c r="E79" s="55" t="n">
        <v>46135</v>
      </c>
      <c r="F79" t="inlineStr">
        <is>
          <t>/documents/drivers/DRV-012_CDL.pdf</t>
        </is>
      </c>
      <c r="G79" t="inlineStr">
        <is>
          <t>/drivers/DRV-012.jpg</t>
        </is>
      </c>
      <c r="H79" t="inlineStr">
        <is>
          <t>DRV-012|CDL</t>
        </is>
      </c>
      <c r="I79" t="inlineStr">
        <is>
          <t>/images/documents/DRV-012_CDL.jpg</t>
        </is>
      </c>
    </row>
    <row r="80">
      <c r="A80" t="inlineStr">
        <is>
          <t>DRV-012</t>
        </is>
      </c>
      <c r="B80" t="inlineStr">
        <is>
          <t>Robert Johnson</t>
        </is>
      </c>
      <c r="C80" t="inlineStr">
        <is>
          <t>MEDICAL_CARD</t>
        </is>
      </c>
      <c r="D80">
        <f>IF(G80="","MISSING_DATE",IF(G80&lt;TODAY(),"EXPIRED",IF(G80&lt;=TODAY()+30,"EXPIRING_SOON","VALID")))</f>
        <v/>
      </c>
      <c r="E80" s="55" t="n">
        <v>46042</v>
      </c>
      <c r="F80" t="inlineStr">
        <is>
          <t>/documents/drivers/DRV-012_MEDICAL.pdf</t>
        </is>
      </c>
      <c r="G80" t="inlineStr">
        <is>
          <t>/drivers/DRV-012.jpg</t>
        </is>
      </c>
      <c r="H80" t="inlineStr">
        <is>
          <t>DRV-012|MEDICAL_CARD</t>
        </is>
      </c>
      <c r="I80" t="inlineStr">
        <is>
          <t>/images/documents/DRV-012_MEDICAL_CARD.jpg</t>
        </is>
      </c>
    </row>
    <row r="81">
      <c r="A81" t="inlineStr">
        <is>
          <t>DRV-012</t>
        </is>
      </c>
      <c r="B81" t="inlineStr">
        <is>
          <t>Robert Johnson</t>
        </is>
      </c>
      <c r="C81" t="inlineStr">
        <is>
          <t>MVR</t>
        </is>
      </c>
      <c r="D81">
        <f>IF(G81="","MISSING_DATE",IF(G81&lt;TODAY(),"EXPIRED",IF(G81&lt;=TODAY()+30,"EXPIRING_SOON","VALID")))</f>
        <v/>
      </c>
      <c r="E81" s="55" t="n">
        <v>45997</v>
      </c>
      <c r="F81" t="inlineStr">
        <is>
          <t>/documents/drivers/DRV-012_MVR.pdf</t>
        </is>
      </c>
      <c r="G81" t="inlineStr">
        <is>
          <t>/drivers/DRV-012.jpg</t>
        </is>
      </c>
      <c r="H81" t="inlineStr">
        <is>
          <t>DRV-012|MVR</t>
        </is>
      </c>
      <c r="I81" t="inlineStr">
        <is>
          <t>/images/documents/DRV-012_MVR.jpg</t>
        </is>
      </c>
    </row>
    <row r="82">
      <c r="A82" t="inlineStr">
        <is>
          <t>DRV-012</t>
        </is>
      </c>
      <c r="B82" t="inlineStr">
        <is>
          <t>Robert Johnson</t>
        </is>
      </c>
      <c r="C82" t="inlineStr">
        <is>
          <t>I9</t>
        </is>
      </c>
      <c r="D82">
        <f>IF(G82="","MISSING_DATE",IF(G82&lt;TODAY(),"EXPIRED",IF(G82&lt;=TODAY()+30,"EXPIRING_SOON","VALID")))</f>
        <v/>
      </c>
      <c r="E82" s="55" t="n">
        <v>46000</v>
      </c>
      <c r="F82" t="inlineStr">
        <is>
          <t>/documents/drivers/DRV-012_I9.pdf</t>
        </is>
      </c>
      <c r="G82" t="inlineStr">
        <is>
          <t>/drivers/DRV-012.jpg</t>
        </is>
      </c>
      <c r="H82" t="inlineStr">
        <is>
          <t>DRV-012|I9</t>
        </is>
      </c>
      <c r="I82" t="inlineStr">
        <is>
          <t>/images/documents/DRV-012_I9.jpg</t>
        </is>
      </c>
    </row>
    <row r="83">
      <c r="A83" t="inlineStr">
        <is>
          <t>DRV-012</t>
        </is>
      </c>
      <c r="B83" t="inlineStr">
        <is>
          <t>Robert Johnson</t>
        </is>
      </c>
      <c r="C83" t="inlineStr">
        <is>
          <t>FMCSA</t>
        </is>
      </c>
      <c r="D83">
        <f>IF(G83="","MISSING_DATE",IF(G83&lt;TODAY(),"EXPIRED",IF(G83&lt;=TODAY()+30,"EXPIRING_SOON","VALID")))</f>
        <v/>
      </c>
      <c r="E83" s="55" t="n">
        <v>46147</v>
      </c>
      <c r="F83" t="inlineStr">
        <is>
          <t>/documents/drivers/DRV-012_FMCSA.pdf</t>
        </is>
      </c>
      <c r="G83" t="inlineStr">
        <is>
          <t>/drivers/DRV-012.jpg</t>
        </is>
      </c>
      <c r="H83" t="inlineStr">
        <is>
          <t>DRV-012|FMCSA</t>
        </is>
      </c>
      <c r="I83" t="inlineStr">
        <is>
          <t>/images/documents/DRV-012_FMCSA.jpg</t>
        </is>
      </c>
    </row>
    <row r="84">
      <c r="A84" t="inlineStr">
        <is>
          <t>DRV-012</t>
        </is>
      </c>
      <c r="B84" t="inlineStr">
        <is>
          <t>Robert Johnson</t>
        </is>
      </c>
      <c r="C84" t="inlineStr">
        <is>
          <t>W9</t>
        </is>
      </c>
      <c r="D84">
        <f>IF(G84="","MISSING_DATE",IF(G84&lt;TODAY(),"EXPIRED",IF(G84&lt;=TODAY()+30,"EXPIRING_SOON","VALID")))</f>
        <v/>
      </c>
      <c r="E84" s="55" t="n">
        <v>46018</v>
      </c>
      <c r="F84" t="inlineStr">
        <is>
          <t>/documents/drivers/DRV-012_W9.pdf</t>
        </is>
      </c>
      <c r="G84" t="inlineStr">
        <is>
          <t>/drivers/DRV-012.jpg</t>
        </is>
      </c>
      <c r="H84" t="inlineStr">
        <is>
          <t>DRV-012|W9</t>
        </is>
      </c>
      <c r="I84" t="inlineStr">
        <is>
          <t>/images/documents/DRV-012_W9.jpg</t>
        </is>
      </c>
    </row>
    <row r="85">
      <c r="A85" t="inlineStr">
        <is>
          <t>DRV-012</t>
        </is>
      </c>
      <c r="B85" t="inlineStr">
        <is>
          <t>Robert Johnson</t>
        </is>
      </c>
      <c r="C85" t="inlineStr">
        <is>
          <t>BANK_INFO</t>
        </is>
      </c>
      <c r="D85">
        <f>IF(G85="","MISSING_DATE",IF(G85&lt;TODAY(),"EXPIRED",IF(G85&lt;=TODAY()+30,"EXPIRING_SOON","VALID")))</f>
        <v/>
      </c>
      <c r="E85" s="55" t="n">
        <v>46069</v>
      </c>
      <c r="F85" t="inlineStr">
        <is>
          <t>/documents/drivers/DRV-012_BANK_INFO.pdf</t>
        </is>
      </c>
      <c r="G85" t="inlineStr">
        <is>
          <t>/drivers/DRV-012.jpg</t>
        </is>
      </c>
      <c r="H85" t="inlineStr">
        <is>
          <t>DRV-012|BANK_INFO</t>
        </is>
      </c>
      <c r="I85" t="inlineStr">
        <is>
          <t>/images/documents/DRV-012_BANK_INFO.jpg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2026-03-24T09:18:25Z</dcterms:created>
  <dcterms:modified xmlns:dcterms="http://purl.org/dc/terms/" xmlns:xsi="http://www.w3.org/2001/XMLSchema-instance" xsi:type="dcterms:W3CDTF">2026-03-24T09:29:48Z</dcterms:modified>
</cp:coreProperties>
</file>